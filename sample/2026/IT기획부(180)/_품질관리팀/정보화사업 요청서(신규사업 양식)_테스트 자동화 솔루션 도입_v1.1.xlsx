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Z:\IT기획팀\001. 정추위-정보기술부문계획\2602_정보기술부문계획\2. 회신\99. IT기획부\_품질관리팀\"/>
    </mc:Choice>
  </mc:AlternateContent>
  <xr:revisionPtr revIDLastSave="0" documentId="13_ncr:1_{0AB88C1A-FBA5-4733-B659-51AE46D4483E}" xr6:coauthVersionLast="47" xr6:coauthVersionMax="47" xr10:uidLastSave="{00000000-0000-0000-0000-000000000000}"/>
  <bookViews>
    <workbookView xWindow="38290" yWindow="-110" windowWidth="38620" windowHeight="21220" tabRatio="952" xr2:uid="{00000000-000D-0000-FFFF-FFFF00000000}"/>
  </bookViews>
  <sheets>
    <sheet name="(자본예산) 1-1. 정보화사업 개요" sheetId="16" r:id="rId1"/>
    <sheet name="(자본예산) 1-2. 소요자원 상세내용" sheetId="1" r:id="rId2"/>
  </sheets>
  <definedNames>
    <definedName name="_xlnm.Print_Area" localSheetId="0">'(자본예산) 1-1. 정보화사업 개요'!$A$1:$I$34</definedName>
    <definedName name="_xlnm.Print_Area" localSheetId="1">'(자본예산) 1-2. 소요자원 상세내용'!$A$1:$K$21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16" l="1"/>
  <c r="G34" i="16"/>
  <c r="F31" i="16"/>
  <c r="D34" i="16"/>
  <c r="F32" i="16"/>
  <c r="B34" i="16"/>
  <c r="F33" i="16"/>
  <c r="H33" i="16" s="1"/>
  <c r="H34" i="16" s="1"/>
  <c r="E34" i="16"/>
  <c r="C34" i="16"/>
  <c r="F34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KDB_QM</author>
  </authors>
  <commentList>
    <comment ref="E32" authorId="0" shapeId="0" xr:uid="{65C9D4DD-1E69-4790-9C6F-09EAA5CC69DF}">
      <text>
        <r>
          <rPr>
            <sz val="9"/>
            <color indexed="81"/>
            <rFont val="돋움"/>
            <family val="3"/>
            <charset val="129"/>
          </rPr>
          <t>서버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도입금액</t>
        </r>
        <r>
          <rPr>
            <sz val="9"/>
            <color indexed="81"/>
            <rFont val="Tahoma"/>
            <family val="2"/>
          </rPr>
          <t xml:space="preserve"> '26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vdiadmin</author>
  </authors>
  <commentList>
    <comment ref="H17" authorId="0" shapeId="0" xr:uid="{00000000-0006-0000-0100-000001000000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견적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최고가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견적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  <r>
          <rPr>
            <b/>
            <sz val="9"/>
            <color indexed="81"/>
            <rFont val="Tahoma"/>
            <family val="2"/>
          </rPr>
          <t xml:space="preserve">
[</t>
        </r>
        <r>
          <rPr>
            <b/>
            <sz val="9"/>
            <color indexed="81"/>
            <rFont val="돋움"/>
            <family val="3"/>
            <charset val="129"/>
          </rPr>
          <t>견적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최대</t>
        </r>
        <r>
          <rPr>
            <b/>
            <sz val="9"/>
            <color indexed="81"/>
            <rFont val="Tahoma"/>
            <family val="2"/>
          </rPr>
          <t>)]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제조</t>
        </r>
        <r>
          <rPr>
            <sz val="9"/>
            <color indexed="81"/>
            <rFont val="Tahoma"/>
            <family val="2"/>
          </rPr>
          <t>)LG CNS/(</t>
        </r>
        <r>
          <rPr>
            <sz val="9"/>
            <color indexed="81"/>
            <rFont val="돋움"/>
            <family val="3"/>
            <charset val="129"/>
          </rPr>
          <t>배급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유니아이텍</t>
        </r>
        <r>
          <rPr>
            <sz val="9"/>
            <color indexed="81"/>
            <rFont val="Tahoma"/>
            <family val="2"/>
          </rPr>
          <t xml:space="preserve"> - PerfecTwin</t>
        </r>
        <r>
          <rPr>
            <b/>
            <sz val="9"/>
            <color indexed="81"/>
            <rFont val="Tahoma"/>
            <family val="2"/>
          </rPr>
          <t xml:space="preserve">
[</t>
        </r>
        <r>
          <rPr>
            <b/>
            <sz val="9"/>
            <color indexed="81"/>
            <rFont val="돋움"/>
            <family val="3"/>
            <charset val="129"/>
          </rPr>
          <t>견적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최소</t>
        </r>
        <r>
          <rPr>
            <b/>
            <sz val="9"/>
            <color indexed="81"/>
            <rFont val="Tahoma"/>
            <family val="2"/>
          </rPr>
          <t>)]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아트랩</t>
        </r>
        <r>
          <rPr>
            <sz val="9"/>
            <color indexed="81"/>
            <rFont val="Tahoma"/>
            <family val="2"/>
          </rPr>
          <t xml:space="preserve"> - MT(Message Tester)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업체포기</t>
        </r>
        <r>
          <rPr>
            <sz val="9"/>
            <color indexed="81"/>
            <rFont val="Tahoma"/>
            <family val="2"/>
          </rPr>
          <t xml:space="preserve">] </t>
        </r>
        <r>
          <rPr>
            <sz val="9"/>
            <color indexed="81"/>
            <rFont val="돋움"/>
            <family val="3"/>
            <charset val="129"/>
          </rPr>
          <t>토마토시스템</t>
        </r>
        <r>
          <rPr>
            <sz val="9"/>
            <color indexed="81"/>
            <rFont val="Tahoma"/>
            <family val="2"/>
          </rPr>
          <t xml:space="preserve"> - AIQBot
[</t>
        </r>
        <r>
          <rPr>
            <sz val="9"/>
            <color indexed="81"/>
            <rFont val="돋움"/>
            <family val="3"/>
            <charset val="129"/>
          </rPr>
          <t>업체포기</t>
        </r>
        <r>
          <rPr>
            <sz val="9"/>
            <color indexed="81"/>
            <rFont val="Tahoma"/>
            <family val="2"/>
          </rPr>
          <t xml:space="preserve">] SK CNC - aTworks
</t>
        </r>
      </text>
    </comment>
  </commentList>
</comments>
</file>

<file path=xl/sharedStrings.xml><?xml version="1.0" encoding="utf-8"?>
<sst xmlns="http://schemas.openxmlformats.org/spreadsheetml/2006/main" count="129" uniqueCount="106">
  <si>
    <t>사업명</t>
    <phoneticPr fontId="2" type="noConversion"/>
  </si>
  <si>
    <t>사업유형</t>
    <phoneticPr fontId="2" type="noConversion"/>
  </si>
  <si>
    <t>주 사용자</t>
    <phoneticPr fontId="2" type="noConversion"/>
  </si>
  <si>
    <t>시스템(사업)명</t>
  </si>
  <si>
    <t>담당부서</t>
  </si>
  <si>
    <t>연관내용</t>
  </si>
  <si>
    <t>시스템 특성</t>
    <phoneticPr fontId="2" type="noConversion"/>
  </si>
  <si>
    <t>시스템 영역</t>
    <phoneticPr fontId="2" type="noConversion"/>
  </si>
  <si>
    <t>시스템 요건</t>
    <phoneticPr fontId="2" type="noConversion"/>
  </si>
  <si>
    <t>업무구분</t>
    <phoneticPr fontId="2" type="noConversion"/>
  </si>
  <si>
    <t>소요예산</t>
    <phoneticPr fontId="2" type="noConversion"/>
  </si>
  <si>
    <t>연관 시스템
(연관 사업)</t>
    <phoneticPr fontId="2" type="noConversion"/>
  </si>
  <si>
    <t>시작일자
(YY/MM)</t>
    <phoneticPr fontId="2" type="noConversion"/>
  </si>
  <si>
    <t>종료일자
(YY/MM)</t>
    <phoneticPr fontId="2" type="noConversion"/>
  </si>
  <si>
    <t>사업 개요</t>
    <phoneticPr fontId="2" type="noConversion"/>
  </si>
  <si>
    <t>1분기</t>
    <phoneticPr fontId="2" type="noConversion"/>
  </si>
  <si>
    <t>2분기</t>
    <phoneticPr fontId="2" type="noConversion"/>
  </si>
  <si>
    <t>3분기</t>
    <phoneticPr fontId="2" type="noConversion"/>
  </si>
  <si>
    <t>4분기</t>
    <phoneticPr fontId="2" type="noConversion"/>
  </si>
  <si>
    <t>전체 합계</t>
    <phoneticPr fontId="2" type="noConversion"/>
  </si>
  <si>
    <t xml:space="preserve">  계</t>
    <phoneticPr fontId="2" type="noConversion"/>
  </si>
  <si>
    <t>(개요)</t>
    <phoneticPr fontId="2" type="noConversion"/>
  </si>
  <si>
    <t>(현황)</t>
    <phoneticPr fontId="2" type="noConversion"/>
  </si>
  <si>
    <t>(미추진시 
문제점)</t>
    <phoneticPr fontId="2" type="noConversion"/>
  </si>
  <si>
    <t>주관부문/본부</t>
    <phoneticPr fontId="2" type="noConversion"/>
  </si>
  <si>
    <t>개발비</t>
    <phoneticPr fontId="2" type="noConversion"/>
  </si>
  <si>
    <t>기계장치(HW)</t>
    <phoneticPr fontId="2" type="noConversion"/>
  </si>
  <si>
    <t>기타무형자산(SW)</t>
    <phoneticPr fontId="2" type="noConversion"/>
  </si>
  <si>
    <t>사업구분</t>
    <phoneticPr fontId="2" type="noConversion"/>
  </si>
  <si>
    <t>법규상 완료시기</t>
    <phoneticPr fontId="2" type="noConversion"/>
  </si>
  <si>
    <t>정보보호여부</t>
    <phoneticPr fontId="2" type="noConversion"/>
  </si>
  <si>
    <t>비고</t>
    <phoneticPr fontId="2" type="noConversion"/>
  </si>
  <si>
    <t>항목</t>
    <phoneticPr fontId="2" type="noConversion"/>
  </si>
  <si>
    <t>수량</t>
    <phoneticPr fontId="2" type="noConversion"/>
  </si>
  <si>
    <t>통화</t>
    <phoneticPr fontId="2" type="noConversion"/>
  </si>
  <si>
    <t>산정근거</t>
    <phoneticPr fontId="2" type="noConversion"/>
  </si>
  <si>
    <t>도입시기(월)</t>
    <phoneticPr fontId="2" type="noConversion"/>
  </si>
  <si>
    <t>구분</t>
    <phoneticPr fontId="2" type="noConversion"/>
  </si>
  <si>
    <t xml:space="preserve">총 사업금액(전체기간)
</t>
    <phoneticPr fontId="2" type="noConversion"/>
  </si>
  <si>
    <t>추진경과</t>
    <phoneticPr fontId="2" type="noConversion"/>
  </si>
  <si>
    <t>향후계획</t>
    <phoneticPr fontId="2" type="noConversion"/>
  </si>
  <si>
    <t>진행 상황</t>
    <phoneticPr fontId="2" type="noConversion"/>
  </si>
  <si>
    <t>편성 기준</t>
    <phoneticPr fontId="2" type="noConversion"/>
  </si>
  <si>
    <t>관련 조직</t>
    <phoneticPr fontId="2" type="noConversion"/>
  </si>
  <si>
    <t>팀장</t>
    <phoneticPr fontId="2" type="noConversion"/>
  </si>
  <si>
    <t>주관부서/팀</t>
    <phoneticPr fontId="2" type="noConversion"/>
  </si>
  <si>
    <t>추진시기 및 소요예산</t>
    <phoneticPr fontId="2" type="noConversion"/>
  </si>
  <si>
    <t>예산 소요(상세)
(백만원, 부가세포함)</t>
    <phoneticPr fontId="2" type="noConversion"/>
  </si>
  <si>
    <t>실무자(정/부)</t>
    <phoneticPr fontId="2" type="noConversion"/>
  </si>
  <si>
    <t>IT팀장</t>
    <phoneticPr fontId="2" type="noConversion"/>
  </si>
  <si>
    <t>IT실무자(정/부)</t>
    <phoneticPr fontId="2" type="noConversion"/>
  </si>
  <si>
    <t xml:space="preserve">1-1. 정보화사업 개요 </t>
    <phoneticPr fontId="2" type="noConversion"/>
  </si>
  <si>
    <t>중복 여부</t>
    <phoneticPr fontId="2" type="noConversion"/>
  </si>
  <si>
    <t>디지털 기술 유형</t>
    <phoneticPr fontId="2" type="noConversion"/>
  </si>
  <si>
    <t>사업 추진 가능성</t>
    <phoneticPr fontId="2" type="noConversion"/>
  </si>
  <si>
    <t>추진가능성</t>
    <phoneticPr fontId="2" type="noConversion"/>
  </si>
  <si>
    <t>단가</t>
    <phoneticPr fontId="2" type="noConversion"/>
  </si>
  <si>
    <t>사업 범위
(전산 요구사항)</t>
    <phoneticPr fontId="2" type="noConversion"/>
  </si>
  <si>
    <t>보고 상태</t>
    <phoneticPr fontId="2" type="noConversion"/>
  </si>
  <si>
    <t>최종보고</t>
    <phoneticPr fontId="2" type="noConversion"/>
  </si>
  <si>
    <t>전결권자</t>
    <phoneticPr fontId="2" type="noConversion"/>
  </si>
  <si>
    <t>인프라 
통합관리 여부</t>
    <phoneticPr fontId="2" type="noConversion"/>
  </si>
  <si>
    <t>* 견적서 기반 소요예산 근거 등 별첨 필요</t>
    <phoneticPr fontId="2" type="noConversion"/>
  </si>
  <si>
    <t>소요예산
(부가세포함)</t>
    <phoneticPr fontId="2" type="noConversion"/>
  </si>
  <si>
    <r>
      <t xml:space="preserve"> </t>
    </r>
    <r>
      <rPr>
        <b/>
        <sz val="11"/>
        <color indexed="10"/>
        <rFont val="맑은 고딕"/>
        <family val="3"/>
        <charset val="129"/>
      </rPr>
      <t>* 기계장치(HW) 및 기타무형자산(SW) 소요자원 중 IT인프라 자원 포함 시, IT인프라팀과 사전협의 내용 반영하여 작성</t>
    </r>
    <phoneticPr fontId="2" type="noConversion"/>
  </si>
  <si>
    <t>(기대효과)</t>
    <phoneticPr fontId="2" type="noConversion"/>
  </si>
  <si>
    <t>(필요성)</t>
    <phoneticPr fontId="2" type="noConversion"/>
  </si>
  <si>
    <t>(확인자)</t>
    <phoneticPr fontId="2" type="noConversion"/>
  </si>
  <si>
    <t>(작성자)</t>
    <phoneticPr fontId="2" type="noConversion"/>
  </si>
  <si>
    <t>1-2. 정보화사업  소요자원 상세내용</t>
    <phoneticPr fontId="2" type="noConversion"/>
  </si>
  <si>
    <t>리스크관리부문/IT기획부</t>
    <phoneticPr fontId="2" type="noConversion"/>
  </si>
  <si>
    <t>IT기획부/품질관리팀</t>
    <phoneticPr fontId="2" type="noConversion"/>
  </si>
  <si>
    <t>테스트 자동화 솔루션 도입</t>
    <phoneticPr fontId="2" type="noConversion"/>
  </si>
  <si>
    <t>테스트 자동화 솔루션</t>
    <phoneticPr fontId="2" type="noConversion"/>
  </si>
  <si>
    <t>KRW</t>
    <phoneticPr fontId="2" type="noConversion"/>
  </si>
  <si>
    <t>IDT본부장</t>
    <phoneticPr fontId="2" type="noConversion"/>
  </si>
  <si>
    <t>Y</t>
    <phoneticPr fontId="2" type="noConversion"/>
  </si>
  <si>
    <t>견적서(최대)</t>
    <phoneticPr fontId="2" type="noConversion"/>
  </si>
  <si>
    <t>서버 (일체)</t>
    <phoneticPr fontId="2" type="noConversion"/>
  </si>
  <si>
    <t>견적서(단일)</t>
    <phoneticPr fontId="2" type="noConversion"/>
  </si>
  <si>
    <t>홍주혜 과장</t>
    <phoneticPr fontId="2" type="noConversion"/>
  </si>
  <si>
    <t>홍주혜 과장
/최지수 대리</t>
    <phoneticPr fontId="2" type="noConversion"/>
  </si>
  <si>
    <t xml:space="preserve">홍주혜 과장 / 최지수 대리 </t>
    <phoneticPr fontId="2" type="noConversion"/>
  </si>
  <si>
    <t xml:space="preserve">○ 금융감독원 가이드라인에 부합하는 안정적 IT운영 체계 기반 확보 
○ 테스트 자동화를 통한 오류 사전 예방 및 테스트 신뢰성 제고
○ 테스트 반복 수행 시간 단축 및 테스트 인력 투입 최소화를 통한 운영 비용 절감 </t>
    <phoneticPr fontId="2" type="noConversion"/>
  </si>
  <si>
    <t>N</t>
    <phoneticPr fontId="2" type="noConversion"/>
  </si>
  <si>
    <t>783백만원</t>
    <phoneticPr fontId="2" type="noConversion"/>
  </si>
  <si>
    <t>9M/M</t>
    <phoneticPr fontId="2" type="noConversion"/>
  </si>
  <si>
    <t>5M/M</t>
    <phoneticPr fontId="2" type="noConversion"/>
  </si>
  <si>
    <t>○ 금융감독원의 「금융IT 안정성 강화 가이드라인」 제5조(테스트절차)를 준수하기 위한 테스트 자동화 솔루션의 도입</t>
    <phoneticPr fontId="2" type="noConversion"/>
  </si>
  <si>
    <r>
      <t xml:space="preserve">○ 기존 테스트 자동화 솔루션(CheckMATE*)은 서비스가 종료(EoS : End of Service)되어, 신규 테스트 자동화 체계 검토 및 시스템 구축 필요
</t>
    </r>
    <r>
      <rPr>
        <sz val="9"/>
        <color rgb="FF0000FF"/>
        <rFont val="맑은 고딕"/>
        <family val="3"/>
        <charset val="129"/>
      </rPr>
      <t xml:space="preserve">  * 차세대 정보시스템 구축 사업시 도입한 UI 기반 테스트 자동화 솔루션임</t>
    </r>
    <phoneticPr fontId="2" type="noConversion"/>
  </si>
  <si>
    <t>장행숙 팀장</t>
    <phoneticPr fontId="2" type="noConversion"/>
  </si>
  <si>
    <t>○ 상용 테스트 자동화 솔루션 현황 파악 및 업체미팅을 통한 개략적인 요구사항 도출을 위해 컨설팅 수행중</t>
    <phoneticPr fontId="2" type="noConversion"/>
  </si>
  <si>
    <t>26/01</t>
    <phoneticPr fontId="2" type="noConversion"/>
  </si>
  <si>
    <t>27/04</t>
    <phoneticPr fontId="2" type="noConversion"/>
  </si>
  <si>
    <t>커스터마이징 및 기술지원 (고급)</t>
    <phoneticPr fontId="2" type="noConversion"/>
  </si>
  <si>
    <t>커스터마이징 및 기술지원 (중급)</t>
    <phoneticPr fontId="2" type="noConversion"/>
  </si>
  <si>
    <r>
      <t xml:space="preserve">○ 금융감독원의 「금융IT 안정성 강화 가이드라인」 제5조(테스트절차) 2항* 준수를 위한 체계적인 테스트 환경 구축 필요 
</t>
    </r>
    <r>
      <rPr>
        <sz val="9"/>
        <color indexed="12"/>
        <rFont val="맑은 고딕"/>
        <family val="3"/>
        <charset val="129"/>
      </rPr>
      <t xml:space="preserve"> * ② 금융회사 및 전자금융업자는 테스트 담당 조직을 구성하여야 하고, 충분한 테스트 수행을 위하여 테스트 자동화 솔루션을 도입하여야 한다. 
○ </t>
    </r>
    <r>
      <rPr>
        <sz val="11"/>
        <color indexed="12"/>
        <rFont val="맑은 고딕"/>
        <family val="3"/>
        <charset val="129"/>
      </rPr>
      <t>테스트 자동화 환경 구축을 통한 기존 수동 테스트 방식의 한계 극복 필요</t>
    </r>
    <phoneticPr fontId="2" type="noConversion"/>
  </si>
  <si>
    <r>
      <t xml:space="preserve">○ 금융감독원의 「금융IT 안정성 강화 가이드라인」 제5조(테스트절차) </t>
    </r>
    <r>
      <rPr>
        <b/>
        <sz val="11"/>
        <color rgb="FF0000CC"/>
        <rFont val="맑은 고딕"/>
        <family val="3"/>
        <charset val="129"/>
      </rPr>
      <t>미준수에 따른 감사 지적 및 규제 리스크 발생 가능</t>
    </r>
    <r>
      <rPr>
        <sz val="11"/>
        <color rgb="FF0000CC"/>
        <rFont val="맑은 고딕"/>
        <family val="3"/>
        <charset val="129"/>
      </rPr>
      <t xml:space="preserve">
○ 수동 테스트 지속에 따른 오류 발생 가능성 및 인력 자원 지속 증가로 인한 비효율적 구조 예상</t>
    </r>
    <phoneticPr fontId="2" type="noConversion"/>
  </si>
  <si>
    <t>○ 테스트 자동화 솔루션 도입
○ 테스트 자동화 솔루션 운영을 위한 연관 시스템과 연계 개발
○ 테스트 자동화 솔루션 운용 및 분석/보고서 기능 등을 보유한 웹사이트 포탈 구축
○ 테스트 자동화 솔루션 업무 전용 서버 구축 및 필수(시스템) SW 설치</t>
    <phoneticPr fontId="2" type="noConversion"/>
  </si>
  <si>
    <t>26.12월</t>
    <phoneticPr fontId="2" type="noConversion"/>
  </si>
  <si>
    <t>‘26년도 필요예산 편성요청</t>
    <phoneticPr fontId="2" type="noConversion"/>
  </si>
  <si>
    <t>'26년도 합계</t>
    <phoneticPr fontId="2" type="noConversion"/>
  </si>
  <si>
    <t>'27년도 이후</t>
    <phoneticPr fontId="2" type="noConversion"/>
  </si>
  <si>
    <t>27. 4월</t>
    <phoneticPr fontId="2" type="noConversion"/>
  </si>
  <si>
    <t>28백만원</t>
    <phoneticPr fontId="2" type="noConversion"/>
  </si>
  <si>
    <t>(~'26. 1분기) 업무요건 확정
('26. 2,3분기) 사업품의 등 절차 진행
(~'27. 1분기) 도입 및 커스터마이징
('27. 4월~) 서비스 운영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</si>
</sst>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3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63"/>
      <name val="돋움"/>
      <family val="3"/>
      <charset val="129"/>
    </font>
    <font>
      <sz val="16"/>
      <color indexed="63"/>
      <name val="돋움"/>
      <family val="3"/>
      <charset val="129"/>
    </font>
    <font>
      <b/>
      <sz val="11"/>
      <name val="맑은 고딕"/>
      <family val="3"/>
      <charset val="129"/>
    </font>
    <font>
      <sz val="11"/>
      <color indexed="63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indexed="63"/>
      <name val="돋움"/>
      <family val="3"/>
      <charset val="129"/>
    </font>
    <font>
      <b/>
      <sz val="10"/>
      <color indexed="63"/>
      <name val="돋움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indexed="12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12"/>
      <name val="맑은 고딕"/>
      <family val="3"/>
      <charset val="129"/>
    </font>
    <font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CC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1"/>
      <color indexed="63"/>
      <name val="맑은 고딕"/>
      <family val="3"/>
      <charset val="129"/>
      <scheme val="major"/>
    </font>
    <font>
      <sz val="10"/>
      <color indexed="63"/>
      <name val="맑은 고딕"/>
      <family val="3"/>
      <charset val="129"/>
      <scheme val="major"/>
    </font>
    <font>
      <b/>
      <sz val="10"/>
      <color indexed="63"/>
      <name val="맑은 고딕"/>
      <family val="3"/>
      <charset val="129"/>
      <scheme val="major"/>
    </font>
    <font>
      <b/>
      <sz val="14"/>
      <color theme="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10"/>
      <color rgb="FF0000FF"/>
      <name val="맑은 고딕"/>
      <family val="3"/>
      <charset val="129"/>
      <scheme val="major"/>
    </font>
    <font>
      <sz val="9"/>
      <color rgb="FF000000"/>
      <name val="굴림"/>
      <family val="3"/>
      <charset val="129"/>
    </font>
    <font>
      <b/>
      <sz val="11"/>
      <color rgb="FF0000CC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A1DE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67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D5D5D"/>
      </left>
      <right style="thin">
        <color rgb="FF000000"/>
      </right>
      <top style="thin">
        <color rgb="FF000000"/>
      </top>
      <bottom style="thin">
        <color rgb="FF5D5D5D"/>
      </bottom>
      <diagonal/>
    </border>
    <border>
      <left style="thin">
        <color rgb="FF5D5D5D"/>
      </left>
      <right style="thin">
        <color rgb="FF5D5D5D"/>
      </right>
      <top style="thin">
        <color rgb="FF5D5D5D"/>
      </top>
      <bottom style="thin">
        <color rgb="FF5D5D5D"/>
      </bottom>
      <diagonal/>
    </border>
    <border>
      <left style="thin">
        <color rgb="FF000000"/>
      </left>
      <right style="thin">
        <color rgb="FF5D5D5D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5D5D5D"/>
      </left>
      <right style="thin">
        <color rgb="FF5D5D5D"/>
      </right>
      <top style="thin">
        <color rgb="FF000000"/>
      </top>
      <bottom style="thin">
        <color rgb="FF5D5D5D"/>
      </bottom>
      <diagonal/>
    </border>
    <border>
      <left style="thin">
        <color rgb="FF5D5D5D"/>
      </left>
      <right style="thin">
        <color rgb="FF000000"/>
      </right>
      <top/>
      <bottom style="thin">
        <color rgb="FF5D5D5D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5D5D5D"/>
      </left>
      <right/>
      <top style="thin">
        <color rgb="FF000000"/>
      </top>
      <bottom style="thin">
        <color rgb="FF5D5D5D"/>
      </bottom>
      <diagonal/>
    </border>
    <border>
      <left style="thin">
        <color rgb="FF5D5D5D"/>
      </left>
      <right/>
      <top style="thin">
        <color rgb="FF5D5D5D"/>
      </top>
      <bottom style="thin">
        <color rgb="FF5D5D5D"/>
      </bottom>
      <diagonal/>
    </border>
    <border>
      <left style="thin">
        <color indexed="64"/>
      </left>
      <right style="thin">
        <color theme="0" tint="-0.34998626667073579"/>
      </right>
      <top style="thin">
        <color rgb="FF000000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000000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000000"/>
      </right>
      <top style="thin">
        <color rgb="FF000000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0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rgb="FF000000"/>
      </right>
      <top style="thin">
        <color theme="0" tint="-0.34998626667073579"/>
      </top>
      <bottom style="thin">
        <color indexed="64"/>
      </bottom>
      <diagonal/>
    </border>
    <border>
      <left style="thin">
        <color rgb="FF5D5D5D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5D5D5D"/>
      </right>
      <top/>
      <bottom style="thin">
        <color indexed="64"/>
      </bottom>
      <diagonal/>
    </border>
    <border>
      <left style="thin">
        <color rgb="FF5D5D5D"/>
      </left>
      <right style="thin">
        <color rgb="FF5D5D5D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D5D5D"/>
      </left>
      <right style="thin">
        <color rgb="FF000000"/>
      </right>
      <top style="thin">
        <color rgb="FF5D5D5D"/>
      </top>
      <bottom style="thin">
        <color rgb="FF5D5D5D"/>
      </bottom>
      <diagonal/>
    </border>
    <border>
      <left style="hair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rgb="FF000000"/>
      </right>
      <top style="hair">
        <color indexed="64"/>
      </top>
      <bottom style="thin">
        <color theme="0" tint="-0.34998626667073579"/>
      </bottom>
      <diagonal/>
    </border>
    <border>
      <left style="hair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rgb="FF000000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5D5D5D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5D5D5D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5D5D5D"/>
      </right>
      <top style="thin">
        <color rgb="FF000000"/>
      </top>
      <bottom style="thin">
        <color indexed="64"/>
      </bottom>
      <diagonal/>
    </border>
    <border>
      <left style="thin">
        <color rgb="FF5D5D5D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5D5D5D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5D5D5D"/>
      </bottom>
      <diagonal/>
    </border>
    <border>
      <left/>
      <right/>
      <top style="thin">
        <color rgb="FF5D5D5D"/>
      </top>
      <bottom style="thin">
        <color rgb="FF5D5D5D"/>
      </bottom>
      <diagonal/>
    </border>
    <border>
      <left/>
      <right/>
      <top/>
      <bottom style="thin">
        <color rgb="FF5D5D5D"/>
      </bottom>
      <diagonal/>
    </border>
    <border>
      <left/>
      <right style="thin">
        <color rgb="FF000000"/>
      </right>
      <top style="thin">
        <color rgb="FF5D5D5D"/>
      </top>
      <bottom style="thin">
        <color rgb="FF5D5D5D"/>
      </bottom>
      <diagonal/>
    </border>
    <border>
      <left style="thin">
        <color rgb="FF000000"/>
      </left>
      <right/>
      <top style="thin">
        <color rgb="FF5D5D5D"/>
      </top>
      <bottom/>
      <diagonal/>
    </border>
    <border>
      <left/>
      <right/>
      <top style="thin">
        <color rgb="FF5D5D5D"/>
      </top>
      <bottom/>
      <diagonal/>
    </border>
    <border>
      <left/>
      <right style="thin">
        <color rgb="FF000000"/>
      </right>
      <top style="thin">
        <color rgb="FF5D5D5D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85">
    <xf numFmtId="0" fontId="0" fillId="0" borderId="0" xfId="0"/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8" fillId="3" borderId="22" xfId="0" applyFont="1" applyFill="1" applyBorder="1" applyAlignment="1">
      <alignment horizontal="center" vertical="center" wrapText="1"/>
    </xf>
    <xf numFmtId="0" fontId="19" fillId="3" borderId="2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21" fillId="4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41" fontId="23" fillId="2" borderId="1" xfId="1" applyFont="1" applyFill="1" applyBorder="1" applyAlignment="1">
      <alignment vertical="center"/>
    </xf>
    <xf numFmtId="41" fontId="23" fillId="2" borderId="1" xfId="1" applyFont="1" applyFill="1" applyBorder="1" applyAlignment="1">
      <alignment vertical="center" wrapText="1"/>
    </xf>
    <xf numFmtId="0" fontId="18" fillId="3" borderId="26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9" fillId="5" borderId="27" xfId="0" applyFont="1" applyFill="1" applyBorder="1" applyAlignment="1">
      <alignment horizontal="center" vertical="center" wrapText="1"/>
    </xf>
    <xf numFmtId="0" fontId="18" fillId="3" borderId="28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21" fillId="4" borderId="29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2" fillId="3" borderId="1" xfId="0" quotePrefix="1" applyFont="1" applyFill="1" applyBorder="1" applyAlignment="1">
      <alignment horizontal="center" vertical="center"/>
    </xf>
    <xf numFmtId="0" fontId="20" fillId="0" borderId="32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19" fillId="3" borderId="4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41" fontId="24" fillId="6" borderId="1" xfId="1" applyFont="1" applyFill="1" applyBorder="1" applyAlignment="1">
      <alignment horizontal="center" vertical="center"/>
    </xf>
    <xf numFmtId="0" fontId="25" fillId="7" borderId="0" xfId="0" applyFont="1" applyFill="1" applyBorder="1" applyAlignment="1">
      <alignment horizontal="left" vertical="center" wrapText="1"/>
    </xf>
    <xf numFmtId="0" fontId="25" fillId="7" borderId="0" xfId="0" applyFont="1" applyFill="1" applyBorder="1" applyAlignment="1">
      <alignment horizontal="left" vertical="center"/>
    </xf>
    <xf numFmtId="0" fontId="18" fillId="3" borderId="22" xfId="0" applyFont="1" applyFill="1" applyBorder="1" applyAlignment="1">
      <alignment horizontal="center" vertical="center" shrinkToFit="1"/>
    </xf>
    <xf numFmtId="0" fontId="19" fillId="3" borderId="42" xfId="0" applyFont="1" applyFill="1" applyBorder="1" applyAlignment="1">
      <alignment horizontal="center" vertical="center" wrapText="1"/>
    </xf>
    <xf numFmtId="0" fontId="19" fillId="8" borderId="43" xfId="0" applyFont="1" applyFill="1" applyBorder="1" applyAlignment="1">
      <alignment horizontal="center" vertical="center" wrapText="1"/>
    </xf>
    <xf numFmtId="0" fontId="21" fillId="4" borderId="44" xfId="0" applyFont="1" applyFill="1" applyBorder="1" applyAlignment="1">
      <alignment horizontal="center" vertical="center" wrapText="1"/>
    </xf>
    <xf numFmtId="0" fontId="26" fillId="3" borderId="1" xfId="0" quotePrefix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27" fillId="0" borderId="45" xfId="0" applyFont="1" applyBorder="1" applyAlignment="1">
      <alignment horizontal="left" vertical="center" wrapText="1"/>
    </xf>
    <xf numFmtId="0" fontId="28" fillId="8" borderId="4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29" fillId="7" borderId="0" xfId="0" applyFont="1" applyFill="1" applyAlignment="1">
      <alignment horizontal="center" vertical="center" shrinkToFit="1"/>
    </xf>
    <xf numFmtId="0" fontId="29" fillId="7" borderId="0" xfId="0" applyFont="1" applyFill="1" applyAlignment="1">
      <alignment horizontal="left" vertical="center" shrinkToFit="1"/>
    </xf>
    <xf numFmtId="0" fontId="21" fillId="7" borderId="0" xfId="0" applyFont="1" applyFill="1" applyAlignment="1">
      <alignment horizontal="center" vertical="center" shrinkToFit="1"/>
    </xf>
    <xf numFmtId="0" fontId="21" fillId="7" borderId="0" xfId="0" applyFont="1" applyFill="1" applyAlignment="1">
      <alignment horizontal="left" vertical="center" shrinkToFit="1"/>
    </xf>
    <xf numFmtId="3" fontId="20" fillId="0" borderId="33" xfId="0" applyNumberFormat="1" applyFont="1" applyBorder="1" applyAlignment="1">
      <alignment horizontal="center" vertical="center" wrapText="1"/>
    </xf>
    <xf numFmtId="0" fontId="8" fillId="6" borderId="2" xfId="0" applyFont="1" applyFill="1" applyBorder="1" applyAlignment="1">
      <alignment horizontal="right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3" fontId="20" fillId="0" borderId="7" xfId="0" applyNumberFormat="1" applyFont="1" applyBorder="1" applyAlignment="1">
      <alignment horizontal="center" vertical="center" wrapText="1"/>
    </xf>
    <xf numFmtId="41" fontId="20" fillId="0" borderId="7" xfId="1" applyFont="1" applyBorder="1" applyAlignment="1">
      <alignment horizontal="center" vertical="center" wrapText="1"/>
    </xf>
    <xf numFmtId="176" fontId="20" fillId="0" borderId="7" xfId="0" quotePrefix="1" applyNumberFormat="1" applyFont="1" applyFill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3" fontId="20" fillId="0" borderId="9" xfId="0" applyNumberFormat="1" applyFont="1" applyBorder="1" applyAlignment="1">
      <alignment horizontal="center" vertical="center" wrapText="1"/>
    </xf>
    <xf numFmtId="41" fontId="20" fillId="0" borderId="9" xfId="1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41" fontId="20" fillId="0" borderId="11" xfId="1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49" fontId="20" fillId="0" borderId="2" xfId="0" applyNumberFormat="1" applyFont="1" applyFill="1" applyBorder="1" applyAlignment="1">
      <alignment horizontal="center" vertical="center"/>
    </xf>
    <xf numFmtId="0" fontId="31" fillId="0" borderId="2" xfId="0" applyFont="1" applyFill="1" applyBorder="1" applyAlignment="1">
      <alignment horizontal="right" vertical="center" wrapText="1"/>
    </xf>
    <xf numFmtId="41" fontId="33" fillId="0" borderId="1" xfId="1" applyFont="1" applyFill="1" applyBorder="1" applyAlignment="1">
      <alignment vertical="center"/>
    </xf>
    <xf numFmtId="41" fontId="33" fillId="0" borderId="1" xfId="1" applyFont="1" applyFill="1" applyBorder="1" applyAlignment="1">
      <alignment horizontal="center" vertical="center"/>
    </xf>
    <xf numFmtId="0" fontId="21" fillId="4" borderId="52" xfId="0" applyFont="1" applyFill="1" applyBorder="1" applyAlignment="1">
      <alignment horizontal="center" vertical="center" wrapText="1"/>
    </xf>
    <xf numFmtId="0" fontId="21" fillId="4" borderId="53" xfId="0" applyFont="1" applyFill="1" applyBorder="1" applyAlignment="1">
      <alignment horizontal="center" vertical="center" wrapText="1"/>
    </xf>
    <xf numFmtId="0" fontId="21" fillId="4" borderId="55" xfId="0" applyFont="1" applyFill="1" applyBorder="1" applyAlignment="1">
      <alignment horizontal="center" vertical="center" wrapText="1"/>
    </xf>
    <xf numFmtId="0" fontId="31" fillId="2" borderId="12" xfId="0" applyFont="1" applyFill="1" applyBorder="1" applyAlignment="1">
      <alignment horizontal="left" vertical="center" wrapText="1"/>
    </xf>
    <xf numFmtId="0" fontId="31" fillId="2" borderId="3" xfId="0" applyFont="1" applyFill="1" applyBorder="1" applyAlignment="1">
      <alignment horizontal="left" vertical="center" wrapText="1"/>
    </xf>
    <xf numFmtId="0" fontId="31" fillId="2" borderId="2" xfId="0" applyFont="1" applyFill="1" applyBorder="1" applyAlignment="1">
      <alignment horizontal="left" vertical="center" wrapText="1"/>
    </xf>
    <xf numFmtId="0" fontId="25" fillId="7" borderId="58" xfId="0" applyFont="1" applyFill="1" applyBorder="1" applyAlignment="1">
      <alignment horizontal="left" vertical="center" wrapText="1"/>
    </xf>
    <xf numFmtId="0" fontId="25" fillId="7" borderId="0" xfId="0" applyFont="1" applyFill="1" applyBorder="1" applyAlignment="1">
      <alignment horizontal="left" vertical="center" wrapText="1"/>
    </xf>
    <xf numFmtId="0" fontId="25" fillId="7" borderId="59" xfId="0" applyFont="1" applyFill="1" applyBorder="1" applyAlignment="1">
      <alignment horizontal="left" vertical="center" wrapText="1"/>
    </xf>
    <xf numFmtId="0" fontId="20" fillId="2" borderId="12" xfId="0" applyFont="1" applyFill="1" applyBorder="1" applyAlignment="1">
      <alignment horizontal="left"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20" fillId="2" borderId="2" xfId="0" applyFont="1" applyFill="1" applyBorder="1" applyAlignment="1">
      <alignment horizontal="left" vertical="center" wrapText="1"/>
    </xf>
    <xf numFmtId="0" fontId="21" fillId="4" borderId="54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left" vertical="center" wrapText="1"/>
    </xf>
    <xf numFmtId="0" fontId="31" fillId="2" borderId="15" xfId="0" applyFont="1" applyFill="1" applyBorder="1" applyAlignment="1">
      <alignment horizontal="left" vertical="center"/>
    </xf>
    <xf numFmtId="0" fontId="31" fillId="2" borderId="16" xfId="0" applyFont="1" applyFill="1" applyBorder="1" applyAlignment="1">
      <alignment horizontal="left" vertical="center"/>
    </xf>
    <xf numFmtId="0" fontId="31" fillId="2" borderId="17" xfId="0" applyFont="1" applyFill="1" applyBorder="1" applyAlignment="1">
      <alignment horizontal="left" vertical="center"/>
    </xf>
    <xf numFmtId="0" fontId="31" fillId="2" borderId="0" xfId="0" applyFont="1" applyFill="1" applyBorder="1" applyAlignment="1">
      <alignment horizontal="left" vertical="center"/>
    </xf>
    <xf numFmtId="0" fontId="31" fillId="2" borderId="18" xfId="0" applyFont="1" applyFill="1" applyBorder="1" applyAlignment="1">
      <alignment horizontal="left" vertical="center"/>
    </xf>
    <xf numFmtId="0" fontId="31" fillId="2" borderId="19" xfId="0" applyFont="1" applyFill="1" applyBorder="1" applyAlignment="1">
      <alignment horizontal="left" vertical="center"/>
    </xf>
    <xf numFmtId="0" fontId="31" fillId="2" borderId="20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0" fontId="6" fillId="2" borderId="60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/>
    </xf>
    <xf numFmtId="0" fontId="21" fillId="4" borderId="13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8" fillId="3" borderId="56" xfId="0" applyFont="1" applyFill="1" applyBorder="1" applyAlignment="1">
      <alignment horizontal="center" vertical="center" wrapText="1"/>
    </xf>
    <xf numFmtId="0" fontId="21" fillId="4" borderId="57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31" fillId="2" borderId="15" xfId="0" applyFont="1" applyFill="1" applyBorder="1" applyAlignment="1">
      <alignment horizontal="left" vertical="center" wrapText="1"/>
    </xf>
    <xf numFmtId="0" fontId="31" fillId="2" borderId="16" xfId="0" applyFont="1" applyFill="1" applyBorder="1" applyAlignment="1">
      <alignment horizontal="left" vertical="center" wrapText="1"/>
    </xf>
    <xf numFmtId="0" fontId="31" fillId="2" borderId="17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31" fillId="2" borderId="18" xfId="0" applyFont="1" applyFill="1" applyBorder="1" applyAlignment="1">
      <alignment horizontal="left" vertical="center" wrapText="1"/>
    </xf>
    <xf numFmtId="0" fontId="31" fillId="2" borderId="19" xfId="0" applyFont="1" applyFill="1" applyBorder="1" applyAlignment="1">
      <alignment horizontal="left" vertical="center" wrapText="1"/>
    </xf>
    <xf numFmtId="0" fontId="31" fillId="2" borderId="20" xfId="0" applyFont="1" applyFill="1" applyBorder="1" applyAlignment="1">
      <alignment horizontal="left" vertical="center" wrapText="1"/>
    </xf>
    <xf numFmtId="0" fontId="31" fillId="2" borderId="21" xfId="0" applyFont="1" applyFill="1" applyBorder="1" applyAlignment="1">
      <alignment horizontal="left" vertical="center" wrapText="1"/>
    </xf>
    <xf numFmtId="0" fontId="31" fillId="0" borderId="5" xfId="0" applyFont="1" applyFill="1" applyBorder="1" applyAlignment="1">
      <alignment horizontal="left" vertical="center" wrapText="1"/>
    </xf>
    <xf numFmtId="0" fontId="31" fillId="0" borderId="15" xfId="0" applyFont="1" applyFill="1" applyBorder="1" applyAlignment="1">
      <alignment horizontal="left" vertical="center" wrapText="1"/>
    </xf>
    <xf numFmtId="0" fontId="31" fillId="0" borderId="16" xfId="0" applyFont="1" applyFill="1" applyBorder="1" applyAlignment="1">
      <alignment horizontal="left" vertical="center" wrapText="1"/>
    </xf>
    <xf numFmtId="0" fontId="31" fillId="0" borderId="17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left" vertical="center" wrapText="1"/>
    </xf>
    <xf numFmtId="0" fontId="31" fillId="0" borderId="18" xfId="0" applyFont="1" applyFill="1" applyBorder="1" applyAlignment="1">
      <alignment horizontal="left" vertical="center" wrapText="1"/>
    </xf>
    <xf numFmtId="0" fontId="31" fillId="0" borderId="19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31" fillId="0" borderId="21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20" fillId="2" borderId="1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41" fontId="24" fillId="6" borderId="3" xfId="1" applyFont="1" applyFill="1" applyBorder="1" applyAlignment="1">
      <alignment horizontal="center" vertical="center"/>
    </xf>
    <xf numFmtId="41" fontId="24" fillId="6" borderId="2" xfId="1" applyFont="1" applyFill="1" applyBorder="1" applyAlignment="1">
      <alignment horizontal="center" vertical="center"/>
    </xf>
    <xf numFmtId="41" fontId="24" fillId="2" borderId="12" xfId="1" applyFont="1" applyFill="1" applyBorder="1" applyAlignment="1">
      <alignment horizontal="center" vertical="center"/>
    </xf>
    <xf numFmtId="41" fontId="24" fillId="2" borderId="2" xfId="1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 wrapText="1"/>
    </xf>
    <xf numFmtId="0" fontId="8" fillId="2" borderId="16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center" vertical="center"/>
    </xf>
    <xf numFmtId="49" fontId="20" fillId="2" borderId="4" xfId="0" quotePrefix="1" applyNumberFormat="1" applyFont="1" applyFill="1" applyBorder="1" applyAlignment="1">
      <alignment horizontal="center" vertical="center" wrapText="1"/>
    </xf>
    <xf numFmtId="49" fontId="20" fillId="2" borderId="13" xfId="0" applyNumberFormat="1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center" shrinkToFit="1"/>
    </xf>
    <xf numFmtId="0" fontId="0" fillId="0" borderId="2" xfId="0" applyBorder="1" applyAlignment="1">
      <alignment horizontal="left" vertical="center" shrinkToFit="1"/>
    </xf>
    <xf numFmtId="49" fontId="20" fillId="2" borderId="4" xfId="0" applyNumberFormat="1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left" vertical="center" wrapText="1"/>
    </xf>
    <xf numFmtId="0" fontId="19" fillId="9" borderId="3" xfId="0" applyFont="1" applyFill="1" applyBorder="1" applyAlignment="1">
      <alignment horizontal="left" vertical="center" wrapText="1"/>
    </xf>
    <xf numFmtId="0" fontId="19" fillId="9" borderId="2" xfId="0" applyFont="1" applyFill="1" applyBorder="1" applyAlignment="1">
      <alignment horizontal="left" vertical="center" wrapText="1"/>
    </xf>
    <xf numFmtId="0" fontId="21" fillId="4" borderId="66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 wrapText="1"/>
    </xf>
    <xf numFmtId="0" fontId="21" fillId="4" borderId="67" xfId="0" applyFont="1" applyFill="1" applyBorder="1" applyAlignment="1">
      <alignment horizontal="center" vertical="center" wrapText="1"/>
    </xf>
    <xf numFmtId="0" fontId="19" fillId="3" borderId="16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19" fillId="3" borderId="21" xfId="0" applyFont="1" applyFill="1" applyBorder="1" applyAlignment="1">
      <alignment horizontal="center" vertical="center" wrapText="1"/>
    </xf>
    <xf numFmtId="0" fontId="19" fillId="3" borderId="68" xfId="0" applyFont="1" applyFill="1" applyBorder="1" applyAlignment="1">
      <alignment horizontal="center" vertical="center" wrapText="1"/>
    </xf>
    <xf numFmtId="0" fontId="25" fillId="7" borderId="0" xfId="0" applyFont="1" applyFill="1" applyBorder="1" applyAlignment="1">
      <alignment horizontal="left" vertical="center"/>
    </xf>
    <xf numFmtId="0" fontId="19" fillId="3" borderId="69" xfId="0" applyFont="1" applyFill="1" applyBorder="1" applyAlignment="1">
      <alignment horizontal="center" vertical="center" wrapText="1"/>
    </xf>
    <xf numFmtId="0" fontId="19" fillId="3" borderId="70" xfId="0" applyFont="1" applyFill="1" applyBorder="1" applyAlignment="1">
      <alignment horizontal="center" vertical="center" wrapText="1"/>
    </xf>
    <xf numFmtId="0" fontId="19" fillId="3" borderId="7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30" fillId="0" borderId="72" xfId="0" applyFont="1" applyBorder="1" applyAlignment="1">
      <alignment horizontal="center" vertical="center" wrapText="1"/>
    </xf>
    <xf numFmtId="0" fontId="30" fillId="0" borderId="73" xfId="0" applyFont="1" applyBorder="1" applyAlignment="1">
      <alignment horizontal="center" vertical="center" wrapText="1"/>
    </xf>
    <xf numFmtId="0" fontId="30" fillId="0" borderId="74" xfId="0" applyFont="1" applyBorder="1" applyAlignment="1">
      <alignment horizontal="center" vertical="center" wrapText="1"/>
    </xf>
    <xf numFmtId="0" fontId="30" fillId="0" borderId="75" xfId="0" applyFont="1" applyBorder="1" applyAlignment="1">
      <alignment horizontal="center" vertical="center" wrapText="1"/>
    </xf>
    <xf numFmtId="0" fontId="30" fillId="0" borderId="76" xfId="0" applyFont="1" applyBorder="1" applyAlignment="1">
      <alignment horizontal="center" vertical="center" wrapText="1"/>
    </xf>
    <xf numFmtId="0" fontId="30" fillId="0" borderId="77" xfId="0" applyFont="1" applyBorder="1" applyAlignment="1">
      <alignment horizontal="center" vertical="center" wrapText="1"/>
    </xf>
    <xf numFmtId="0" fontId="19" fillId="5" borderId="61" xfId="0" applyFont="1" applyFill="1" applyBorder="1" applyAlignment="1">
      <alignment horizontal="center" vertical="center" wrapText="1"/>
    </xf>
    <xf numFmtId="0" fontId="19" fillId="5" borderId="62" xfId="0" applyFont="1" applyFill="1" applyBorder="1" applyAlignment="1">
      <alignment horizontal="center" vertical="center" wrapText="1"/>
    </xf>
    <xf numFmtId="0" fontId="19" fillId="5" borderId="63" xfId="0" applyFont="1" applyFill="1" applyBorder="1" applyAlignment="1">
      <alignment horizontal="center" vertical="center" wrapText="1"/>
    </xf>
    <xf numFmtId="0" fontId="20" fillId="0" borderId="64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65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933450</xdr:colOff>
          <xdr:row>18</xdr:row>
          <xdr:rowOff>31750</xdr:rowOff>
        </xdr:from>
        <xdr:to>
          <xdr:col>2</xdr:col>
          <xdr:colOff>660400</xdr:colOff>
          <xdr:row>18</xdr:row>
          <xdr:rowOff>241300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0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여신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18</xdr:row>
          <xdr:rowOff>31750</xdr:rowOff>
        </xdr:from>
        <xdr:to>
          <xdr:col>3</xdr:col>
          <xdr:colOff>774700</xdr:colOff>
          <xdr:row>18</xdr:row>
          <xdr:rowOff>247650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0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수신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812800</xdr:colOff>
          <xdr:row>18</xdr:row>
          <xdr:rowOff>31750</xdr:rowOff>
        </xdr:from>
        <xdr:to>
          <xdr:col>4</xdr:col>
          <xdr:colOff>400050</xdr:colOff>
          <xdr:row>18</xdr:row>
          <xdr:rowOff>241300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0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국제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18</xdr:row>
          <xdr:rowOff>31750</xdr:rowOff>
        </xdr:from>
        <xdr:to>
          <xdr:col>5</xdr:col>
          <xdr:colOff>698500</xdr:colOff>
          <xdr:row>18</xdr:row>
          <xdr:rowOff>247650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0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리스크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812800</xdr:colOff>
          <xdr:row>18</xdr:row>
          <xdr:rowOff>31750</xdr:rowOff>
        </xdr:from>
        <xdr:to>
          <xdr:col>6</xdr:col>
          <xdr:colOff>584200</xdr:colOff>
          <xdr:row>18</xdr:row>
          <xdr:rowOff>241300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0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관리지원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717550</xdr:colOff>
          <xdr:row>18</xdr:row>
          <xdr:rowOff>31750</xdr:rowOff>
        </xdr:from>
        <xdr:to>
          <xdr:col>7</xdr:col>
          <xdr:colOff>76200</xdr:colOff>
          <xdr:row>18</xdr:row>
          <xdr:rowOff>241300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0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831850</xdr:colOff>
          <xdr:row>19</xdr:row>
          <xdr:rowOff>12700</xdr:rowOff>
        </xdr:from>
        <xdr:to>
          <xdr:col>3</xdr:col>
          <xdr:colOff>0</xdr:colOff>
          <xdr:row>19</xdr:row>
          <xdr:rowOff>228600</xdr:rowOff>
        </xdr:to>
        <xdr:sp macro="" textlink="">
          <xdr:nvSpPr>
            <xdr:cNvPr id="7192" name="Check Box 24" descr="신규 개발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0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신규 개발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19</xdr:row>
          <xdr:rowOff>12700</xdr:rowOff>
        </xdr:from>
        <xdr:to>
          <xdr:col>4</xdr:col>
          <xdr:colOff>374650</xdr:colOff>
          <xdr:row>19</xdr:row>
          <xdr:rowOff>241300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0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기능 개선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527050</xdr:colOff>
          <xdr:row>19</xdr:row>
          <xdr:rowOff>12700</xdr:rowOff>
        </xdr:from>
        <xdr:to>
          <xdr:col>6</xdr:col>
          <xdr:colOff>622300</xdr:colOff>
          <xdr:row>19</xdr:row>
          <xdr:rowOff>228600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0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IT인프라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127000</xdr:colOff>
          <xdr:row>19</xdr:row>
          <xdr:rowOff>31750</xdr:rowOff>
        </xdr:from>
        <xdr:to>
          <xdr:col>5</xdr:col>
          <xdr:colOff>355600</xdr:colOff>
          <xdr:row>19</xdr:row>
          <xdr:rowOff>241300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0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법률/규제 대응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12700</xdr:rowOff>
        </xdr:from>
        <xdr:to>
          <xdr:col>2</xdr:col>
          <xdr:colOff>685800</xdr:colOff>
          <xdr:row>21</xdr:row>
          <xdr:rowOff>228600</xdr:rowOff>
        </xdr:to>
        <xdr:sp macro="" textlink="">
          <xdr:nvSpPr>
            <xdr:cNvPr id="7205" name="Check Box 37" hidden="1">
              <a:extLst>
                <a:ext uri="{63B3BB69-23CF-44E3-9099-C40C66FF867C}">
                  <a14:compatExt spid="_x0000_s7205"/>
                </a:ext>
                <a:ext uri="{FF2B5EF4-FFF2-40B4-BE49-F238E27FC236}">
                  <a16:creationId xmlns:a16="http://schemas.microsoft.com/office/drawing/2014/main" id="{00000000-0008-0000-0000-00002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기업고객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21</xdr:row>
          <xdr:rowOff>12700</xdr:rowOff>
        </xdr:from>
        <xdr:to>
          <xdr:col>3</xdr:col>
          <xdr:colOff>717550</xdr:colOff>
          <xdr:row>21</xdr:row>
          <xdr:rowOff>228600</xdr:rowOff>
        </xdr:to>
        <xdr:sp macro="" textlink="">
          <xdr:nvSpPr>
            <xdr:cNvPr id="7207" name="Check Box 39" hidden="1">
              <a:extLst>
                <a:ext uri="{63B3BB69-23CF-44E3-9099-C40C66FF867C}">
                  <a14:compatExt spid="_x0000_s7207"/>
                </a:ext>
                <a:ext uri="{FF2B5EF4-FFF2-40B4-BE49-F238E27FC236}">
                  <a16:creationId xmlns:a16="http://schemas.microsoft.com/office/drawing/2014/main" id="{00000000-0008-0000-0000-00002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개인고객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793750</xdr:colOff>
          <xdr:row>21</xdr:row>
          <xdr:rowOff>12700</xdr:rowOff>
        </xdr:from>
        <xdr:to>
          <xdr:col>4</xdr:col>
          <xdr:colOff>679450</xdr:colOff>
          <xdr:row>21</xdr:row>
          <xdr:rowOff>228600</xdr:rowOff>
        </xdr:to>
        <xdr:sp macro="" textlink="">
          <xdr:nvSpPr>
            <xdr:cNvPr id="7208" name="Check Box 40" hidden="1">
              <a:extLst>
                <a:ext uri="{63B3BB69-23CF-44E3-9099-C40C66FF867C}">
                  <a14:compatExt spid="_x0000_s7208"/>
                </a:ext>
                <a:ext uri="{FF2B5EF4-FFF2-40B4-BE49-F238E27FC236}">
                  <a16:creationId xmlns:a16="http://schemas.microsoft.com/office/drawing/2014/main" id="{00000000-0008-0000-0000-00002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내부직원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21</xdr:row>
          <xdr:rowOff>12700</xdr:rowOff>
        </xdr:from>
        <xdr:to>
          <xdr:col>6</xdr:col>
          <xdr:colOff>495300</xdr:colOff>
          <xdr:row>21</xdr:row>
          <xdr:rowOff>228600</xdr:rowOff>
        </xdr:to>
        <xdr:sp macro="" textlink="">
          <xdr:nvSpPr>
            <xdr:cNvPr id="7209" name="Check Box 41" hidden="1">
              <a:extLst>
                <a:ext uri="{63B3BB69-23CF-44E3-9099-C40C66FF867C}">
                  <a14:compatExt spid="_x0000_s7209"/>
                </a:ext>
                <a:ext uri="{FF2B5EF4-FFF2-40B4-BE49-F238E27FC236}">
                  <a16:creationId xmlns:a16="http://schemas.microsoft.com/office/drawing/2014/main" id="{00000000-0008-0000-0000-00002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 기타(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12700</xdr:rowOff>
        </xdr:from>
        <xdr:to>
          <xdr:col>3</xdr:col>
          <xdr:colOff>342900</xdr:colOff>
          <xdr:row>26</xdr:row>
          <xdr:rowOff>228600</xdr:rowOff>
        </xdr:to>
        <xdr:sp macro="" textlink="">
          <xdr:nvSpPr>
            <xdr:cNvPr id="7211" name="Check Box 43" hidden="1">
              <a:extLst>
                <a:ext uri="{63B3BB69-23CF-44E3-9099-C40C66FF867C}">
                  <a14:compatExt spid="_x0000_s7211"/>
                </a:ext>
                <a:ext uri="{FF2B5EF4-FFF2-40B4-BE49-F238E27FC236}">
                  <a16:creationId xmlns:a16="http://schemas.microsoft.com/office/drawing/2014/main" id="{00000000-0008-0000-0000-00002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확정(변동가능성 無)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469900</xdr:colOff>
          <xdr:row>26</xdr:row>
          <xdr:rowOff>12700</xdr:rowOff>
        </xdr:from>
        <xdr:to>
          <xdr:col>8</xdr:col>
          <xdr:colOff>438150</xdr:colOff>
          <xdr:row>26</xdr:row>
          <xdr:rowOff>228600</xdr:rowOff>
        </xdr:to>
        <xdr:sp macro="" textlink="">
          <xdr:nvSpPr>
            <xdr:cNvPr id="7212" name="Check Box 44" hidden="1">
              <a:extLst>
                <a:ext uri="{63B3BB69-23CF-44E3-9099-C40C66FF867C}">
                  <a14:compatExt spid="_x0000_s7212"/>
                </a:ext>
                <a:ext uri="{FF2B5EF4-FFF2-40B4-BE49-F238E27FC236}">
                  <a16:creationId xmlns:a16="http://schemas.microsoft.com/office/drawing/2014/main" id="{00000000-0008-0000-0000-00002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추진계획 검토중 (유관부서검토 여부 :                                             ) (변동가능성 有)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26</xdr:row>
          <xdr:rowOff>12700</xdr:rowOff>
        </xdr:from>
        <xdr:to>
          <xdr:col>6</xdr:col>
          <xdr:colOff>546100</xdr:colOff>
          <xdr:row>26</xdr:row>
          <xdr:rowOff>228600</xdr:rowOff>
        </xdr:to>
        <xdr:sp macro="" textlink="">
          <xdr:nvSpPr>
            <xdr:cNvPr id="7213" name="Check Box 45" hidden="1">
              <a:extLst>
                <a:ext uri="{63B3BB69-23CF-44E3-9099-C40C66FF867C}">
                  <a14:compatExt spid="_x0000_s7213"/>
                </a:ext>
                <a:ext uri="{FF2B5EF4-FFF2-40B4-BE49-F238E27FC236}">
                  <a16:creationId xmlns:a16="http://schemas.microsoft.com/office/drawing/2014/main" id="{00000000-0008-0000-0000-00002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831850</xdr:colOff>
          <xdr:row>20</xdr:row>
          <xdr:rowOff>31750</xdr:rowOff>
        </xdr:from>
        <xdr:to>
          <xdr:col>2</xdr:col>
          <xdr:colOff>704850</xdr:colOff>
          <xdr:row>20</xdr:row>
          <xdr:rowOff>241300</xdr:rowOff>
        </xdr:to>
        <xdr:sp macro="" textlink="">
          <xdr:nvSpPr>
            <xdr:cNvPr id="7224" name="Check Box 56" hidden="1">
              <a:extLst>
                <a:ext uri="{63B3BB69-23CF-44E3-9099-C40C66FF867C}">
                  <a14:compatExt spid="_x0000_s7224"/>
                </a:ext>
                <a:ext uri="{FF2B5EF4-FFF2-40B4-BE49-F238E27FC236}">
                  <a16:creationId xmlns:a16="http://schemas.microsoft.com/office/drawing/2014/main" id="{00000000-0008-0000-0000-00003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빅데이터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31750</xdr:colOff>
          <xdr:row>20</xdr:row>
          <xdr:rowOff>31750</xdr:rowOff>
        </xdr:from>
        <xdr:to>
          <xdr:col>3</xdr:col>
          <xdr:colOff>527050</xdr:colOff>
          <xdr:row>20</xdr:row>
          <xdr:rowOff>247650</xdr:rowOff>
        </xdr:to>
        <xdr:sp macro="" textlink="">
          <xdr:nvSpPr>
            <xdr:cNvPr id="7225" name="Check Box 57" hidden="1">
              <a:extLst>
                <a:ext uri="{63B3BB69-23CF-44E3-9099-C40C66FF867C}">
                  <a14:compatExt spid="_x0000_s7225"/>
                </a:ext>
                <a:ext uri="{FF2B5EF4-FFF2-40B4-BE49-F238E27FC236}">
                  <a16:creationId xmlns:a16="http://schemas.microsoft.com/office/drawing/2014/main" id="{00000000-0008-0000-0000-00003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AI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781050</xdr:colOff>
          <xdr:row>20</xdr:row>
          <xdr:rowOff>31750</xdr:rowOff>
        </xdr:from>
        <xdr:to>
          <xdr:col>4</xdr:col>
          <xdr:colOff>495300</xdr:colOff>
          <xdr:row>20</xdr:row>
          <xdr:rowOff>241300</xdr:rowOff>
        </xdr:to>
        <xdr:sp macro="" textlink="">
          <xdr:nvSpPr>
            <xdr:cNvPr id="7226" name="Check Box 58" hidden="1">
              <a:extLst>
                <a:ext uri="{63B3BB69-23CF-44E3-9099-C40C66FF867C}">
                  <a14:compatExt spid="_x0000_s7226"/>
                </a:ext>
                <a:ext uri="{FF2B5EF4-FFF2-40B4-BE49-F238E27FC236}">
                  <a16:creationId xmlns:a16="http://schemas.microsoft.com/office/drawing/2014/main" id="{00000000-0008-0000-0000-00003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클라우드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12700</xdr:colOff>
          <xdr:row>20</xdr:row>
          <xdr:rowOff>31750</xdr:rowOff>
        </xdr:from>
        <xdr:to>
          <xdr:col>6</xdr:col>
          <xdr:colOff>127000</xdr:colOff>
          <xdr:row>20</xdr:row>
          <xdr:rowOff>241300</xdr:rowOff>
        </xdr:to>
        <xdr:sp macro="" textlink="">
          <xdr:nvSpPr>
            <xdr:cNvPr id="7227" name="Check Box 59" hidden="1">
              <a:extLst>
                <a:ext uri="{63B3BB69-23CF-44E3-9099-C40C66FF867C}">
                  <a14:compatExt spid="_x0000_s7227"/>
                </a:ext>
                <a:ext uri="{FF2B5EF4-FFF2-40B4-BE49-F238E27FC236}">
                  <a16:creationId xmlns:a16="http://schemas.microsoft.com/office/drawing/2014/main" id="{00000000-0008-0000-0000-00003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블록체인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412750</xdr:colOff>
          <xdr:row>22</xdr:row>
          <xdr:rowOff>31750</xdr:rowOff>
        </xdr:from>
        <xdr:to>
          <xdr:col>3</xdr:col>
          <xdr:colOff>260350</xdr:colOff>
          <xdr:row>22</xdr:row>
          <xdr:rowOff>228600</xdr:rowOff>
        </xdr:to>
        <xdr:sp macro="" textlink="">
          <xdr:nvSpPr>
            <xdr:cNvPr id="7236" name="Check Box 68" hidden="1">
              <a:extLst>
                <a:ext uri="{63B3BB69-23CF-44E3-9099-C40C66FF867C}">
                  <a14:compatExt spid="_x0000_s7236"/>
                </a:ext>
                <a:ext uri="{FF2B5EF4-FFF2-40B4-BE49-F238E27FC236}">
                  <a16:creationId xmlns:a16="http://schemas.microsoft.com/office/drawing/2014/main" id="{00000000-0008-0000-0000-00004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비중복(N)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584200</xdr:colOff>
          <xdr:row>22</xdr:row>
          <xdr:rowOff>31750</xdr:rowOff>
        </xdr:from>
        <xdr:to>
          <xdr:col>4</xdr:col>
          <xdr:colOff>438150</xdr:colOff>
          <xdr:row>22</xdr:row>
          <xdr:rowOff>228600</xdr:rowOff>
        </xdr:to>
        <xdr:sp macro="" textlink="">
          <xdr:nvSpPr>
            <xdr:cNvPr id="7237" name="Check Box 69" hidden="1">
              <a:extLst>
                <a:ext uri="{63B3BB69-23CF-44E3-9099-C40C66FF867C}">
                  <a14:compatExt spid="_x0000_s7237"/>
                </a:ext>
                <a:ext uri="{FF2B5EF4-FFF2-40B4-BE49-F238E27FC236}">
                  <a16:creationId xmlns:a16="http://schemas.microsoft.com/office/drawing/2014/main" id="{00000000-0008-0000-0000-00004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중복(Y)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22</xdr:row>
          <xdr:rowOff>31750</xdr:rowOff>
        </xdr:from>
        <xdr:to>
          <xdr:col>6</xdr:col>
          <xdr:colOff>927100</xdr:colOff>
          <xdr:row>22</xdr:row>
          <xdr:rowOff>228600</xdr:rowOff>
        </xdr:to>
        <xdr:sp macro="" textlink="">
          <xdr:nvSpPr>
            <xdr:cNvPr id="7240" name="Check Box 72" hidden="1">
              <a:extLst>
                <a:ext uri="{63B3BB69-23CF-44E3-9099-C40C66FF867C}">
                  <a14:compatExt spid="_x0000_s7240"/>
                </a:ext>
                <a:ext uri="{FF2B5EF4-FFF2-40B4-BE49-F238E27FC236}">
                  <a16:creationId xmlns:a16="http://schemas.microsoft.com/office/drawing/2014/main" id="{00000000-0008-0000-0000-00004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2025년 이내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12700</xdr:colOff>
          <xdr:row>22</xdr:row>
          <xdr:rowOff>31750</xdr:rowOff>
        </xdr:from>
        <xdr:to>
          <xdr:col>7</xdr:col>
          <xdr:colOff>838200</xdr:colOff>
          <xdr:row>22</xdr:row>
          <xdr:rowOff>228600</xdr:rowOff>
        </xdr:to>
        <xdr:sp macro="" textlink="">
          <xdr:nvSpPr>
            <xdr:cNvPr id="7241" name="Check Box 73" hidden="1">
              <a:extLst>
                <a:ext uri="{63B3BB69-23CF-44E3-9099-C40C66FF867C}">
                  <a14:compatExt spid="_x0000_s7241"/>
                </a:ext>
                <a:ext uri="{FF2B5EF4-FFF2-40B4-BE49-F238E27FC236}">
                  <a16:creationId xmlns:a16="http://schemas.microsoft.com/office/drawing/2014/main" id="{00000000-0008-0000-0000-00004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2026년 이후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20</xdr:row>
          <xdr:rowOff>31750</xdr:rowOff>
        </xdr:from>
        <xdr:to>
          <xdr:col>7</xdr:col>
          <xdr:colOff>203200</xdr:colOff>
          <xdr:row>20</xdr:row>
          <xdr:rowOff>241300</xdr:rowOff>
        </xdr:to>
        <xdr:sp macro="" textlink="">
          <xdr:nvSpPr>
            <xdr:cNvPr id="7242" name="Check Box 74" hidden="1">
              <a:extLst>
                <a:ext uri="{63B3BB69-23CF-44E3-9099-C40C66FF867C}">
                  <a14:compatExt spid="_x0000_s7242"/>
                </a:ext>
                <a:ext uri="{FF2B5EF4-FFF2-40B4-BE49-F238E27FC236}">
                  <a16:creationId xmlns:a16="http://schemas.microsoft.com/office/drawing/2014/main" id="{00000000-0008-0000-0000-00004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플랫폼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69850</xdr:colOff>
          <xdr:row>20</xdr:row>
          <xdr:rowOff>31750</xdr:rowOff>
        </xdr:from>
        <xdr:to>
          <xdr:col>8</xdr:col>
          <xdr:colOff>266700</xdr:colOff>
          <xdr:row>20</xdr:row>
          <xdr:rowOff>241300</xdr:rowOff>
        </xdr:to>
        <xdr:sp macro="" textlink="">
          <xdr:nvSpPr>
            <xdr:cNvPr id="7243" name="Check Box 75" hidden="1">
              <a:extLst>
                <a:ext uri="{63B3BB69-23CF-44E3-9099-C40C66FF867C}">
                  <a14:compatExt spid="_x0000_s7243"/>
                </a:ext>
                <a:ext uri="{FF2B5EF4-FFF2-40B4-BE49-F238E27FC236}">
                  <a16:creationId xmlns:a16="http://schemas.microsoft.com/office/drawing/2014/main" id="{00000000-0008-0000-0000-00004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핀테크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50800</xdr:colOff>
          <xdr:row>20</xdr:row>
          <xdr:rowOff>12700</xdr:rowOff>
        </xdr:from>
        <xdr:to>
          <xdr:col>9</xdr:col>
          <xdr:colOff>165100</xdr:colOff>
          <xdr:row>20</xdr:row>
          <xdr:rowOff>241300</xdr:rowOff>
        </xdr:to>
        <xdr:sp macro="" textlink="">
          <xdr:nvSpPr>
            <xdr:cNvPr id="7244" name="Check Box 76" hidden="1">
              <a:extLst>
                <a:ext uri="{63B3BB69-23CF-44E3-9099-C40C66FF867C}">
                  <a14:compatExt spid="_x0000_s7244"/>
                </a:ext>
                <a:ext uri="{FF2B5EF4-FFF2-40B4-BE49-F238E27FC236}">
                  <a16:creationId xmlns:a16="http://schemas.microsoft.com/office/drawing/2014/main" id="{00000000-0008-0000-0000-00004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기타(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508000</xdr:colOff>
          <xdr:row>19</xdr:row>
          <xdr:rowOff>12700</xdr:rowOff>
        </xdr:from>
        <xdr:to>
          <xdr:col>8</xdr:col>
          <xdr:colOff>857250</xdr:colOff>
          <xdr:row>19</xdr:row>
          <xdr:rowOff>228600</xdr:rowOff>
        </xdr:to>
        <xdr:sp macro="" textlink="">
          <xdr:nvSpPr>
            <xdr:cNvPr id="7246" name="Check Box 78" hidden="1">
              <a:extLst>
                <a:ext uri="{63B3BB69-23CF-44E3-9099-C40C66FF867C}">
                  <a14:compatExt spid="_x0000_s7246"/>
                </a:ext>
                <a:ext uri="{FF2B5EF4-FFF2-40B4-BE49-F238E27FC236}">
                  <a16:creationId xmlns:a16="http://schemas.microsoft.com/office/drawing/2014/main" id="{00000000-0008-0000-0000-00004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508000</xdr:colOff>
          <xdr:row>18</xdr:row>
          <xdr:rowOff>31750</xdr:rowOff>
        </xdr:from>
        <xdr:to>
          <xdr:col>8</xdr:col>
          <xdr:colOff>838200</xdr:colOff>
          <xdr:row>18</xdr:row>
          <xdr:rowOff>241300</xdr:rowOff>
        </xdr:to>
        <xdr:sp macro="" textlink="">
          <xdr:nvSpPr>
            <xdr:cNvPr id="7247" name="Check Box 79" hidden="1">
              <a:extLst>
                <a:ext uri="{63B3BB69-23CF-44E3-9099-C40C66FF867C}">
                  <a14:compatExt spid="_x0000_s7247"/>
                </a:ext>
                <a:ext uri="{FF2B5EF4-FFF2-40B4-BE49-F238E27FC236}">
                  <a16:creationId xmlns:a16="http://schemas.microsoft.com/office/drawing/2014/main" id="{00000000-0008-0000-0000-00004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12700</xdr:rowOff>
        </xdr:from>
        <xdr:to>
          <xdr:col>3</xdr:col>
          <xdr:colOff>495300</xdr:colOff>
          <xdr:row>25</xdr:row>
          <xdr:rowOff>228600</xdr:rowOff>
        </xdr:to>
        <xdr:sp macro="" textlink="">
          <xdr:nvSpPr>
            <xdr:cNvPr id="7257" name="Check Box 89" hidden="1">
              <a:extLst>
                <a:ext uri="{63B3BB69-23CF-44E3-9099-C40C66FF867C}">
                  <a14:compatExt spid="_x0000_s7257"/>
                </a:ext>
                <a:ext uri="{FF2B5EF4-FFF2-40B4-BE49-F238E27FC236}">
                  <a16:creationId xmlns:a16="http://schemas.microsoft.com/office/drawing/2014/main" id="{00000000-0008-0000-0000-00005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부문장(본부장) 보고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469900</xdr:colOff>
          <xdr:row>25</xdr:row>
          <xdr:rowOff>31750</xdr:rowOff>
        </xdr:from>
        <xdr:to>
          <xdr:col>4</xdr:col>
          <xdr:colOff>533400</xdr:colOff>
          <xdr:row>25</xdr:row>
          <xdr:rowOff>241300</xdr:rowOff>
        </xdr:to>
        <xdr:sp macro="" textlink="">
          <xdr:nvSpPr>
            <xdr:cNvPr id="7258" name="Check Box 90" hidden="1">
              <a:extLst>
                <a:ext uri="{63B3BB69-23CF-44E3-9099-C40C66FF867C}">
                  <a14:compatExt spid="_x0000_s7258"/>
                </a:ext>
                <a:ext uri="{FF2B5EF4-FFF2-40B4-BE49-F238E27FC236}">
                  <a16:creationId xmlns:a16="http://schemas.microsoft.com/office/drawing/2014/main" id="{00000000-0008-0000-0000-00005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부서장 보고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717550</xdr:colOff>
          <xdr:row>25</xdr:row>
          <xdr:rowOff>31750</xdr:rowOff>
        </xdr:from>
        <xdr:to>
          <xdr:col>6</xdr:col>
          <xdr:colOff>381000</xdr:colOff>
          <xdr:row>25</xdr:row>
          <xdr:rowOff>241300</xdr:rowOff>
        </xdr:to>
        <xdr:sp macro="" textlink="">
          <xdr:nvSpPr>
            <xdr:cNvPr id="7260" name="Check Box 92" hidden="1">
              <a:extLst>
                <a:ext uri="{63B3BB69-23CF-44E3-9099-C40C66FF867C}">
                  <a14:compatExt spid="_x0000_s7260"/>
                </a:ext>
                <a:ext uri="{FF2B5EF4-FFF2-40B4-BE49-F238E27FC236}">
                  <a16:creationId xmlns:a16="http://schemas.microsoft.com/office/drawing/2014/main" id="{00000000-0008-0000-0000-00005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22</xdr:row>
          <xdr:rowOff>12700</xdr:rowOff>
        </xdr:from>
        <xdr:to>
          <xdr:col>8</xdr:col>
          <xdr:colOff>889000</xdr:colOff>
          <xdr:row>22</xdr:row>
          <xdr:rowOff>228600</xdr:rowOff>
        </xdr:to>
        <xdr:sp macro="" textlink="">
          <xdr:nvSpPr>
            <xdr:cNvPr id="7264" name="Check Box 96" hidden="1">
              <a:extLst>
                <a:ext uri="{63B3BB69-23CF-44E3-9099-C40C66FF867C}">
                  <a14:compatExt spid="_x0000_s7264"/>
                </a:ext>
                <a:ext uri="{FF2B5EF4-FFF2-40B4-BE49-F238E27FC236}">
                  <a16:creationId xmlns:a16="http://schemas.microsoft.com/office/drawing/2014/main" id="{00000000-0008-0000-0000-00006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별도없음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552450</xdr:colOff>
          <xdr:row>19</xdr:row>
          <xdr:rowOff>12700</xdr:rowOff>
        </xdr:from>
        <xdr:to>
          <xdr:col>7</xdr:col>
          <xdr:colOff>603250</xdr:colOff>
          <xdr:row>19</xdr:row>
          <xdr:rowOff>228600</xdr:rowOff>
        </xdr:to>
        <xdr:sp macro="" textlink="">
          <xdr:nvSpPr>
            <xdr:cNvPr id="7265" name="Check Box 97" hidden="1">
              <a:extLst>
                <a:ext uri="{63B3BB69-23CF-44E3-9099-C40C66FF867C}">
                  <a14:compatExt spid="_x0000_s7265"/>
                </a:ext>
                <a:ext uri="{FF2B5EF4-FFF2-40B4-BE49-F238E27FC236}">
                  <a16:creationId xmlns:a16="http://schemas.microsoft.com/office/drawing/2014/main" id="{00000000-0008-0000-0000-00006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보안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609600</xdr:colOff>
          <xdr:row>26</xdr:row>
          <xdr:rowOff>12700</xdr:rowOff>
        </xdr:from>
        <xdr:to>
          <xdr:col>7</xdr:col>
          <xdr:colOff>19050</xdr:colOff>
          <xdr:row>26</xdr:row>
          <xdr:rowOff>228600</xdr:rowOff>
        </xdr:to>
        <xdr:sp macro="" textlink="">
          <xdr:nvSpPr>
            <xdr:cNvPr id="7267" name="Check Box 99" hidden="1">
              <a:extLst>
                <a:ext uri="{63B3BB69-23CF-44E3-9099-C40C66FF867C}">
                  <a14:compatExt spid="_x0000_s7267"/>
                </a:ext>
                <a:ext uri="{FF2B5EF4-FFF2-40B4-BE49-F238E27FC236}">
                  <a16:creationId xmlns:a16="http://schemas.microsoft.com/office/drawing/2014/main" id="{00000000-0008-0000-0000-00006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190500</xdr:colOff>
          <xdr:row>26</xdr:row>
          <xdr:rowOff>12700</xdr:rowOff>
        </xdr:from>
        <xdr:to>
          <xdr:col>7</xdr:col>
          <xdr:colOff>679450</xdr:colOff>
          <xdr:row>26</xdr:row>
          <xdr:rowOff>241300</xdr:rowOff>
        </xdr:to>
        <xdr:sp macro="" textlink="">
          <xdr:nvSpPr>
            <xdr:cNvPr id="7268" name="Check Box 100" hidden="1">
              <a:extLst>
                <a:ext uri="{63B3BB69-23CF-44E3-9099-C40C66FF867C}">
                  <a14:compatExt spid="_x0000_s7268"/>
                </a:ext>
                <a:ext uri="{FF2B5EF4-FFF2-40B4-BE49-F238E27FC236}">
                  <a16:creationId xmlns:a16="http://schemas.microsoft.com/office/drawing/2014/main" id="{00000000-0008-0000-0000-00006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N/A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107950</xdr:colOff>
          <xdr:row>6</xdr:row>
          <xdr:rowOff>0</xdr:rowOff>
        </xdr:from>
        <xdr:to>
          <xdr:col>2</xdr:col>
          <xdr:colOff>717550</xdr:colOff>
          <xdr:row>7</xdr:row>
          <xdr:rowOff>38100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1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채널계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838200</xdr:colOff>
          <xdr:row>5</xdr:row>
          <xdr:rowOff>336550</xdr:rowOff>
        </xdr:from>
        <xdr:to>
          <xdr:col>2</xdr:col>
          <xdr:colOff>1409700</xdr:colOff>
          <xdr:row>7</xdr:row>
          <xdr:rowOff>31750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1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계정계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1574800</xdr:colOff>
          <xdr:row>6</xdr:row>
          <xdr:rowOff>0</xdr:rowOff>
        </xdr:from>
        <xdr:to>
          <xdr:col>2</xdr:col>
          <xdr:colOff>2184400</xdr:colOff>
          <xdr:row>7</xdr:row>
          <xdr:rowOff>38100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1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정보계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6</xdr:row>
          <xdr:rowOff>0</xdr:rowOff>
        </xdr:from>
        <xdr:to>
          <xdr:col>3</xdr:col>
          <xdr:colOff>742950</xdr:colOff>
          <xdr:row>7</xdr:row>
          <xdr:rowOff>38100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1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경영관리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889000</xdr:colOff>
          <xdr:row>6</xdr:row>
          <xdr:rowOff>0</xdr:rowOff>
        </xdr:from>
        <xdr:to>
          <xdr:col>4</xdr:col>
          <xdr:colOff>514350</xdr:colOff>
          <xdr:row>7</xdr:row>
          <xdr:rowOff>38100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1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인프라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590550</xdr:colOff>
          <xdr:row>6</xdr:row>
          <xdr:rowOff>0</xdr:rowOff>
        </xdr:from>
        <xdr:to>
          <xdr:col>5</xdr:col>
          <xdr:colOff>336550</xdr:colOff>
          <xdr:row>7</xdr:row>
          <xdr:rowOff>38100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1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보안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</xdr:colOff>
          <xdr:row>7</xdr:row>
          <xdr:rowOff>38100</xdr:rowOff>
        </xdr:from>
        <xdr:to>
          <xdr:col>2</xdr:col>
          <xdr:colOff>679450</xdr:colOff>
          <xdr:row>7</xdr:row>
          <xdr:rowOff>355600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1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온라인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831850</xdr:colOff>
          <xdr:row>7</xdr:row>
          <xdr:rowOff>38100</xdr:rowOff>
        </xdr:from>
        <xdr:to>
          <xdr:col>2</xdr:col>
          <xdr:colOff>1428750</xdr:colOff>
          <xdr:row>7</xdr:row>
          <xdr:rowOff>355600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1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24*365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1574800</xdr:colOff>
          <xdr:row>7</xdr:row>
          <xdr:rowOff>38100</xdr:rowOff>
        </xdr:from>
        <xdr:to>
          <xdr:col>2</xdr:col>
          <xdr:colOff>2165350</xdr:colOff>
          <xdr:row>7</xdr:row>
          <xdr:rowOff>355600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1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이중화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7</xdr:row>
          <xdr:rowOff>38100</xdr:rowOff>
        </xdr:from>
        <xdr:to>
          <xdr:col>3</xdr:col>
          <xdr:colOff>781050</xdr:colOff>
          <xdr:row>7</xdr:row>
          <xdr:rowOff>355600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1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재해복구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889000</xdr:colOff>
          <xdr:row>7</xdr:row>
          <xdr:rowOff>38100</xdr:rowOff>
        </xdr:from>
        <xdr:to>
          <xdr:col>4</xdr:col>
          <xdr:colOff>679450</xdr:colOff>
          <xdr:row>7</xdr:row>
          <xdr:rowOff>374650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1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채널 연동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590550</xdr:colOff>
          <xdr:row>7</xdr:row>
          <xdr:rowOff>38100</xdr:rowOff>
        </xdr:from>
        <xdr:to>
          <xdr:col>5</xdr:col>
          <xdr:colOff>508000</xdr:colOff>
          <xdr:row>7</xdr:row>
          <xdr:rowOff>374650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1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대외기관 연동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omments" Target="../comments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2.xml"/><Relationship Id="rId13" Type="http://schemas.openxmlformats.org/officeDocument/2006/relationships/ctrlProp" Target="../ctrlProps/ctrlProp47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1.xml"/><Relationship Id="rId12" Type="http://schemas.openxmlformats.org/officeDocument/2006/relationships/ctrlProp" Target="../ctrlProps/ctrlProp46.xml"/><Relationship Id="rId2" Type="http://schemas.openxmlformats.org/officeDocument/2006/relationships/drawing" Target="../drawings/drawing2.xml"/><Relationship Id="rId16" Type="http://schemas.openxmlformats.org/officeDocument/2006/relationships/comments" Target="../comments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0.xml"/><Relationship Id="rId11" Type="http://schemas.openxmlformats.org/officeDocument/2006/relationships/ctrlProp" Target="../ctrlProps/ctrlProp45.xml"/><Relationship Id="rId5" Type="http://schemas.openxmlformats.org/officeDocument/2006/relationships/ctrlProp" Target="../ctrlProps/ctrlProp39.xml"/><Relationship Id="rId15" Type="http://schemas.openxmlformats.org/officeDocument/2006/relationships/ctrlProp" Target="../ctrlProps/ctrlProp49.xml"/><Relationship Id="rId10" Type="http://schemas.openxmlformats.org/officeDocument/2006/relationships/ctrlProp" Target="../ctrlProps/ctrlProp44.xml"/><Relationship Id="rId4" Type="http://schemas.openxmlformats.org/officeDocument/2006/relationships/ctrlProp" Target="../ctrlProps/ctrlProp38.xml"/><Relationship Id="rId9" Type="http://schemas.openxmlformats.org/officeDocument/2006/relationships/ctrlProp" Target="../ctrlProps/ctrlProp43.xml"/><Relationship Id="rId14" Type="http://schemas.openxmlformats.org/officeDocument/2006/relationships/ctrlProp" Target="../ctrlProps/ctrlProp4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A1:I35"/>
  <sheetViews>
    <sheetView tabSelected="1" view="pageBreakPreview" zoomScaleNormal="100" zoomScaleSheetLayoutView="100" workbookViewId="0">
      <selection activeCell="A2" sqref="A2"/>
    </sheetView>
  </sheetViews>
  <sheetFormatPr defaultColWidth="8.9140625" defaultRowHeight="13"/>
  <cols>
    <col min="1" max="1" width="15.33203125" style="1" customWidth="1"/>
    <col min="2" max="2" width="9.33203125" style="1" customWidth="1"/>
    <col min="3" max="5" width="10.75" style="1" customWidth="1"/>
    <col min="6" max="6" width="12" style="1" customWidth="1"/>
    <col min="7" max="7" width="12.4140625" style="1" bestFit="1" customWidth="1"/>
    <col min="8" max="8" width="12.08203125" style="1" customWidth="1"/>
    <col min="9" max="9" width="19.4140625" style="1" customWidth="1"/>
    <col min="10" max="16384" width="8.9140625" style="1"/>
  </cols>
  <sheetData>
    <row r="1" spans="1:9" s="3" customFormat="1" ht="30" customHeight="1">
      <c r="A1" s="87" t="s">
        <v>51</v>
      </c>
      <c r="B1" s="88"/>
      <c r="C1" s="88"/>
      <c r="D1" s="88"/>
      <c r="E1" s="88"/>
      <c r="F1" s="88"/>
      <c r="G1" s="88"/>
      <c r="H1" s="88"/>
      <c r="I1" s="89"/>
    </row>
    <row r="2" spans="1:9" s="3" customFormat="1" ht="17.25" customHeight="1">
      <c r="A2" s="42"/>
      <c r="B2" s="42"/>
      <c r="C2" s="42"/>
      <c r="D2" s="42"/>
      <c r="E2" s="42"/>
      <c r="F2" s="53" t="s">
        <v>67</v>
      </c>
      <c r="G2" s="54" t="s">
        <v>90</v>
      </c>
      <c r="H2" s="55" t="s">
        <v>68</v>
      </c>
      <c r="I2" s="56" t="s">
        <v>80</v>
      </c>
    </row>
    <row r="3" spans="1:9" s="2" customFormat="1" ht="41.25" customHeight="1">
      <c r="A3" s="9" t="s">
        <v>0</v>
      </c>
      <c r="B3" s="90" t="s">
        <v>72</v>
      </c>
      <c r="C3" s="91"/>
      <c r="D3" s="91"/>
      <c r="E3" s="91"/>
      <c r="F3" s="91"/>
      <c r="G3" s="91"/>
      <c r="H3" s="91"/>
      <c r="I3" s="92"/>
    </row>
    <row r="4" spans="1:9" s="2" customFormat="1" ht="46.5" customHeight="1">
      <c r="A4" s="81" t="s">
        <v>14</v>
      </c>
      <c r="B4" s="20" t="s">
        <v>21</v>
      </c>
      <c r="C4" s="90" t="s">
        <v>88</v>
      </c>
      <c r="D4" s="91"/>
      <c r="E4" s="91"/>
      <c r="F4" s="91"/>
      <c r="G4" s="91"/>
      <c r="H4" s="91"/>
      <c r="I4" s="92"/>
    </row>
    <row r="5" spans="1:9" ht="70" customHeight="1">
      <c r="A5" s="82"/>
      <c r="B5" s="21" t="s">
        <v>22</v>
      </c>
      <c r="C5" s="84" t="s">
        <v>89</v>
      </c>
      <c r="D5" s="85"/>
      <c r="E5" s="85"/>
      <c r="F5" s="85"/>
      <c r="G5" s="85"/>
      <c r="H5" s="85"/>
      <c r="I5" s="86"/>
    </row>
    <row r="6" spans="1:9" ht="115.5" customHeight="1">
      <c r="A6" s="82"/>
      <c r="B6" s="21" t="s">
        <v>66</v>
      </c>
      <c r="C6" s="90" t="s">
        <v>96</v>
      </c>
      <c r="D6" s="91"/>
      <c r="E6" s="91"/>
      <c r="F6" s="91"/>
      <c r="G6" s="91"/>
      <c r="H6" s="91"/>
      <c r="I6" s="92"/>
    </row>
    <row r="7" spans="1:9" ht="73" customHeight="1">
      <c r="A7" s="82"/>
      <c r="B7" s="21" t="s">
        <v>65</v>
      </c>
      <c r="C7" s="90" t="s">
        <v>83</v>
      </c>
      <c r="D7" s="91"/>
      <c r="E7" s="91"/>
      <c r="F7" s="91"/>
      <c r="G7" s="91"/>
      <c r="H7" s="91"/>
      <c r="I7" s="92"/>
    </row>
    <row r="8" spans="1:9" ht="66.650000000000006" customHeight="1">
      <c r="A8" s="93"/>
      <c r="B8" s="20" t="s">
        <v>23</v>
      </c>
      <c r="C8" s="90" t="s">
        <v>97</v>
      </c>
      <c r="D8" s="91"/>
      <c r="E8" s="91"/>
      <c r="F8" s="91"/>
      <c r="G8" s="91"/>
      <c r="H8" s="91"/>
      <c r="I8" s="92"/>
    </row>
    <row r="9" spans="1:9" ht="19.5" customHeight="1">
      <c r="A9" s="81" t="s">
        <v>57</v>
      </c>
      <c r="B9" s="94" t="s">
        <v>98</v>
      </c>
      <c r="C9" s="95"/>
      <c r="D9" s="95"/>
      <c r="E9" s="95"/>
      <c r="F9" s="95"/>
      <c r="G9" s="95"/>
      <c r="H9" s="95"/>
      <c r="I9" s="96"/>
    </row>
    <row r="10" spans="1:9" ht="19.5" customHeight="1">
      <c r="A10" s="82"/>
      <c r="B10" s="97"/>
      <c r="C10" s="98"/>
      <c r="D10" s="98"/>
      <c r="E10" s="98"/>
      <c r="F10" s="98"/>
      <c r="G10" s="98"/>
      <c r="H10" s="98"/>
      <c r="I10" s="99"/>
    </row>
    <row r="11" spans="1:9" ht="19.5" customHeight="1">
      <c r="A11" s="82"/>
      <c r="B11" s="97"/>
      <c r="C11" s="98"/>
      <c r="D11" s="98"/>
      <c r="E11" s="98"/>
      <c r="F11" s="98"/>
      <c r="G11" s="98"/>
      <c r="H11" s="98"/>
      <c r="I11" s="99"/>
    </row>
    <row r="12" spans="1:9" ht="19.5" customHeight="1">
      <c r="A12" s="82"/>
      <c r="B12" s="97"/>
      <c r="C12" s="98"/>
      <c r="D12" s="98"/>
      <c r="E12" s="98"/>
      <c r="F12" s="98"/>
      <c r="G12" s="98"/>
      <c r="H12" s="98"/>
      <c r="I12" s="99"/>
    </row>
    <row r="13" spans="1:9" ht="19.5" customHeight="1">
      <c r="A13" s="82"/>
      <c r="B13" s="97"/>
      <c r="C13" s="98"/>
      <c r="D13" s="98"/>
      <c r="E13" s="98"/>
      <c r="F13" s="98"/>
      <c r="G13" s="98"/>
      <c r="H13" s="98"/>
      <c r="I13" s="99"/>
    </row>
    <row r="14" spans="1:9" ht="19.5" customHeight="1">
      <c r="A14" s="82"/>
      <c r="B14" s="97"/>
      <c r="C14" s="98"/>
      <c r="D14" s="98"/>
      <c r="E14" s="98"/>
      <c r="F14" s="98"/>
      <c r="G14" s="98"/>
      <c r="H14" s="98"/>
      <c r="I14" s="99"/>
    </row>
    <row r="15" spans="1:9" ht="19.5" customHeight="1">
      <c r="A15" s="83"/>
      <c r="B15" s="100"/>
      <c r="C15" s="101"/>
      <c r="D15" s="101"/>
      <c r="E15" s="101"/>
      <c r="F15" s="101"/>
      <c r="G15" s="101"/>
      <c r="H15" s="101"/>
      <c r="I15" s="102"/>
    </row>
    <row r="16" spans="1:9" ht="33" customHeight="1">
      <c r="A16" s="111" t="s">
        <v>41</v>
      </c>
      <c r="B16" s="114" t="s">
        <v>39</v>
      </c>
      <c r="C16" s="94" t="s">
        <v>91</v>
      </c>
      <c r="D16" s="121"/>
      <c r="E16" s="122"/>
      <c r="F16" s="118" t="s">
        <v>40</v>
      </c>
      <c r="G16" s="129" t="s">
        <v>105</v>
      </c>
      <c r="H16" s="130"/>
      <c r="I16" s="131"/>
    </row>
    <row r="17" spans="1:9" ht="33" customHeight="1">
      <c r="A17" s="112"/>
      <c r="B17" s="115"/>
      <c r="C17" s="123"/>
      <c r="D17" s="124"/>
      <c r="E17" s="125"/>
      <c r="F17" s="119"/>
      <c r="G17" s="132"/>
      <c r="H17" s="133"/>
      <c r="I17" s="134"/>
    </row>
    <row r="18" spans="1:9" ht="33" customHeight="1">
      <c r="A18" s="113"/>
      <c r="B18" s="116"/>
      <c r="C18" s="126"/>
      <c r="D18" s="127"/>
      <c r="E18" s="128"/>
      <c r="F18" s="120"/>
      <c r="G18" s="135"/>
      <c r="H18" s="136"/>
      <c r="I18" s="137"/>
    </row>
    <row r="19" spans="1:9" ht="20.149999999999999" customHeight="1">
      <c r="A19" s="117" t="s">
        <v>28</v>
      </c>
      <c r="B19" s="4" t="s">
        <v>9</v>
      </c>
      <c r="C19" s="103"/>
      <c r="D19" s="104"/>
      <c r="E19" s="104"/>
      <c r="F19" s="104"/>
      <c r="G19" s="104"/>
      <c r="H19" s="104"/>
      <c r="I19" s="105"/>
    </row>
    <row r="20" spans="1:9" ht="20.149999999999999" customHeight="1">
      <c r="A20" s="82"/>
      <c r="B20" s="4" t="s">
        <v>1</v>
      </c>
      <c r="C20" s="103"/>
      <c r="D20" s="104"/>
      <c r="E20" s="104"/>
      <c r="F20" s="104"/>
      <c r="G20" s="104"/>
      <c r="H20" s="104"/>
      <c r="I20" s="105"/>
    </row>
    <row r="21" spans="1:9" ht="20.149999999999999" customHeight="1">
      <c r="A21" s="82"/>
      <c r="B21" s="44" t="s">
        <v>53</v>
      </c>
      <c r="C21" s="10"/>
      <c r="D21" s="10"/>
      <c r="E21" s="10"/>
      <c r="F21" s="10"/>
      <c r="G21" s="10"/>
      <c r="H21" s="10"/>
      <c r="I21" s="11"/>
    </row>
    <row r="22" spans="1:9" ht="20.149999999999999" customHeight="1">
      <c r="A22" s="93"/>
      <c r="B22" s="23" t="s">
        <v>2</v>
      </c>
      <c r="C22" s="138"/>
      <c r="D22" s="104"/>
      <c r="E22" s="104"/>
      <c r="F22" s="104"/>
      <c r="G22" s="104"/>
      <c r="H22" s="104"/>
      <c r="I22" s="105"/>
    </row>
    <row r="23" spans="1:9" ht="19.5" customHeight="1">
      <c r="A23" s="25" t="s">
        <v>42</v>
      </c>
      <c r="B23" s="26" t="s">
        <v>52</v>
      </c>
      <c r="C23" s="106"/>
      <c r="D23" s="107"/>
      <c r="E23" s="108"/>
      <c r="F23" s="26" t="s">
        <v>29</v>
      </c>
      <c r="G23" s="106"/>
      <c r="H23" s="107"/>
      <c r="I23" s="108"/>
    </row>
    <row r="24" spans="1:9" ht="20.149999999999999" customHeight="1">
      <c r="A24" s="81" t="s">
        <v>43</v>
      </c>
      <c r="B24" s="18" t="s">
        <v>24</v>
      </c>
      <c r="C24" s="109" t="s">
        <v>70</v>
      </c>
      <c r="D24" s="110"/>
      <c r="E24" s="52" t="s">
        <v>44</v>
      </c>
      <c r="F24" s="109" t="s">
        <v>90</v>
      </c>
      <c r="G24" s="110"/>
      <c r="H24" s="6" t="s">
        <v>49</v>
      </c>
      <c r="I24" s="7" t="s">
        <v>90</v>
      </c>
    </row>
    <row r="25" spans="1:9" ht="34">
      <c r="A25" s="83"/>
      <c r="B25" s="13" t="s">
        <v>45</v>
      </c>
      <c r="C25" s="139" t="s">
        <v>71</v>
      </c>
      <c r="D25" s="140"/>
      <c r="E25" s="6" t="s">
        <v>48</v>
      </c>
      <c r="F25" s="109" t="s">
        <v>82</v>
      </c>
      <c r="G25" s="110"/>
      <c r="H25" s="19" t="s">
        <v>50</v>
      </c>
      <c r="I25" s="7" t="s">
        <v>81</v>
      </c>
    </row>
    <row r="26" spans="1:9" ht="20.149999999999999" customHeight="1">
      <c r="A26" s="47" t="s">
        <v>58</v>
      </c>
      <c r="B26" s="13" t="s">
        <v>59</v>
      </c>
      <c r="C26" s="139"/>
      <c r="D26" s="145"/>
      <c r="E26" s="145"/>
      <c r="F26" s="145"/>
      <c r="G26" s="140"/>
      <c r="H26" s="19" t="s">
        <v>60</v>
      </c>
      <c r="I26" s="77" t="s">
        <v>75</v>
      </c>
    </row>
    <row r="27" spans="1:9" ht="20.149999999999999" customHeight="1">
      <c r="A27" s="14" t="s">
        <v>54</v>
      </c>
      <c r="B27" s="13" t="s">
        <v>55</v>
      </c>
      <c r="C27" s="139"/>
      <c r="D27" s="145"/>
      <c r="E27" s="145"/>
      <c r="F27" s="145"/>
      <c r="G27" s="145"/>
      <c r="H27" s="145"/>
      <c r="I27" s="140"/>
    </row>
    <row r="28" spans="1:9" ht="20.149999999999999" customHeight="1">
      <c r="A28" s="81" t="s">
        <v>46</v>
      </c>
      <c r="B28" s="146" t="s">
        <v>12</v>
      </c>
      <c r="C28" s="153" t="s">
        <v>92</v>
      </c>
      <c r="D28" s="146" t="s">
        <v>13</v>
      </c>
      <c r="E28" s="157" t="s">
        <v>93</v>
      </c>
      <c r="F28" s="148" t="s">
        <v>10</v>
      </c>
      <c r="G28" s="155" t="s">
        <v>38</v>
      </c>
      <c r="H28" s="156"/>
      <c r="I28" s="78" t="s">
        <v>85</v>
      </c>
    </row>
    <row r="29" spans="1:9" ht="40.5" customHeight="1">
      <c r="A29" s="82"/>
      <c r="B29" s="147"/>
      <c r="C29" s="154"/>
      <c r="D29" s="147"/>
      <c r="E29" s="154"/>
      <c r="F29" s="149"/>
      <c r="G29" s="150" t="s">
        <v>100</v>
      </c>
      <c r="H29" s="151"/>
      <c r="I29" s="58" t="s">
        <v>104</v>
      </c>
    </row>
    <row r="30" spans="1:9" ht="37.5" customHeight="1">
      <c r="A30" s="12" t="s">
        <v>47</v>
      </c>
      <c r="B30" s="15" t="s">
        <v>15</v>
      </c>
      <c r="C30" s="15" t="s">
        <v>16</v>
      </c>
      <c r="D30" s="15" t="s">
        <v>17</v>
      </c>
      <c r="E30" s="15" t="s">
        <v>18</v>
      </c>
      <c r="F30" s="48" t="s">
        <v>101</v>
      </c>
      <c r="G30" s="29" t="s">
        <v>102</v>
      </c>
      <c r="H30" s="152" t="s">
        <v>19</v>
      </c>
      <c r="I30" s="152"/>
    </row>
    <row r="31" spans="1:9" ht="19.5" customHeight="1">
      <c r="A31" s="24" t="s">
        <v>25</v>
      </c>
      <c r="B31" s="16"/>
      <c r="C31" s="16"/>
      <c r="D31" s="16"/>
      <c r="E31" s="17"/>
      <c r="F31" s="16">
        <f>SUM(C31:E31)</f>
        <v>0</v>
      </c>
      <c r="G31" s="16"/>
      <c r="H31" s="143"/>
      <c r="I31" s="144"/>
    </row>
    <row r="32" spans="1:9" ht="19.5" customHeight="1">
      <c r="A32" s="24" t="s">
        <v>26</v>
      </c>
      <c r="B32" s="16"/>
      <c r="C32" s="16"/>
      <c r="D32" s="16"/>
      <c r="E32" s="17">
        <v>28</v>
      </c>
      <c r="F32" s="16">
        <f>SUM(B32:E32)</f>
        <v>28</v>
      </c>
      <c r="G32" s="79">
        <v>0</v>
      </c>
      <c r="H32" s="143">
        <f>SUM(F32:G32)</f>
        <v>28</v>
      </c>
      <c r="I32" s="144"/>
    </row>
    <row r="33" spans="1:9" ht="19.5" customHeight="1">
      <c r="A33" s="24" t="s">
        <v>27</v>
      </c>
      <c r="B33" s="16"/>
      <c r="C33" s="16"/>
      <c r="D33" s="16"/>
      <c r="E33" s="17">
        <v>755</v>
      </c>
      <c r="F33" s="16">
        <f>SUM(B33:E33)</f>
        <v>755</v>
      </c>
      <c r="G33" s="79"/>
      <c r="H33" s="143">
        <f>SUM(F33:G33)</f>
        <v>755</v>
      </c>
      <c r="I33" s="144"/>
    </row>
    <row r="34" spans="1:9" ht="19.5" customHeight="1">
      <c r="A34" s="40" t="s">
        <v>20</v>
      </c>
      <c r="B34" s="41">
        <f>SUM(B31:B33)</f>
        <v>0</v>
      </c>
      <c r="C34" s="41">
        <f>SUM(C31:C33)</f>
        <v>0</v>
      </c>
      <c r="D34" s="41">
        <f>SUM(D31:D33)</f>
        <v>0</v>
      </c>
      <c r="E34" s="41">
        <f>SUM(E31:E33)</f>
        <v>783</v>
      </c>
      <c r="F34" s="41">
        <f>SUM(F31:F33)</f>
        <v>783</v>
      </c>
      <c r="G34" s="80">
        <f>G32+G33</f>
        <v>0</v>
      </c>
      <c r="H34" s="141">
        <f>SUM(H31:I33)</f>
        <v>783</v>
      </c>
      <c r="I34" s="142"/>
    </row>
    <row r="35" spans="1:9">
      <c r="B35" s="2"/>
      <c r="C35" s="2"/>
      <c r="D35" s="2"/>
      <c r="E35" s="2"/>
      <c r="F35" s="2"/>
      <c r="G35" s="2"/>
      <c r="H35" s="2"/>
      <c r="I35" s="2"/>
    </row>
  </sheetData>
  <mergeCells count="41">
    <mergeCell ref="A28:A29"/>
    <mergeCell ref="B28:B29"/>
    <mergeCell ref="C28:C29"/>
    <mergeCell ref="G28:H28"/>
    <mergeCell ref="E28:E29"/>
    <mergeCell ref="H34:I34"/>
    <mergeCell ref="H32:I32"/>
    <mergeCell ref="H33:I33"/>
    <mergeCell ref="H31:I31"/>
    <mergeCell ref="F25:G25"/>
    <mergeCell ref="C26:G26"/>
    <mergeCell ref="C27:I27"/>
    <mergeCell ref="D28:D29"/>
    <mergeCell ref="F28:F29"/>
    <mergeCell ref="G29:H29"/>
    <mergeCell ref="H30:I30"/>
    <mergeCell ref="C19:I19"/>
    <mergeCell ref="G23:I23"/>
    <mergeCell ref="C20:I20"/>
    <mergeCell ref="C24:D24"/>
    <mergeCell ref="A16:A18"/>
    <mergeCell ref="B16:B18"/>
    <mergeCell ref="A19:A22"/>
    <mergeCell ref="F16:F18"/>
    <mergeCell ref="C16:E18"/>
    <mergeCell ref="G16:I18"/>
    <mergeCell ref="C22:I22"/>
    <mergeCell ref="C23:E23"/>
    <mergeCell ref="A24:A25"/>
    <mergeCell ref="C25:D25"/>
    <mergeCell ref="F24:G24"/>
    <mergeCell ref="A9:A15"/>
    <mergeCell ref="C5:I5"/>
    <mergeCell ref="A1:I1"/>
    <mergeCell ref="B3:I3"/>
    <mergeCell ref="C6:I6"/>
    <mergeCell ref="C8:I8"/>
    <mergeCell ref="A4:A8"/>
    <mergeCell ref="C4:I4"/>
    <mergeCell ref="C7:I7"/>
    <mergeCell ref="B9:I15"/>
  </mergeCells>
  <phoneticPr fontId="2" type="noConversion"/>
  <pageMargins left="0.59055118110236227" right="0.51181102362204722" top="0.78740157480314965" bottom="0.82677165354330717" header="0.51181102362204722" footer="0.43307086614173229"/>
  <pageSetup paperSize="9" scale="70" orientation="portrait" r:id="rId1"/>
  <headerFooter alignWithMargins="0">
    <oddFooter>&amp;C&amp;"굴림,보통"&amp;8 1/7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84" r:id="rId4" name="Check Box 16">
              <controlPr defaultSize="0" autoFill="0" autoLine="0" autoPict="0">
                <anchor moveWithCells="1">
                  <from>
                    <xdr:col>1</xdr:col>
                    <xdr:colOff>933450</xdr:colOff>
                    <xdr:row>18</xdr:row>
                    <xdr:rowOff>31750</xdr:rowOff>
                  </from>
                  <to>
                    <xdr:col>2</xdr:col>
                    <xdr:colOff>660400</xdr:colOff>
                    <xdr:row>18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5" name="Check Box 19">
              <controlPr defaultSize="0" autoFill="0" autoLine="0" autoPict="0">
                <anchor moveWithCells="1">
                  <from>
                    <xdr:col>3</xdr:col>
                    <xdr:colOff>31750</xdr:colOff>
                    <xdr:row>18</xdr:row>
                    <xdr:rowOff>31750</xdr:rowOff>
                  </from>
                  <to>
                    <xdr:col>3</xdr:col>
                    <xdr:colOff>774700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6" name="Check Box 20">
              <controlPr defaultSize="0" autoFill="0" autoLine="0" autoPict="0">
                <anchor moveWithCells="1">
                  <from>
                    <xdr:col>3</xdr:col>
                    <xdr:colOff>812800</xdr:colOff>
                    <xdr:row>18</xdr:row>
                    <xdr:rowOff>31750</xdr:rowOff>
                  </from>
                  <to>
                    <xdr:col>4</xdr:col>
                    <xdr:colOff>400050</xdr:colOff>
                    <xdr:row>18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7" name="Check Box 21">
              <controlPr defaultSize="0" autoFill="0" autoLine="0" autoPict="0">
                <anchor moveWithCells="1">
                  <from>
                    <xdr:col>5</xdr:col>
                    <xdr:colOff>12700</xdr:colOff>
                    <xdr:row>18</xdr:row>
                    <xdr:rowOff>31750</xdr:rowOff>
                  </from>
                  <to>
                    <xdr:col>5</xdr:col>
                    <xdr:colOff>698500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8" name="Check Box 22">
              <controlPr defaultSize="0" autoFill="0" autoLine="0" autoPict="0">
                <anchor moveWithCells="1">
                  <from>
                    <xdr:col>5</xdr:col>
                    <xdr:colOff>812800</xdr:colOff>
                    <xdr:row>18</xdr:row>
                    <xdr:rowOff>31750</xdr:rowOff>
                  </from>
                  <to>
                    <xdr:col>6</xdr:col>
                    <xdr:colOff>584200</xdr:colOff>
                    <xdr:row>18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9" name="Check Box 23">
              <controlPr defaultSize="0" autoFill="0" autoLine="0" autoPict="0">
                <anchor moveWithCells="1">
                  <from>
                    <xdr:col>6</xdr:col>
                    <xdr:colOff>717550</xdr:colOff>
                    <xdr:row>18</xdr:row>
                    <xdr:rowOff>31750</xdr:rowOff>
                  </from>
                  <to>
                    <xdr:col>7</xdr:col>
                    <xdr:colOff>76200</xdr:colOff>
                    <xdr:row>18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10" name="Check Box 24">
              <controlPr defaultSize="0" autoFill="0" autoLine="0" autoPict="0" altText="신규 개발">
                <anchor moveWithCells="1">
                  <from>
                    <xdr:col>1</xdr:col>
                    <xdr:colOff>831850</xdr:colOff>
                    <xdr:row>19</xdr:row>
                    <xdr:rowOff>12700</xdr:rowOff>
                  </from>
                  <to>
                    <xdr:col>2</xdr:col>
                    <xdr:colOff>869950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11" name="Check Box 25">
              <controlPr defaultSize="0" autoFill="0" autoLine="0" autoPict="0">
                <anchor moveWithCells="1">
                  <from>
                    <xdr:col>3</xdr:col>
                    <xdr:colOff>31750</xdr:colOff>
                    <xdr:row>19</xdr:row>
                    <xdr:rowOff>12700</xdr:rowOff>
                  </from>
                  <to>
                    <xdr:col>4</xdr:col>
                    <xdr:colOff>374650</xdr:colOff>
                    <xdr:row>19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12" name="Check Box 26">
              <controlPr defaultSize="0" autoFill="0" autoLine="0" autoPict="0">
                <anchor moveWithCells="1">
                  <from>
                    <xdr:col>5</xdr:col>
                    <xdr:colOff>527050</xdr:colOff>
                    <xdr:row>19</xdr:row>
                    <xdr:rowOff>12700</xdr:rowOff>
                  </from>
                  <to>
                    <xdr:col>6</xdr:col>
                    <xdr:colOff>622300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13" name="Check Box 28">
              <controlPr defaultSize="0" autoFill="0" autoLine="0" autoPict="0">
                <anchor moveWithCells="1">
                  <from>
                    <xdr:col>4</xdr:col>
                    <xdr:colOff>127000</xdr:colOff>
                    <xdr:row>19</xdr:row>
                    <xdr:rowOff>31750</xdr:rowOff>
                  </from>
                  <to>
                    <xdr:col>5</xdr:col>
                    <xdr:colOff>355600</xdr:colOff>
                    <xdr:row>19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5" r:id="rId14" name="Check Box 37">
              <controlPr defaultSize="0" autoFill="0" autoLine="0" autoPict="0">
                <anchor moveWithCells="1">
                  <from>
                    <xdr:col>2</xdr:col>
                    <xdr:colOff>0</xdr:colOff>
                    <xdr:row>21</xdr:row>
                    <xdr:rowOff>12700</xdr:rowOff>
                  </from>
                  <to>
                    <xdr:col>2</xdr:col>
                    <xdr:colOff>685800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15" name="Check Box 39">
              <controlPr defaultSize="0" autoFill="0" autoLine="0" autoPict="0">
                <anchor moveWithCells="1">
                  <from>
                    <xdr:col>3</xdr:col>
                    <xdr:colOff>31750</xdr:colOff>
                    <xdr:row>21</xdr:row>
                    <xdr:rowOff>12700</xdr:rowOff>
                  </from>
                  <to>
                    <xdr:col>3</xdr:col>
                    <xdr:colOff>717550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16" name="Check Box 40">
              <controlPr defaultSize="0" autoFill="0" autoLine="0" autoPict="0">
                <anchor moveWithCells="1">
                  <from>
                    <xdr:col>3</xdr:col>
                    <xdr:colOff>793750</xdr:colOff>
                    <xdr:row>21</xdr:row>
                    <xdr:rowOff>12700</xdr:rowOff>
                  </from>
                  <to>
                    <xdr:col>4</xdr:col>
                    <xdr:colOff>679450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9" r:id="rId17" name="Check Box 41">
              <controlPr defaultSize="0" autoFill="0" autoLine="0" autoPict="0">
                <anchor moveWithCells="1">
                  <from>
                    <xdr:col>5</xdr:col>
                    <xdr:colOff>12700</xdr:colOff>
                    <xdr:row>21</xdr:row>
                    <xdr:rowOff>12700</xdr:rowOff>
                  </from>
                  <to>
                    <xdr:col>6</xdr:col>
                    <xdr:colOff>495300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1" r:id="rId18" name="Check Box 43">
              <controlPr defaultSize="0" autoFill="0" autoLine="0" autoPict="0">
                <anchor moveWithCells="1">
                  <from>
                    <xdr:col>2</xdr:col>
                    <xdr:colOff>0</xdr:colOff>
                    <xdr:row>26</xdr:row>
                    <xdr:rowOff>12700</xdr:rowOff>
                  </from>
                  <to>
                    <xdr:col>3</xdr:col>
                    <xdr:colOff>342900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2" r:id="rId19" name="Check Box 44">
              <controlPr defaultSize="0" autoFill="0" autoLine="0" autoPict="0">
                <anchor moveWithCells="1">
                  <from>
                    <xdr:col>3</xdr:col>
                    <xdr:colOff>469900</xdr:colOff>
                    <xdr:row>26</xdr:row>
                    <xdr:rowOff>12700</xdr:rowOff>
                  </from>
                  <to>
                    <xdr:col>8</xdr:col>
                    <xdr:colOff>438150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3" r:id="rId20" name="Check Box 45">
              <controlPr defaultSize="0" autoFill="0" autoLine="0" autoPict="0">
                <anchor moveWithCells="1">
                  <from>
                    <xdr:col>6</xdr:col>
                    <xdr:colOff>203200</xdr:colOff>
                    <xdr:row>26</xdr:row>
                    <xdr:rowOff>12700</xdr:rowOff>
                  </from>
                  <to>
                    <xdr:col>6</xdr:col>
                    <xdr:colOff>546100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4" r:id="rId21" name="Check Box 56">
              <controlPr defaultSize="0" autoFill="0" autoLine="0" autoPict="0">
                <anchor moveWithCells="1" sizeWithCells="1">
                  <from>
                    <xdr:col>1</xdr:col>
                    <xdr:colOff>831850</xdr:colOff>
                    <xdr:row>20</xdr:row>
                    <xdr:rowOff>31750</xdr:rowOff>
                  </from>
                  <to>
                    <xdr:col>2</xdr:col>
                    <xdr:colOff>704850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5" r:id="rId22" name="Check Box 57">
              <controlPr defaultSize="0" autoFill="0" autoLine="0" autoPict="0">
                <anchor moveWithCells="1" sizeWithCells="1">
                  <from>
                    <xdr:col>3</xdr:col>
                    <xdr:colOff>31750</xdr:colOff>
                    <xdr:row>20</xdr:row>
                    <xdr:rowOff>31750</xdr:rowOff>
                  </from>
                  <to>
                    <xdr:col>3</xdr:col>
                    <xdr:colOff>527050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6" r:id="rId23" name="Check Box 58">
              <controlPr defaultSize="0" autoFill="0" autoLine="0" autoPict="0">
                <anchor moveWithCells="1" sizeWithCells="1">
                  <from>
                    <xdr:col>3</xdr:col>
                    <xdr:colOff>781050</xdr:colOff>
                    <xdr:row>20</xdr:row>
                    <xdr:rowOff>31750</xdr:rowOff>
                  </from>
                  <to>
                    <xdr:col>4</xdr:col>
                    <xdr:colOff>495300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7" r:id="rId24" name="Check Box 59">
              <controlPr defaultSize="0" autoFill="0" autoLine="0" autoPict="0">
                <anchor moveWithCells="1" sizeWithCells="1">
                  <from>
                    <xdr:col>5</xdr:col>
                    <xdr:colOff>12700</xdr:colOff>
                    <xdr:row>20</xdr:row>
                    <xdr:rowOff>31750</xdr:rowOff>
                  </from>
                  <to>
                    <xdr:col>6</xdr:col>
                    <xdr:colOff>127000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6" r:id="rId25" name="Check Box 68">
              <controlPr defaultSize="0" autoFill="0" autoLine="0" autoPict="0">
                <anchor moveWithCells="1">
                  <from>
                    <xdr:col>2</xdr:col>
                    <xdr:colOff>412750</xdr:colOff>
                    <xdr:row>22</xdr:row>
                    <xdr:rowOff>31750</xdr:rowOff>
                  </from>
                  <to>
                    <xdr:col>3</xdr:col>
                    <xdr:colOff>260350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7" r:id="rId26" name="Check Box 69">
              <controlPr defaultSize="0" autoFill="0" autoLine="0" autoPict="0">
                <anchor moveWithCells="1">
                  <from>
                    <xdr:col>3</xdr:col>
                    <xdr:colOff>584200</xdr:colOff>
                    <xdr:row>22</xdr:row>
                    <xdr:rowOff>31750</xdr:rowOff>
                  </from>
                  <to>
                    <xdr:col>4</xdr:col>
                    <xdr:colOff>438150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0" r:id="rId27" name="Check Box 72">
              <controlPr defaultSize="0" autoFill="0" autoLine="0" autoPict="0">
                <anchor moveWithCells="1">
                  <from>
                    <xdr:col>6</xdr:col>
                    <xdr:colOff>12700</xdr:colOff>
                    <xdr:row>22</xdr:row>
                    <xdr:rowOff>31750</xdr:rowOff>
                  </from>
                  <to>
                    <xdr:col>6</xdr:col>
                    <xdr:colOff>927100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1" r:id="rId28" name="Check Box 73">
              <controlPr defaultSize="0" autoFill="0" autoLine="0" autoPict="0">
                <anchor moveWithCells="1">
                  <from>
                    <xdr:col>7</xdr:col>
                    <xdr:colOff>12700</xdr:colOff>
                    <xdr:row>22</xdr:row>
                    <xdr:rowOff>31750</xdr:rowOff>
                  </from>
                  <to>
                    <xdr:col>7</xdr:col>
                    <xdr:colOff>838200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2" r:id="rId29" name="Check Box 74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20</xdr:row>
                    <xdr:rowOff>31750</xdr:rowOff>
                  </from>
                  <to>
                    <xdr:col>7</xdr:col>
                    <xdr:colOff>203200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3" r:id="rId30" name="Check Box 75">
              <controlPr defaultSize="0" autoFill="0" autoLine="0" autoPict="0">
                <anchor moveWithCells="1" sizeWithCells="1">
                  <from>
                    <xdr:col>7</xdr:col>
                    <xdr:colOff>69850</xdr:colOff>
                    <xdr:row>20</xdr:row>
                    <xdr:rowOff>31750</xdr:rowOff>
                  </from>
                  <to>
                    <xdr:col>8</xdr:col>
                    <xdr:colOff>266700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4" r:id="rId31" name="Check Box 76">
              <controlPr defaultSize="0" autoFill="0" autoLine="0" autoPict="0">
                <anchor moveWithCells="1" sizeWithCells="1">
                  <from>
                    <xdr:col>8</xdr:col>
                    <xdr:colOff>50800</xdr:colOff>
                    <xdr:row>20</xdr:row>
                    <xdr:rowOff>12700</xdr:rowOff>
                  </from>
                  <to>
                    <xdr:col>9</xdr:col>
                    <xdr:colOff>165100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6" r:id="rId32" name="Check Box 78">
              <controlPr defaultSize="0" autoFill="0" autoLine="0" autoPict="0">
                <anchor moveWithCells="1">
                  <from>
                    <xdr:col>7</xdr:col>
                    <xdr:colOff>508000</xdr:colOff>
                    <xdr:row>19</xdr:row>
                    <xdr:rowOff>12700</xdr:rowOff>
                  </from>
                  <to>
                    <xdr:col>8</xdr:col>
                    <xdr:colOff>857250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7" r:id="rId33" name="Check Box 79">
              <controlPr defaultSize="0" autoFill="0" autoLine="0" autoPict="0">
                <anchor moveWithCells="1">
                  <from>
                    <xdr:col>7</xdr:col>
                    <xdr:colOff>508000</xdr:colOff>
                    <xdr:row>18</xdr:row>
                    <xdr:rowOff>31750</xdr:rowOff>
                  </from>
                  <to>
                    <xdr:col>8</xdr:col>
                    <xdr:colOff>838200</xdr:colOff>
                    <xdr:row>18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7" r:id="rId34" name="Check Box 89">
              <controlPr defaultSize="0" autoFill="0" autoLine="0" autoPict="0">
                <anchor moveWithCells="1">
                  <from>
                    <xdr:col>2</xdr:col>
                    <xdr:colOff>0</xdr:colOff>
                    <xdr:row>25</xdr:row>
                    <xdr:rowOff>12700</xdr:rowOff>
                  </from>
                  <to>
                    <xdr:col>3</xdr:col>
                    <xdr:colOff>495300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8" r:id="rId35" name="Check Box 90">
              <controlPr defaultSize="0" autoFill="0" autoLine="0" autoPict="0">
                <anchor moveWithCells="1">
                  <from>
                    <xdr:col>3</xdr:col>
                    <xdr:colOff>469900</xdr:colOff>
                    <xdr:row>25</xdr:row>
                    <xdr:rowOff>31750</xdr:rowOff>
                  </from>
                  <to>
                    <xdr:col>4</xdr:col>
                    <xdr:colOff>533400</xdr:colOff>
                    <xdr:row>25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0" r:id="rId36" name="Check Box 92">
              <controlPr defaultSize="0" autoFill="0" autoLine="0" autoPict="0">
                <anchor moveWithCells="1">
                  <from>
                    <xdr:col>4</xdr:col>
                    <xdr:colOff>717550</xdr:colOff>
                    <xdr:row>25</xdr:row>
                    <xdr:rowOff>31750</xdr:rowOff>
                  </from>
                  <to>
                    <xdr:col>6</xdr:col>
                    <xdr:colOff>381000</xdr:colOff>
                    <xdr:row>25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4" r:id="rId37" name="Check Box 96">
              <controlPr defaultSize="0" autoFill="0" autoLine="0" autoPict="0">
                <anchor moveWithCells="1">
                  <from>
                    <xdr:col>8</xdr:col>
                    <xdr:colOff>50800</xdr:colOff>
                    <xdr:row>22</xdr:row>
                    <xdr:rowOff>12700</xdr:rowOff>
                  </from>
                  <to>
                    <xdr:col>8</xdr:col>
                    <xdr:colOff>889000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5" r:id="rId38" name="Check Box 97">
              <controlPr defaultSize="0" autoFill="0" autoLine="0" autoPict="0">
                <anchor moveWithCells="1">
                  <from>
                    <xdr:col>6</xdr:col>
                    <xdr:colOff>552450</xdr:colOff>
                    <xdr:row>19</xdr:row>
                    <xdr:rowOff>12700</xdr:rowOff>
                  </from>
                  <to>
                    <xdr:col>7</xdr:col>
                    <xdr:colOff>603250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7" r:id="rId39" name="Check Box 99">
              <controlPr defaultSize="0" autoFill="0" autoLine="0" autoPict="0">
                <anchor moveWithCells="1">
                  <from>
                    <xdr:col>6</xdr:col>
                    <xdr:colOff>609600</xdr:colOff>
                    <xdr:row>26</xdr:row>
                    <xdr:rowOff>12700</xdr:rowOff>
                  </from>
                  <to>
                    <xdr:col>7</xdr:col>
                    <xdr:colOff>19050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8" r:id="rId40" name="Check Box 100">
              <controlPr defaultSize="0" autoFill="0" autoLine="0" autoPict="0">
                <anchor moveWithCells="1">
                  <from>
                    <xdr:col>7</xdr:col>
                    <xdr:colOff>190500</xdr:colOff>
                    <xdr:row>26</xdr:row>
                    <xdr:rowOff>12700</xdr:rowOff>
                  </from>
                  <to>
                    <xdr:col>7</xdr:col>
                    <xdr:colOff>679450</xdr:colOff>
                    <xdr:row>26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A1:K21"/>
  <sheetViews>
    <sheetView view="pageBreakPreview" zoomScaleNormal="100" zoomScaleSheetLayoutView="100" workbookViewId="0">
      <selection activeCell="R21" sqref="R21"/>
    </sheetView>
  </sheetViews>
  <sheetFormatPr defaultColWidth="8.9140625" defaultRowHeight="13"/>
  <cols>
    <col min="1" max="1" width="14.6640625" style="1" customWidth="1"/>
    <col min="2" max="2" width="12.75" style="1" customWidth="1"/>
    <col min="3" max="3" width="29.58203125" style="1" customWidth="1"/>
    <col min="4" max="5" width="12.75" style="1" customWidth="1"/>
    <col min="6" max="6" width="14.08203125" style="1" customWidth="1"/>
    <col min="7" max="7" width="15.75" style="1" customWidth="1"/>
    <col min="8" max="10" width="12.75" style="1" customWidth="1"/>
    <col min="11" max="11" width="14.08203125" style="1" customWidth="1"/>
    <col min="12" max="16384" width="8.9140625" style="1"/>
  </cols>
  <sheetData>
    <row r="1" spans="1:11" ht="30" customHeight="1">
      <c r="A1" s="168" t="s">
        <v>69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ht="30" customHeight="1">
      <c r="A2" s="43"/>
      <c r="B2" s="43"/>
      <c r="C2" s="43"/>
      <c r="D2" s="43"/>
      <c r="E2" s="43"/>
      <c r="F2" s="43"/>
      <c r="G2" s="43"/>
      <c r="H2" s="53" t="s">
        <v>67</v>
      </c>
      <c r="I2" s="54" t="s">
        <v>90</v>
      </c>
      <c r="J2" s="55" t="s">
        <v>68</v>
      </c>
      <c r="K2" s="56" t="s">
        <v>80</v>
      </c>
    </row>
    <row r="3" spans="1:11" ht="31.5" customHeight="1">
      <c r="A3" s="117" t="s">
        <v>6</v>
      </c>
      <c r="B3" s="169" t="s">
        <v>11</v>
      </c>
      <c r="C3" s="22" t="s">
        <v>3</v>
      </c>
      <c r="D3" s="27" t="s">
        <v>4</v>
      </c>
      <c r="E3" s="179" t="s">
        <v>5</v>
      </c>
      <c r="F3" s="180"/>
      <c r="G3" s="180"/>
      <c r="H3" s="180"/>
      <c r="I3" s="180"/>
      <c r="J3" s="181"/>
      <c r="K3" s="27" t="s">
        <v>31</v>
      </c>
    </row>
    <row r="4" spans="1:11" ht="26.25" customHeight="1">
      <c r="A4" s="82"/>
      <c r="B4" s="170"/>
      <c r="C4" s="8"/>
      <c r="D4" s="28"/>
      <c r="E4" s="182"/>
      <c r="F4" s="183"/>
      <c r="G4" s="183"/>
      <c r="H4" s="183"/>
      <c r="I4" s="183"/>
      <c r="J4" s="184"/>
      <c r="K4" s="50"/>
    </row>
    <row r="5" spans="1:11" ht="26.25" customHeight="1">
      <c r="A5" s="82"/>
      <c r="B5" s="170"/>
      <c r="C5" s="8"/>
      <c r="D5" s="28"/>
      <c r="E5" s="182"/>
      <c r="F5" s="183"/>
      <c r="G5" s="183"/>
      <c r="H5" s="183"/>
      <c r="I5" s="183"/>
      <c r="J5" s="184"/>
      <c r="K5" s="50"/>
    </row>
    <row r="6" spans="1:11" ht="26.25" customHeight="1">
      <c r="A6" s="82"/>
      <c r="B6" s="171"/>
      <c r="C6" s="8"/>
      <c r="D6" s="28"/>
      <c r="E6" s="182"/>
      <c r="F6" s="183"/>
      <c r="G6" s="183"/>
      <c r="H6" s="183"/>
      <c r="I6" s="183"/>
      <c r="J6" s="184"/>
      <c r="K6" s="50"/>
    </row>
    <row r="7" spans="1:11" ht="31.5" customHeight="1">
      <c r="A7" s="82"/>
      <c r="B7" s="5" t="s">
        <v>7</v>
      </c>
      <c r="C7" s="172"/>
      <c r="D7" s="173"/>
      <c r="E7" s="174"/>
      <c r="F7" s="174"/>
      <c r="G7" s="174"/>
      <c r="H7" s="174"/>
      <c r="I7" s="174"/>
      <c r="J7" s="174"/>
      <c r="K7" s="175"/>
    </row>
    <row r="8" spans="1:11" ht="31.5" customHeight="1">
      <c r="A8" s="83"/>
      <c r="B8" s="39" t="s">
        <v>8</v>
      </c>
      <c r="C8" s="176"/>
      <c r="D8" s="177"/>
      <c r="E8" s="177"/>
      <c r="F8" s="177"/>
      <c r="G8" s="177"/>
      <c r="H8" s="177"/>
      <c r="I8" s="177"/>
      <c r="J8" s="177"/>
      <c r="K8" s="178"/>
    </row>
    <row r="9" spans="1:11" ht="31.5" customHeight="1">
      <c r="A9" s="161" t="s">
        <v>10</v>
      </c>
      <c r="B9" s="158" t="s">
        <v>64</v>
      </c>
      <c r="C9" s="159"/>
      <c r="D9" s="159"/>
      <c r="E9" s="159"/>
      <c r="F9" s="159"/>
      <c r="G9" s="159"/>
      <c r="H9" s="159"/>
      <c r="I9" s="159"/>
      <c r="J9" s="159"/>
      <c r="K9" s="160"/>
    </row>
    <row r="10" spans="1:11" ht="44.25" customHeight="1">
      <c r="A10" s="162"/>
      <c r="B10" s="45" t="s">
        <v>37</v>
      </c>
      <c r="C10" s="46" t="s">
        <v>32</v>
      </c>
      <c r="D10" s="46" t="s">
        <v>33</v>
      </c>
      <c r="E10" s="46" t="s">
        <v>56</v>
      </c>
      <c r="F10" s="46" t="s">
        <v>34</v>
      </c>
      <c r="G10" s="46" t="s">
        <v>63</v>
      </c>
      <c r="H10" s="46" t="s">
        <v>35</v>
      </c>
      <c r="I10" s="46" t="s">
        <v>36</v>
      </c>
      <c r="J10" s="46" t="s">
        <v>30</v>
      </c>
      <c r="K10" s="51" t="s">
        <v>61</v>
      </c>
    </row>
    <row r="11" spans="1:11" ht="44.25" customHeight="1">
      <c r="A11" s="162"/>
      <c r="B11" s="164" t="s">
        <v>25</v>
      </c>
      <c r="C11" s="30"/>
      <c r="D11" s="31"/>
      <c r="E11" s="57"/>
      <c r="F11" s="31"/>
      <c r="G11" s="57"/>
      <c r="H11" s="31"/>
      <c r="I11" s="31"/>
      <c r="J11" s="31"/>
      <c r="K11" s="32"/>
    </row>
    <row r="12" spans="1:11" ht="44.25" customHeight="1">
      <c r="A12" s="162"/>
      <c r="B12" s="165"/>
      <c r="C12" s="33"/>
      <c r="D12" s="34"/>
      <c r="E12" s="34"/>
      <c r="F12" s="34"/>
      <c r="G12" s="34"/>
      <c r="H12" s="34"/>
      <c r="I12" s="34"/>
      <c r="J12" s="34"/>
      <c r="K12" s="35"/>
    </row>
    <row r="13" spans="1:11" ht="44.25" customHeight="1">
      <c r="A13" s="162"/>
      <c r="B13" s="165"/>
      <c r="C13" s="36"/>
      <c r="D13" s="37"/>
      <c r="E13" s="37"/>
      <c r="F13" s="37"/>
      <c r="G13" s="37"/>
      <c r="H13" s="37"/>
      <c r="I13" s="37"/>
      <c r="J13" s="37"/>
      <c r="K13" s="38"/>
    </row>
    <row r="14" spans="1:11" ht="44.25" customHeight="1">
      <c r="A14" s="162"/>
      <c r="B14" s="164" t="s">
        <v>26</v>
      </c>
      <c r="C14" s="59" t="s">
        <v>78</v>
      </c>
      <c r="D14" s="60">
        <v>1</v>
      </c>
      <c r="E14" s="62">
        <v>27500000</v>
      </c>
      <c r="F14" s="60" t="s">
        <v>74</v>
      </c>
      <c r="G14" s="62">
        <v>27500000</v>
      </c>
      <c r="H14" s="60" t="s">
        <v>79</v>
      </c>
      <c r="I14" s="63" t="s">
        <v>99</v>
      </c>
      <c r="J14" s="60" t="s">
        <v>84</v>
      </c>
      <c r="K14" s="73" t="s">
        <v>76</v>
      </c>
    </row>
    <row r="15" spans="1:11" ht="44.25" customHeight="1">
      <c r="A15" s="162"/>
      <c r="B15" s="165"/>
      <c r="C15" s="65"/>
      <c r="D15" s="66"/>
      <c r="E15" s="66"/>
      <c r="F15" s="66"/>
      <c r="G15" s="68"/>
      <c r="H15" s="66"/>
      <c r="I15" s="66"/>
      <c r="J15" s="66"/>
      <c r="K15" s="74"/>
    </row>
    <row r="16" spans="1:11" ht="44.25" customHeight="1">
      <c r="A16" s="162"/>
      <c r="B16" s="166"/>
      <c r="C16" s="70"/>
      <c r="D16" s="71"/>
      <c r="E16" s="71"/>
      <c r="F16" s="71"/>
      <c r="G16" s="75"/>
      <c r="H16" s="71"/>
      <c r="I16" s="71"/>
      <c r="J16" s="71"/>
      <c r="K16" s="76"/>
    </row>
    <row r="17" spans="1:11" ht="44.25" customHeight="1">
      <c r="A17" s="162"/>
      <c r="B17" s="165" t="s">
        <v>27</v>
      </c>
      <c r="C17" s="59" t="s">
        <v>73</v>
      </c>
      <c r="D17" s="60">
        <v>1</v>
      </c>
      <c r="E17" s="61">
        <v>487080000</v>
      </c>
      <c r="F17" s="60" t="s">
        <v>74</v>
      </c>
      <c r="G17" s="62">
        <v>487080000</v>
      </c>
      <c r="H17" s="60" t="s">
        <v>77</v>
      </c>
      <c r="I17" s="63" t="s">
        <v>103</v>
      </c>
      <c r="J17" s="60" t="s">
        <v>84</v>
      </c>
      <c r="K17" s="64" t="s">
        <v>84</v>
      </c>
    </row>
    <row r="18" spans="1:11" ht="44.25" customHeight="1">
      <c r="A18" s="162"/>
      <c r="B18" s="165"/>
      <c r="C18" s="65" t="s">
        <v>94</v>
      </c>
      <c r="D18" s="66" t="s">
        <v>86</v>
      </c>
      <c r="E18" s="67">
        <v>23100000</v>
      </c>
      <c r="F18" s="66" t="s">
        <v>74</v>
      </c>
      <c r="G18" s="68">
        <v>207900000</v>
      </c>
      <c r="H18" s="66" t="s">
        <v>77</v>
      </c>
      <c r="I18" s="63" t="s">
        <v>103</v>
      </c>
      <c r="J18" s="66" t="s">
        <v>84</v>
      </c>
      <c r="K18" s="69" t="s">
        <v>84</v>
      </c>
    </row>
    <row r="19" spans="1:11" ht="44.25" customHeight="1">
      <c r="A19" s="162"/>
      <c r="B19" s="165"/>
      <c r="C19" s="65" t="s">
        <v>95</v>
      </c>
      <c r="D19" s="66" t="s">
        <v>87</v>
      </c>
      <c r="E19" s="67">
        <v>12100000</v>
      </c>
      <c r="F19" s="66" t="s">
        <v>74</v>
      </c>
      <c r="G19" s="68">
        <v>60500000</v>
      </c>
      <c r="H19" s="66" t="s">
        <v>77</v>
      </c>
      <c r="I19" s="63" t="s">
        <v>103</v>
      </c>
      <c r="J19" s="66" t="s">
        <v>84</v>
      </c>
      <c r="K19" s="69" t="s">
        <v>84</v>
      </c>
    </row>
    <row r="20" spans="1:11" ht="44.25" customHeight="1">
      <c r="A20" s="163"/>
      <c r="B20" s="167"/>
      <c r="C20" s="70"/>
      <c r="D20" s="71"/>
      <c r="E20" s="71"/>
      <c r="F20" s="71"/>
      <c r="G20" s="71"/>
      <c r="H20" s="71"/>
      <c r="I20" s="71"/>
      <c r="J20" s="71"/>
      <c r="K20" s="72"/>
    </row>
    <row r="21" spans="1:11" ht="18" customHeight="1">
      <c r="A21" s="49" t="s">
        <v>62</v>
      </c>
    </row>
  </sheetData>
  <mergeCells count="14">
    <mergeCell ref="B9:K9"/>
    <mergeCell ref="A9:A20"/>
    <mergeCell ref="B14:B16"/>
    <mergeCell ref="B17:B20"/>
    <mergeCell ref="A1:K1"/>
    <mergeCell ref="B3:B6"/>
    <mergeCell ref="A3:A8"/>
    <mergeCell ref="B11:B13"/>
    <mergeCell ref="C7:K7"/>
    <mergeCell ref="C8:K8"/>
    <mergeCell ref="E3:J3"/>
    <mergeCell ref="E4:J4"/>
    <mergeCell ref="E5:J5"/>
    <mergeCell ref="E6:J6"/>
  </mergeCells>
  <phoneticPr fontId="2" type="noConversion"/>
  <pageMargins left="0.59055118110236227" right="0.51181102362204722" top="0.78740157480314965" bottom="0.82677165354330717" header="0.51181102362204722" footer="0.43307086614173229"/>
  <pageSetup paperSize="9" scale="64" orientation="landscape" r:id="rId1"/>
  <headerFooter alignWithMargins="0">
    <oddFooter>&amp;C&amp;"굴림,보통"&amp;8 2/7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3" r:id="rId4" name="Check Box 3">
              <controlPr defaultSize="0" autoFill="0" autoLine="0" autoPict="0">
                <anchor moveWithCells="1">
                  <from>
                    <xdr:col>2</xdr:col>
                    <xdr:colOff>107950</xdr:colOff>
                    <xdr:row>6</xdr:row>
                    <xdr:rowOff>0</xdr:rowOff>
                  </from>
                  <to>
                    <xdr:col>2</xdr:col>
                    <xdr:colOff>717550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5" name="Check Box 4">
              <controlPr defaultSize="0" autoFill="0" autoLine="0" autoPict="0">
                <anchor moveWithCells="1">
                  <from>
                    <xdr:col>2</xdr:col>
                    <xdr:colOff>838200</xdr:colOff>
                    <xdr:row>5</xdr:row>
                    <xdr:rowOff>336550</xdr:rowOff>
                  </from>
                  <to>
                    <xdr:col>2</xdr:col>
                    <xdr:colOff>1409700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6" name="Check Box 5">
              <controlPr defaultSize="0" autoFill="0" autoLine="0" autoPict="0">
                <anchor moveWithCells="1">
                  <from>
                    <xdr:col>2</xdr:col>
                    <xdr:colOff>1574800</xdr:colOff>
                    <xdr:row>6</xdr:row>
                    <xdr:rowOff>0</xdr:rowOff>
                  </from>
                  <to>
                    <xdr:col>2</xdr:col>
                    <xdr:colOff>2184400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7" name="Check Box 6">
              <controlPr defaultSize="0" autoFill="0" autoLine="0" autoPict="0">
                <anchor moveWithCells="1">
                  <from>
                    <xdr:col>3</xdr:col>
                    <xdr:colOff>69850</xdr:colOff>
                    <xdr:row>6</xdr:row>
                    <xdr:rowOff>0</xdr:rowOff>
                  </from>
                  <to>
                    <xdr:col>3</xdr:col>
                    <xdr:colOff>742950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8" name="Check Box 7">
              <controlPr defaultSize="0" autoFill="0" autoLine="0" autoPict="0">
                <anchor moveWithCells="1">
                  <from>
                    <xdr:col>3</xdr:col>
                    <xdr:colOff>889000</xdr:colOff>
                    <xdr:row>6</xdr:row>
                    <xdr:rowOff>0</xdr:rowOff>
                  </from>
                  <to>
                    <xdr:col>4</xdr:col>
                    <xdr:colOff>514350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9" name="Check Box 8">
              <controlPr defaultSize="0" autoFill="0" autoLine="0" autoPict="0">
                <anchor moveWithCells="1">
                  <from>
                    <xdr:col>4</xdr:col>
                    <xdr:colOff>590550</xdr:colOff>
                    <xdr:row>6</xdr:row>
                    <xdr:rowOff>0</xdr:rowOff>
                  </from>
                  <to>
                    <xdr:col>5</xdr:col>
                    <xdr:colOff>336550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0" name="Check Box 9">
              <controlPr defaultSize="0" autoFill="0" autoLine="0" autoPict="0">
                <anchor moveWithCells="1">
                  <from>
                    <xdr:col>2</xdr:col>
                    <xdr:colOff>95250</xdr:colOff>
                    <xdr:row>7</xdr:row>
                    <xdr:rowOff>38100</xdr:rowOff>
                  </from>
                  <to>
                    <xdr:col>2</xdr:col>
                    <xdr:colOff>679450</xdr:colOff>
                    <xdr:row>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1" name="Check Box 10">
              <controlPr defaultSize="0" autoFill="0" autoLine="0" autoPict="0">
                <anchor moveWithCells="1">
                  <from>
                    <xdr:col>2</xdr:col>
                    <xdr:colOff>831850</xdr:colOff>
                    <xdr:row>7</xdr:row>
                    <xdr:rowOff>38100</xdr:rowOff>
                  </from>
                  <to>
                    <xdr:col>2</xdr:col>
                    <xdr:colOff>1428750</xdr:colOff>
                    <xdr:row>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2" name="Check Box 11">
              <controlPr defaultSize="0" autoFill="0" autoLine="0" autoPict="0">
                <anchor moveWithCells="1">
                  <from>
                    <xdr:col>2</xdr:col>
                    <xdr:colOff>1574800</xdr:colOff>
                    <xdr:row>7</xdr:row>
                    <xdr:rowOff>38100</xdr:rowOff>
                  </from>
                  <to>
                    <xdr:col>2</xdr:col>
                    <xdr:colOff>2165350</xdr:colOff>
                    <xdr:row>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3" name="Check Box 12">
              <controlPr defaultSize="0" autoFill="0" autoLine="0" autoPict="0">
                <anchor moveWithCells="1">
                  <from>
                    <xdr:col>3</xdr:col>
                    <xdr:colOff>69850</xdr:colOff>
                    <xdr:row>7</xdr:row>
                    <xdr:rowOff>38100</xdr:rowOff>
                  </from>
                  <to>
                    <xdr:col>3</xdr:col>
                    <xdr:colOff>781050</xdr:colOff>
                    <xdr:row>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4" name="Check Box 13">
              <controlPr defaultSize="0" autoFill="0" autoLine="0" autoPict="0">
                <anchor moveWithCells="1">
                  <from>
                    <xdr:col>3</xdr:col>
                    <xdr:colOff>889000</xdr:colOff>
                    <xdr:row>7</xdr:row>
                    <xdr:rowOff>38100</xdr:rowOff>
                  </from>
                  <to>
                    <xdr:col>4</xdr:col>
                    <xdr:colOff>679450</xdr:colOff>
                    <xdr:row>7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5" name="Check Box 14">
              <controlPr defaultSize="0" autoFill="0" autoLine="0" autoPict="0">
                <anchor moveWithCells="1">
                  <from>
                    <xdr:col>4</xdr:col>
                    <xdr:colOff>590550</xdr:colOff>
                    <xdr:row>7</xdr:row>
                    <xdr:rowOff>38100</xdr:rowOff>
                  </from>
                  <to>
                    <xdr:col>5</xdr:col>
                    <xdr:colOff>508000</xdr:colOff>
                    <xdr:row>7</xdr:row>
                    <xdr:rowOff>374650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(자본예산) 1-1. 정보화사업 개요</vt:lpstr>
      <vt:lpstr>(자본예산) 1-2. 소요자원 상세내용</vt:lpstr>
      <vt:lpstr>'(자본예산) 1-1. 정보화사업 개요'!Print_Area</vt:lpstr>
      <vt:lpstr>'(자본예산) 1-2. 소요자원 상세내용'!Print_Area</vt:lpstr>
    </vt:vector>
  </TitlesOfParts>
  <Company>KTF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JungPiloh</dc:creator>
  <cp:lastModifiedBy>KDB</cp:lastModifiedBy>
  <cp:lastPrinted>2025-06-13T06:18:59Z</cp:lastPrinted>
  <dcterms:created xsi:type="dcterms:W3CDTF">2005-05-24T12:23:20Z</dcterms:created>
  <dcterms:modified xsi:type="dcterms:W3CDTF">2025-10-30T01:25:39Z</dcterms:modified>
</cp:coreProperties>
</file>