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2.xml" ContentType="application/vnd.openxmlformats-officedocument.drawing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X:\@ 품질관리팀\401 ) 통할 회신자료 @@\(250926) 2026년 전산예산 편성을 위한 기초자료 제출\02 회신(품관팀)\"/>
    </mc:Choice>
  </mc:AlternateContent>
  <xr:revisionPtr revIDLastSave="0" documentId="13_ncr:1_{BCBF50A4-80F0-4C02-806B-6D6553BC2994}" xr6:coauthVersionLast="47" xr6:coauthVersionMax="47" xr10:uidLastSave="{00000000-0000-0000-0000-000000000000}"/>
  <bookViews>
    <workbookView xWindow="20200" yWindow="2410" windowWidth="21940" windowHeight="18400" tabRatio="952" firstSheet="3" activeTab="3" xr2:uid="{00000000-000D-0000-FFFF-FFFF00000000}"/>
  </bookViews>
  <sheets>
    <sheet name="① (정보화사업) 1-1. 정보화사업 개요" sheetId="16" state="hidden" r:id="rId1"/>
    <sheet name="① (정보화사업) 1-2. 소요자원 상세내용" sheetId="1" state="hidden" r:id="rId2"/>
    <sheet name="② (경상사업) 2. 경상적인 사업" sheetId="20" state="hidden" r:id="rId3"/>
    <sheet name="③ (일반관리비) 전산 일반관리비 편성요청서" sheetId="18" r:id="rId4"/>
  </sheets>
  <definedNames>
    <definedName name="_xlnm.Print_Area" localSheetId="0">'① (정보화사업) 1-1. 정보화사업 개요'!$A$1:$J$38</definedName>
    <definedName name="_xlnm.Print_Area" localSheetId="1">'① (정보화사업) 1-2. 소요자원 상세내용'!$A$1:$L$23</definedName>
    <definedName name="_xlnm.Print_Area" localSheetId="2">'② (경상사업) 2. 경상적인 사업'!$A$1:$J$12</definedName>
    <definedName name="_xlnm.Print_Area" localSheetId="3">'③ (일반관리비) 전산 일반관리비 편성요청서'!$A$1:$K$26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8" l="1"/>
  <c r="E20" i="18"/>
  <c r="E19" i="18"/>
  <c r="E18" i="18"/>
  <c r="E17" i="18"/>
  <c r="E16" i="18"/>
  <c r="E15" i="18"/>
  <c r="E14" i="18"/>
  <c r="C37" i="16" l="1"/>
  <c r="D37" i="16"/>
  <c r="E37" i="16"/>
  <c r="E38" i="16"/>
  <c r="F37" i="16"/>
  <c r="H37" i="16"/>
  <c r="G37" i="16"/>
  <c r="G38" i="16"/>
  <c r="G36" i="16"/>
  <c r="G35" i="16"/>
  <c r="C38" i="16"/>
  <c r="D38" i="16"/>
  <c r="F38" i="16"/>
  <c r="H38" i="16"/>
  <c r="I36" i="16"/>
  <c r="I35" i="16"/>
  <c r="I34" i="16"/>
  <c r="I33" i="16"/>
  <c r="I32" i="16"/>
  <c r="I31" i="16"/>
  <c r="G31" i="16"/>
  <c r="G32" i="16"/>
  <c r="G33" i="16"/>
  <c r="H34" i="16"/>
  <c r="D34" i="16"/>
  <c r="E34" i="16"/>
  <c r="F34" i="16"/>
  <c r="C34" i="16"/>
  <c r="C11" i="20"/>
  <c r="E11" i="20"/>
  <c r="F11" i="20"/>
  <c r="H11" i="20"/>
  <c r="G11" i="20"/>
  <c r="I37" i="16"/>
  <c r="I38" i="16"/>
  <c r="G3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KDB_QM</author>
  </authors>
  <commentList>
    <comment ref="E5" authorId="0" shapeId="0" xr:uid="{F728508C-EDB8-4933-8399-DF5B7D4C85D4}">
      <text>
        <r>
          <rPr>
            <b/>
            <sz val="9"/>
            <color indexed="81"/>
            <rFont val="Tahoma"/>
            <family val="2"/>
          </rPr>
          <t>KDB_QM: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단순계산하여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소요예산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) = </t>
        </r>
        <r>
          <rPr>
            <sz val="9"/>
            <color indexed="81"/>
            <rFont val="돋움"/>
            <family val="3"/>
            <charset val="129"/>
          </rPr>
          <t>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÷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<sst xmlns="http://schemas.openxmlformats.org/spreadsheetml/2006/main" count="231" uniqueCount="152">
  <si>
    <t>사업명</t>
    <phoneticPr fontId="2" type="noConversion"/>
  </si>
  <si>
    <t>사업유형</t>
    <phoneticPr fontId="2" type="noConversion"/>
  </si>
  <si>
    <t>주 사용자</t>
    <phoneticPr fontId="2" type="noConversion"/>
  </si>
  <si>
    <t>시스템(사업)명</t>
  </si>
  <si>
    <t>담당부서</t>
  </si>
  <si>
    <t>연관내용</t>
  </si>
  <si>
    <t>시스템 특성</t>
    <phoneticPr fontId="2" type="noConversion"/>
  </si>
  <si>
    <t>시스템 영역</t>
    <phoneticPr fontId="2" type="noConversion"/>
  </si>
  <si>
    <t>시스템 요건</t>
    <phoneticPr fontId="2" type="noConversion"/>
  </si>
  <si>
    <t>통화
구분</t>
    <phoneticPr fontId="2" type="noConversion"/>
  </si>
  <si>
    <t>업무구분</t>
    <phoneticPr fontId="2" type="noConversion"/>
  </si>
  <si>
    <t>정보보호
관련여부</t>
    <phoneticPr fontId="2" type="noConversion"/>
  </si>
  <si>
    <t>비 목 명</t>
  </si>
  <si>
    <t>계약명 / 건명</t>
  </si>
  <si>
    <t>소요예산</t>
  </si>
  <si>
    <t>계약</t>
  </si>
  <si>
    <t>상대처</t>
  </si>
  <si>
    <t>계약구분</t>
  </si>
  <si>
    <t>월간</t>
  </si>
  <si>
    <t>연간</t>
  </si>
  <si>
    <t>계속</t>
  </si>
  <si>
    <t>신규</t>
  </si>
  <si>
    <t>국내전산임차료</t>
  </si>
  <si>
    <t>국외전산임차료</t>
  </si>
  <si>
    <t>국내출장</t>
  </si>
  <si>
    <t>국외출장</t>
  </si>
  <si>
    <t>외주용역</t>
  </si>
  <si>
    <t>원고강사심사료</t>
  </si>
  <si>
    <t>국외전산용역비</t>
  </si>
  <si>
    <t>회선사용료</t>
  </si>
  <si>
    <t>유지보수료</t>
  </si>
  <si>
    <t>전산소모품비</t>
  </si>
  <si>
    <t>국외전산유지보수료</t>
  </si>
  <si>
    <t>국외전산기타제비</t>
  </si>
  <si>
    <t>전산
임차료</t>
    <phoneticPr fontId="2" type="noConversion"/>
  </si>
  <si>
    <t>전산
여비</t>
    <phoneticPr fontId="2" type="noConversion"/>
  </si>
  <si>
    <t>전산
용역비</t>
    <phoneticPr fontId="2" type="noConversion"/>
  </si>
  <si>
    <t>소요예산</t>
    <phoneticPr fontId="2" type="noConversion"/>
  </si>
  <si>
    <t>연관 시스템
(연관 사업)</t>
    <phoneticPr fontId="2" type="noConversion"/>
  </si>
  <si>
    <t>시작일자
(YY/MM)</t>
    <phoneticPr fontId="2" type="noConversion"/>
  </si>
  <si>
    <t>종료일자
(YY/MM)</t>
    <phoneticPr fontId="2" type="noConversion"/>
  </si>
  <si>
    <t>사업 개요</t>
    <phoneticPr fontId="2" type="noConversion"/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</si>
  <si>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</si>
  <si>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</si>
  <si>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</si>
  <si>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</si>
  <si>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t>전체 합계</t>
    <phoneticPr fontId="2" type="noConversion"/>
  </si>
  <si>
    <t xml:space="preserve">  계</t>
    <phoneticPr fontId="2" type="noConversion"/>
  </si>
  <si>
    <t>(개요)</t>
    <phoneticPr fontId="2" type="noConversion"/>
  </si>
  <si>
    <t>(현황)</t>
    <phoneticPr fontId="2" type="noConversion"/>
  </si>
  <si>
    <t>(미추진시 
문제점)</t>
    <phoneticPr fontId="2" type="noConversion"/>
  </si>
  <si>
    <t>주관부문/본부</t>
    <phoneticPr fontId="2" type="noConversion"/>
  </si>
  <si>
    <t>개발비</t>
    <phoneticPr fontId="2" type="noConversion"/>
  </si>
  <si>
    <t>기계장치(HW)</t>
    <phoneticPr fontId="2" type="noConversion"/>
  </si>
  <si>
    <t>기타무형자산(SW)</t>
    <phoneticPr fontId="2" type="noConversion"/>
  </si>
  <si>
    <t>사업구분</t>
    <phoneticPr fontId="2" type="noConversion"/>
  </si>
  <si>
    <t>법규상 완료시기</t>
    <phoneticPr fontId="2" type="noConversion"/>
  </si>
  <si>
    <t>정보보호여부</t>
    <phoneticPr fontId="2" type="noConversion"/>
  </si>
  <si>
    <t>비고</t>
    <phoneticPr fontId="2" type="noConversion"/>
  </si>
  <si>
    <t>항목</t>
    <phoneticPr fontId="2" type="noConversion"/>
  </si>
  <si>
    <t>수량</t>
    <phoneticPr fontId="2" type="noConversion"/>
  </si>
  <si>
    <t>통화</t>
    <phoneticPr fontId="2" type="noConversion"/>
  </si>
  <si>
    <t>산정근거</t>
    <phoneticPr fontId="2" type="noConversion"/>
  </si>
  <si>
    <t>도입시기(월)</t>
    <phoneticPr fontId="2" type="noConversion"/>
  </si>
  <si>
    <t>구분</t>
    <phoneticPr fontId="2" type="noConversion"/>
  </si>
  <si>
    <t xml:space="preserve">총 사업금액(전체기간)
</t>
    <phoneticPr fontId="2" type="noConversion"/>
  </si>
  <si>
    <t>추진경과</t>
    <phoneticPr fontId="2" type="noConversion"/>
  </si>
  <si>
    <t>향후계획</t>
    <phoneticPr fontId="2" type="noConversion"/>
  </si>
  <si>
    <t>진행 상황</t>
    <phoneticPr fontId="2" type="noConversion"/>
  </si>
  <si>
    <t>편성 기준</t>
    <phoneticPr fontId="2" type="noConversion"/>
  </si>
  <si>
    <t>관련 조직</t>
    <phoneticPr fontId="2" type="noConversion"/>
  </si>
  <si>
    <t>비고(증감사유, 적용환율  등)</t>
    <phoneticPr fontId="2" type="noConversion"/>
  </si>
  <si>
    <t>팀장</t>
    <phoneticPr fontId="2" type="noConversion"/>
  </si>
  <si>
    <t>주관부서/팀</t>
    <phoneticPr fontId="2" type="noConversion"/>
  </si>
  <si>
    <t>추진시기 및 소요예산</t>
    <phoneticPr fontId="2" type="noConversion"/>
  </si>
  <si>
    <t>예산 소요(상세)
(백만원, 부가세포함)</t>
    <phoneticPr fontId="2" type="noConversion"/>
  </si>
  <si>
    <t>백만원</t>
    <phoneticPr fontId="2" type="noConversion"/>
  </si>
  <si>
    <t xml:space="preserve"> 백만원</t>
    <phoneticPr fontId="2" type="noConversion"/>
  </si>
  <si>
    <t>실무자(정/부)</t>
    <phoneticPr fontId="2" type="noConversion"/>
  </si>
  <si>
    <t>IT팀장</t>
    <phoneticPr fontId="2" type="noConversion"/>
  </si>
  <si>
    <t>IT실무자(정/부)</t>
    <phoneticPr fontId="2" type="noConversion"/>
  </si>
  <si>
    <t xml:space="preserve">1-1. 정보화사업 개요 </t>
    <phoneticPr fontId="2" type="noConversion"/>
  </si>
  <si>
    <t xml:space="preserve"> ○○○ 팀장</t>
    <phoneticPr fontId="2" type="noConversion"/>
  </si>
  <si>
    <t>중복 여부</t>
    <phoneticPr fontId="2" type="noConversion"/>
  </si>
  <si>
    <t>디지털 기술 유형</t>
    <phoneticPr fontId="2" type="noConversion"/>
  </si>
  <si>
    <t>사업 추진 가능성</t>
    <phoneticPr fontId="2" type="noConversion"/>
  </si>
  <si>
    <t>추진가능성</t>
    <phoneticPr fontId="2" type="noConversion"/>
  </si>
  <si>
    <t>단가</t>
    <phoneticPr fontId="2" type="noConversion"/>
  </si>
  <si>
    <t>도입시기</t>
    <phoneticPr fontId="2" type="noConversion"/>
  </si>
  <si>
    <t>비고(적용 환율 등)</t>
    <phoneticPr fontId="2" type="noConversion"/>
  </si>
  <si>
    <t xml:space="preserve">      ○○○ 팀장</t>
    <phoneticPr fontId="2" type="noConversion"/>
  </si>
  <si>
    <t>(추진내용)</t>
    <phoneticPr fontId="2" type="noConversion"/>
  </si>
  <si>
    <t>사업 범위
(전산 요구사항)</t>
    <phoneticPr fontId="2" type="noConversion"/>
  </si>
  <si>
    <t>소요
자원</t>
    <phoneticPr fontId="2" type="noConversion"/>
  </si>
  <si>
    <t>보고 상태</t>
    <phoneticPr fontId="2" type="noConversion"/>
  </si>
  <si>
    <t>최종보고</t>
    <phoneticPr fontId="2" type="noConversion"/>
  </si>
  <si>
    <t>전결권자</t>
    <phoneticPr fontId="2" type="noConversion"/>
  </si>
  <si>
    <t>인프라 
통합관리 여부</t>
    <phoneticPr fontId="2" type="noConversion"/>
  </si>
  <si>
    <t>* 견적서 기반 소요예산 근거 등 별첨 필요</t>
    <phoneticPr fontId="2" type="noConversion"/>
  </si>
  <si>
    <t>소요예산
(부가세포함)</t>
    <phoneticPr fontId="2" type="noConversion"/>
  </si>
  <si>
    <t>국외회선사용료</t>
    <phoneticPr fontId="2" type="noConversion"/>
  </si>
  <si>
    <t>KRW</t>
    <phoneticPr fontId="2" type="noConversion"/>
  </si>
  <si>
    <t>(단위 : 천원, 천엔, 기타 통화 일, 부가세 포함)</t>
    <phoneticPr fontId="2" type="noConversion"/>
  </si>
  <si>
    <r>
      <t xml:space="preserve">
</t>
    </r>
    <r>
      <rPr>
        <i/>
        <sz val="11"/>
        <rFont val="맑은 고딕"/>
        <family val="3"/>
        <charset val="129"/>
      </rPr>
      <t>* 내/외규에 의해 추진하는 경우 근거가 되는 내/외규 표시, 기타 추진사유 및 근거 별첨 가능</t>
    </r>
    <phoneticPr fontId="2" type="noConversion"/>
  </si>
  <si>
    <t>(기대효과)</t>
    <phoneticPr fontId="2" type="noConversion"/>
  </si>
  <si>
    <t>(필요성)</t>
    <phoneticPr fontId="2" type="noConversion"/>
  </si>
  <si>
    <t>(확인자)</t>
    <phoneticPr fontId="2" type="noConversion"/>
  </si>
  <si>
    <t>(작성자)</t>
    <phoneticPr fontId="2" type="noConversion"/>
  </si>
  <si>
    <t>○○○ 직위</t>
    <phoneticPr fontId="2" type="noConversion"/>
  </si>
  <si>
    <t xml:space="preserve">       ○○○ 직위</t>
    <phoneticPr fontId="2" type="noConversion"/>
  </si>
  <si>
    <t>3. 전산 일반관리비 편성 요청서</t>
    <phoneticPr fontId="2" type="noConversion"/>
  </si>
  <si>
    <t>1-2. 정보화사업  소요자원 상세내용</t>
    <phoneticPr fontId="2" type="noConversion"/>
  </si>
  <si>
    <t>2. 경상적인 사업</t>
    <phoneticPr fontId="2" type="noConversion"/>
  </si>
  <si>
    <t xml:space="preserve"> </t>
    <phoneticPr fontId="2" type="noConversion"/>
  </si>
  <si>
    <t>'26년도 합계</t>
    <phoneticPr fontId="2" type="noConversion"/>
  </si>
  <si>
    <t>'26년도 이후</t>
    <phoneticPr fontId="2" type="noConversion"/>
  </si>
  <si>
    <t>‘26년도 필요예산 편성요청</t>
    <phoneticPr fontId="2" type="noConversion"/>
  </si>
  <si>
    <t>자본예산</t>
    <phoneticPr fontId="2" type="noConversion"/>
  </si>
  <si>
    <t>일반관리비</t>
    <phoneticPr fontId="2" type="noConversion"/>
  </si>
  <si>
    <t>전산임차료</t>
    <phoneticPr fontId="2" type="noConversion"/>
  </si>
  <si>
    <t>전산제비</t>
    <phoneticPr fontId="2" type="noConversion"/>
  </si>
  <si>
    <r>
      <t xml:space="preserve"> </t>
    </r>
    <r>
      <rPr>
        <b/>
        <sz val="11"/>
        <color indexed="10"/>
        <rFont val="맑은 고딕"/>
        <family val="3"/>
        <charset val="129"/>
      </rPr>
      <t>* HW(기계장치) 및 SW(기타무형자산, 전산임차료) 소요자원 중 IT인프라 자원 포함 시, IT인프라팀과 사전협의 내용 반영하여 작성</t>
    </r>
    <phoneticPr fontId="2" type="noConversion"/>
  </si>
  <si>
    <t>* 정보화사업에 포함된 일반관리비는 1-1. 정보화사업 개요, 1-2. 소요자원 상세내용 시트에 작성</t>
    <phoneticPr fontId="2" type="noConversion"/>
  </si>
  <si>
    <t>소 계</t>
    <phoneticPr fontId="2" type="noConversion"/>
  </si>
  <si>
    <t>총 계</t>
    <phoneticPr fontId="2" type="noConversion"/>
  </si>
  <si>
    <t>대금지급주기
(월/분기/년)</t>
    <phoneticPr fontId="2" type="noConversion"/>
  </si>
  <si>
    <t>연간 소요예산
(부가세포함)</t>
    <phoneticPr fontId="2" type="noConversion"/>
  </si>
  <si>
    <t xml:space="preserve">유지보수 변경계약서(1차), ITSM </t>
  </si>
  <si>
    <t>유지보수 변경계약서(5차), "Nexcore ASD suite"</t>
  </si>
  <si>
    <t>유지보수 변경계약서(2차), “리포트개발도구”</t>
  </si>
  <si>
    <t>유지보수 변경계약서(2차), 영향도분석 솔루션</t>
  </si>
  <si>
    <t>유지보수 변경계약서 (5차), "EAMS"</t>
  </si>
  <si>
    <t>유지보수 변경계약서(1차), "IT자산관리시스템"</t>
  </si>
  <si>
    <t>유지보수 변경계약서(2차), 테스트커버리지 도구</t>
  </si>
  <si>
    <t>유지보수 변경계약서 (4차), 형상관리(eCAMS)</t>
  </si>
  <si>
    <t>㈜뉴시스텍</t>
  </si>
  <si>
    <t>펜타시스템테크놀러지㈜</t>
  </si>
  <si>
    <t>㈜한컴이노스트림</t>
  </si>
  <si>
    <t>아카이브테크놀로지㈜</t>
  </si>
  <si>
    <t>㈜아던트</t>
  </si>
  <si>
    <t>㈜위엠비</t>
  </si>
  <si>
    <t>슈어소프트테크㈜</t>
  </si>
  <si>
    <t>㈜아즈소프트</t>
  </si>
  <si>
    <t>O</t>
    <phoneticPr fontId="2" type="noConversion"/>
  </si>
  <si>
    <t>X</t>
    <phoneticPr fontId="2" type="noConversion"/>
  </si>
  <si>
    <t xml:space="preserve">  - EA컨설팅 유지보수 비용 증액에 따른 연간 계약금액 증액 (계약목적물은 변경 내역 없음)
  · 컨설팅 인력의 노임단가, 제경비 및 할인율 변경에 따른 유지보수기타금액 변경</t>
    <phoneticPr fontId="2" type="noConversion"/>
  </si>
  <si>
    <t xml:space="preserve">  - 미사용 자산에 대한 요율 조정에 따른 연간 계약금액 감액</t>
    <phoneticPr fontId="2" type="noConversion"/>
  </si>
  <si>
    <t xml:space="preserve"> - 계약목적물 추가(4식)에 따른 연간 계약금액 증액</t>
    <phoneticPr fontId="2" type="noConversion"/>
  </si>
  <si>
    <t xml:space="preserve"> - 계약목적물 추가 (7식)에 따른 연간 계약금액 증액</t>
    <phoneticPr fontId="2" type="noConversion"/>
  </si>
  <si>
    <t>전산
제비</t>
    <phoneticPr fontId="2" type="noConversion"/>
  </si>
  <si>
    <t xml:space="preserve"> 장행숙 팀장</t>
    <phoneticPr fontId="2" type="noConversion"/>
  </si>
  <si>
    <t>(작성자) 홍주혜 과장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</si>
</sst>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63"/>
      <name val="돋움"/>
      <family val="3"/>
      <charset val="129"/>
    </font>
    <font>
      <sz val="16"/>
      <color indexed="63"/>
      <name val="돋움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돋움"/>
      <family val="3"/>
      <charset val="129"/>
    </font>
    <font>
      <b/>
      <sz val="10"/>
      <color indexed="63"/>
      <name val="돋움"/>
      <family val="3"/>
      <charset val="129"/>
    </font>
    <font>
      <i/>
      <sz val="11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name val="돋움"/>
      <family val="3"/>
      <charset val="129"/>
    </font>
    <font>
      <sz val="11"/>
      <color rgb="FF0000CC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0"/>
      <color rgb="FF003399"/>
      <name val="맑은 고딕"/>
      <family val="3"/>
      <charset val="129"/>
    </font>
    <font>
      <sz val="11"/>
      <color rgb="FF003399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b/>
      <sz val="13"/>
      <color theme="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9"/>
      <color rgb="FF000000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8E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D5D5D"/>
      </left>
      <right style="thin">
        <color rgb="FF5D5D5D"/>
      </right>
      <top style="thin">
        <color rgb="FF000000"/>
      </top>
      <bottom style="thin">
        <color rgb="FF5D5D5D"/>
      </bottom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000000"/>
      </bottom>
      <diagonal/>
    </border>
    <border>
      <left style="thin">
        <color rgb="FF000000"/>
      </left>
      <right style="thin">
        <color rgb="FF5D5D5D"/>
      </right>
      <top style="thin">
        <color rgb="FF000000"/>
      </top>
      <bottom style="thin">
        <color rgb="FF5D5D5D"/>
      </bottom>
      <diagonal/>
    </border>
    <border>
      <left style="thin">
        <color rgb="FF000000"/>
      </left>
      <right style="thin">
        <color rgb="FF5D5D5D"/>
      </right>
      <top style="thin">
        <color rgb="FF5D5D5D"/>
      </top>
      <bottom style="thin">
        <color rgb="FF000000"/>
      </bottom>
      <diagonal/>
    </border>
    <border>
      <left style="thin">
        <color rgb="FF5D5D5D"/>
      </left>
      <right style="thin">
        <color rgb="FF000000"/>
      </right>
      <top style="thin">
        <color rgb="FF000000"/>
      </top>
      <bottom style="thin">
        <color rgb="FF5D5D5D"/>
      </bottom>
      <diagonal/>
    </border>
    <border>
      <left style="thin">
        <color rgb="FF000000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5D5D5D"/>
      </left>
      <right style="thin">
        <color rgb="FF000000"/>
      </right>
      <top style="thin">
        <color rgb="FF5D5D5D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D5D5D"/>
      </left>
      <right/>
      <top style="thin">
        <color rgb="FF000000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indexed="64"/>
      </top>
      <bottom style="thin">
        <color theme="0" tint="-0.34998626667073579"/>
      </bottom>
      <diagonal/>
    </border>
    <border>
      <left style="thin">
        <color rgb="FF5D5D5D"/>
      </left>
      <right style="thin">
        <color indexed="64"/>
      </right>
      <top style="thin">
        <color indexed="64"/>
      </top>
      <bottom style="thin">
        <color rgb="FF5D5D5D"/>
      </bottom>
      <diagonal/>
    </border>
    <border>
      <left style="thin">
        <color rgb="FF5D5D5D"/>
      </left>
      <right style="thin">
        <color indexed="64"/>
      </right>
      <top style="thin">
        <color rgb="FF5D5D5D"/>
      </top>
      <bottom style="thin">
        <color rgb="FF5D5D5D"/>
      </bottom>
      <diagonal/>
    </border>
    <border>
      <left style="thin">
        <color rgb="FF5D5D5D"/>
      </left>
      <right style="thin">
        <color indexed="64"/>
      </right>
      <top style="thin">
        <color rgb="FF5D5D5D"/>
      </top>
      <bottom style="thin">
        <color rgb="FF000000"/>
      </bottom>
      <diagonal/>
    </border>
    <border>
      <left style="thin">
        <color rgb="FF5D5D5D"/>
      </left>
      <right style="thin">
        <color rgb="FF5D5D5D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5D5D5D"/>
      </bottom>
      <diagonal/>
    </border>
    <border>
      <left/>
      <right style="thin">
        <color rgb="FF000000"/>
      </right>
      <top/>
      <bottom style="thin">
        <color rgb="FF5D5D5D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5D5D5D"/>
      </right>
      <top style="thin">
        <color rgb="FF000000"/>
      </top>
      <bottom style="thin">
        <color rgb="FF5D5D5D"/>
      </bottom>
      <diagonal/>
    </border>
    <border>
      <left/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rgb="FF000000"/>
      </right>
      <top/>
      <bottom/>
      <diagonal/>
    </border>
    <border>
      <left style="thin">
        <color rgb="FF5D5D5D"/>
      </left>
      <right/>
      <top/>
      <bottom style="thin">
        <color rgb="FF000000"/>
      </bottom>
      <diagonal/>
    </border>
    <border>
      <left/>
      <right style="thin">
        <color rgb="FF5D5D5D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5D5D5D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5D5D5D"/>
      </right>
      <top/>
      <bottom style="thin">
        <color indexed="64"/>
      </bottom>
      <diagonal/>
    </border>
    <border>
      <left/>
      <right/>
      <top style="thin">
        <color rgb="FF5D5D5D"/>
      </top>
      <bottom style="thin">
        <color rgb="FF5D5D5D"/>
      </bottom>
      <diagonal/>
    </border>
    <border>
      <left/>
      <right/>
      <top/>
      <bottom style="thin">
        <color rgb="FF5D5D5D"/>
      </bottom>
      <diagonal/>
    </border>
    <border>
      <left/>
      <right style="thin">
        <color rgb="FF000000"/>
      </right>
      <top style="thin">
        <color rgb="FF5D5D5D"/>
      </top>
      <bottom style="thin">
        <color rgb="FF5D5D5D"/>
      </bottom>
      <diagonal/>
    </border>
    <border>
      <left/>
      <right/>
      <top style="thin">
        <color rgb="FF5D5D5D"/>
      </top>
      <bottom/>
      <diagonal/>
    </border>
    <border>
      <left/>
      <right style="thin">
        <color rgb="FF000000"/>
      </right>
      <top style="thin">
        <color rgb="FF5D5D5D"/>
      </top>
      <bottom/>
      <diagonal/>
    </border>
    <border>
      <left style="thin">
        <color rgb="FF5D5D5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5D5D5D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5D5D5D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7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0" borderId="0" xfId="0" applyFont="1"/>
    <xf numFmtId="0" fontId="7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3" fontId="16" fillId="0" borderId="17" xfId="0" applyNumberFormat="1" applyFont="1" applyBorder="1" applyAlignment="1">
      <alignment horizontal="right" wrapText="1"/>
    </xf>
    <xf numFmtId="3" fontId="16" fillId="0" borderId="16" xfId="0" applyNumberFormat="1" applyFont="1" applyBorder="1" applyAlignment="1">
      <alignment horizontal="right" wrapText="1"/>
    </xf>
    <xf numFmtId="0" fontId="15" fillId="0" borderId="20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22" xfId="0" applyFont="1" applyBorder="1" applyAlignment="1">
      <alignment horizontal="right" wrapText="1"/>
    </xf>
    <xf numFmtId="0" fontId="15" fillId="0" borderId="23" xfId="0" applyFont="1" applyBorder="1" applyAlignment="1">
      <alignment horizontal="center" wrapText="1"/>
    </xf>
    <xf numFmtId="0" fontId="16" fillId="0" borderId="21" xfId="0" applyFont="1" applyBorder="1" applyAlignment="1">
      <alignment horizontal="center" wrapText="1"/>
    </xf>
    <xf numFmtId="3" fontId="16" fillId="0" borderId="22" xfId="0" applyNumberFormat="1" applyFont="1" applyBorder="1" applyAlignment="1">
      <alignment horizontal="right" wrapText="1"/>
    </xf>
    <xf numFmtId="0" fontId="16" fillId="0" borderId="22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17" xfId="0" applyFont="1" applyBorder="1" applyAlignment="1">
      <alignment horizontal="right" wrapText="1"/>
    </xf>
    <xf numFmtId="49" fontId="14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41" fontId="18" fillId="2" borderId="1" xfId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6" fillId="0" borderId="25" xfId="0" applyFont="1" applyBorder="1" applyAlignment="1">
      <alignment horizontal="center" wrapText="1"/>
    </xf>
    <xf numFmtId="0" fontId="16" fillId="0" borderId="23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vertical="center"/>
    </xf>
    <xf numFmtId="0" fontId="20" fillId="4" borderId="2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shrinkToFit="1"/>
    </xf>
    <xf numFmtId="0" fontId="21" fillId="5" borderId="27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41" fontId="19" fillId="6" borderId="1" xfId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 wrapText="1"/>
    </xf>
    <xf numFmtId="0" fontId="23" fillId="0" borderId="40" xfId="0" applyFont="1" applyBorder="1" applyAlignment="1">
      <alignment horizontal="center" wrapText="1"/>
    </xf>
    <xf numFmtId="0" fontId="23" fillId="0" borderId="41" xfId="0" applyFont="1" applyBorder="1" applyAlignment="1">
      <alignment horizontal="center" wrapText="1"/>
    </xf>
    <xf numFmtId="0" fontId="0" fillId="0" borderId="8" xfId="0" applyBorder="1"/>
    <xf numFmtId="0" fontId="16" fillId="0" borderId="41" xfId="0" applyFont="1" applyBorder="1" applyAlignment="1">
      <alignment horizontal="center" wrapText="1"/>
    </xf>
    <xf numFmtId="0" fontId="24" fillId="0" borderId="41" xfId="0" applyFont="1" applyBorder="1" applyAlignment="1">
      <alignment horizontal="center" wrapText="1"/>
    </xf>
    <xf numFmtId="0" fontId="23" fillId="0" borderId="42" xfId="0" applyFont="1" applyBorder="1" applyAlignment="1">
      <alignment horizontal="center" wrapText="1"/>
    </xf>
    <xf numFmtId="0" fontId="25" fillId="7" borderId="0" xfId="0" applyFont="1" applyFill="1" applyBorder="1" applyAlignment="1">
      <alignment horizontal="left" vertical="center" wrapText="1"/>
    </xf>
    <xf numFmtId="0" fontId="25" fillId="7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center" vertical="center" shrinkToFit="1"/>
    </xf>
    <xf numFmtId="0" fontId="26" fillId="7" borderId="0" xfId="0" applyFont="1" applyFill="1" applyBorder="1" applyAlignment="1">
      <alignment horizontal="left" vertical="center" shrinkToFit="1"/>
    </xf>
    <xf numFmtId="0" fontId="27" fillId="8" borderId="6" xfId="0" applyFont="1" applyFill="1" applyBorder="1" applyAlignment="1">
      <alignment vertical="center"/>
    </xf>
    <xf numFmtId="0" fontId="26" fillId="8" borderId="0" xfId="0" applyFont="1" applyFill="1" applyBorder="1" applyAlignment="1">
      <alignment horizontal="center" vertical="center" shrinkToFit="1"/>
    </xf>
    <xf numFmtId="0" fontId="26" fillId="8" borderId="0" xfId="0" applyFont="1" applyFill="1" applyBorder="1" applyAlignment="1">
      <alignment horizontal="left" vertical="center" shrinkToFit="1"/>
    </xf>
    <xf numFmtId="0" fontId="28" fillId="9" borderId="1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41" fontId="19" fillId="2" borderId="2" xfId="1" applyFont="1" applyFill="1" applyBorder="1" applyAlignment="1">
      <alignment vertical="center"/>
    </xf>
    <xf numFmtId="41" fontId="19" fillId="6" borderId="2" xfId="1" applyFont="1" applyFill="1" applyBorder="1" applyAlignment="1">
      <alignment vertical="center"/>
    </xf>
    <xf numFmtId="41" fontId="19" fillId="2" borderId="1" xfId="1" applyFont="1" applyFill="1" applyBorder="1" applyAlignment="1">
      <alignment vertical="center"/>
    </xf>
    <xf numFmtId="41" fontId="19" fillId="6" borderId="1" xfId="1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21" fillId="11" borderId="43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left" vertical="center" wrapText="1"/>
    </xf>
    <xf numFmtId="0" fontId="14" fillId="0" borderId="3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29" fillId="3" borderId="1" xfId="0" quotePrefix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30" fillId="0" borderId="23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31" fillId="11" borderId="43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left" vertical="center" wrapText="1"/>
    </xf>
    <xf numFmtId="0" fontId="25" fillId="7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32" fillId="3" borderId="44" xfId="0" applyFont="1" applyFill="1" applyBorder="1" applyAlignment="1">
      <alignment horizontal="center" vertical="center" wrapText="1"/>
    </xf>
    <xf numFmtId="0" fontId="32" fillId="3" borderId="44" xfId="0" applyFont="1" applyFill="1" applyBorder="1" applyAlignment="1">
      <alignment horizontal="center" vertical="center" shrinkToFit="1"/>
    </xf>
    <xf numFmtId="0" fontId="32" fillId="3" borderId="4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shrinkToFit="1"/>
    </xf>
    <xf numFmtId="0" fontId="32" fillId="3" borderId="46" xfId="0" applyFont="1" applyFill="1" applyBorder="1" applyAlignment="1">
      <alignment horizontal="center" vertical="center" shrinkToFit="1"/>
    </xf>
    <xf numFmtId="0" fontId="32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41" fontId="18" fillId="6" borderId="1" xfId="1" applyFont="1" applyFill="1" applyBorder="1" applyAlignment="1">
      <alignment horizontal="center" vertical="center"/>
    </xf>
    <xf numFmtId="41" fontId="34" fillId="6" borderId="1" xfId="1" applyFont="1" applyFill="1" applyBorder="1" applyAlignment="1">
      <alignment horizontal="center" vertical="center"/>
    </xf>
    <xf numFmtId="41" fontId="35" fillId="6" borderId="1" xfId="1" applyFont="1" applyFill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 wrapText="1"/>
    </xf>
    <xf numFmtId="3" fontId="14" fillId="0" borderId="38" xfId="0" applyNumberFormat="1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3" fontId="14" fillId="0" borderId="35" xfId="0" applyNumberFormat="1" applyFont="1" applyBorder="1" applyAlignment="1">
      <alignment horizontal="center" vertical="center" wrapText="1"/>
    </xf>
    <xf numFmtId="3" fontId="14" fillId="0" borderId="50" xfId="0" applyNumberFormat="1" applyFont="1" applyBorder="1" applyAlignment="1">
      <alignment horizontal="center" vertical="center" wrapText="1"/>
    </xf>
    <xf numFmtId="0" fontId="21" fillId="11" borderId="52" xfId="0" applyFont="1" applyFill="1" applyBorder="1" applyAlignment="1">
      <alignment horizontal="center" vertical="center" wrapText="1"/>
    </xf>
    <xf numFmtId="0" fontId="21" fillId="11" borderId="53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3" fontId="8" fillId="0" borderId="22" xfId="0" applyNumberFormat="1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3" fontId="8" fillId="11" borderId="22" xfId="0" applyNumberFormat="1" applyFont="1" applyFill="1" applyBorder="1" applyAlignment="1">
      <alignment horizontal="right" vertical="center" wrapText="1"/>
    </xf>
    <xf numFmtId="0" fontId="20" fillId="4" borderId="1" xfId="0" applyFont="1" applyFill="1" applyBorder="1" applyAlignment="1">
      <alignment horizontal="center" vertical="center" wrapText="1"/>
    </xf>
    <xf numFmtId="41" fontId="19" fillId="2" borderId="11" xfId="1" applyFont="1" applyFill="1" applyBorder="1" applyAlignment="1">
      <alignment horizontal="center" vertical="center"/>
    </xf>
    <xf numFmtId="41" fontId="19" fillId="2" borderId="2" xfId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41" fontId="19" fillId="6" borderId="3" xfId="1" applyFont="1" applyFill="1" applyBorder="1" applyAlignment="1">
      <alignment horizontal="center" vertical="center"/>
    </xf>
    <xf numFmtId="41" fontId="19" fillId="6" borderId="2" xfId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41" fontId="34" fillId="6" borderId="3" xfId="1" applyFont="1" applyFill="1" applyBorder="1" applyAlignment="1">
      <alignment horizontal="center" vertical="center"/>
    </xf>
    <xf numFmtId="41" fontId="34" fillId="6" borderId="2" xfId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5" fillId="7" borderId="55" xfId="0" applyFont="1" applyFill="1" applyBorder="1" applyAlignment="1">
      <alignment horizontal="left" vertical="center" wrapText="1"/>
    </xf>
    <xf numFmtId="0" fontId="25" fillId="7" borderId="0" xfId="0" applyFont="1" applyFill="1" applyBorder="1" applyAlignment="1">
      <alignment horizontal="left" vertical="center" wrapText="1"/>
    </xf>
    <xf numFmtId="0" fontId="25" fillId="7" borderId="56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 wrapText="1"/>
    </xf>
    <xf numFmtId="0" fontId="32" fillId="3" borderId="58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20" fillId="4" borderId="54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49" fontId="14" fillId="2" borderId="9" xfId="0" applyNumberFormat="1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14" fillId="2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0" fontId="36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5" borderId="69" xfId="0" applyFont="1" applyFill="1" applyBorder="1" applyAlignment="1">
      <alignment horizontal="center" vertical="center" wrapText="1"/>
    </xf>
    <xf numFmtId="0" fontId="21" fillId="5" borderId="70" xfId="0" applyFont="1" applyFill="1" applyBorder="1" applyAlignment="1">
      <alignment horizontal="center" vertical="center" wrapText="1"/>
    </xf>
    <xf numFmtId="0" fontId="21" fillId="5" borderId="71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60" xfId="0" applyFont="1" applyFill="1" applyBorder="1" applyAlignment="1">
      <alignment horizontal="center" vertical="center" wrapText="1"/>
    </xf>
    <xf numFmtId="0" fontId="21" fillId="3" borderId="68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59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12" borderId="10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0" fillId="4" borderId="72" xfId="0" applyFont="1" applyFill="1" applyBorder="1" applyAlignment="1">
      <alignment horizontal="center" vertical="center" wrapText="1"/>
    </xf>
    <xf numFmtId="0" fontId="20" fillId="4" borderId="73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4" borderId="74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41" fontId="18" fillId="2" borderId="11" xfId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9" fillId="6" borderId="11" xfId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7" fillId="8" borderId="0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 wrapText="1"/>
    </xf>
    <xf numFmtId="0" fontId="28" fillId="9" borderId="9" xfId="0" applyFont="1" applyFill="1" applyBorder="1" applyAlignment="1">
      <alignment horizontal="center" vertical="center" wrapText="1"/>
    </xf>
    <xf numFmtId="0" fontId="28" fillId="9" borderId="1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/>
    </xf>
    <xf numFmtId="0" fontId="28" fillId="10" borderId="9" xfId="0" applyFont="1" applyFill="1" applyBorder="1" applyAlignment="1">
      <alignment horizontal="center" vertical="center" wrapText="1"/>
    </xf>
    <xf numFmtId="0" fontId="28" fillId="10" borderId="13" xfId="0" applyFont="1" applyFill="1" applyBorder="1" applyAlignment="1">
      <alignment horizontal="center" vertical="center" wrapText="1"/>
    </xf>
    <xf numFmtId="0" fontId="22" fillId="0" borderId="75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933450</xdr:colOff>
          <xdr:row>18</xdr:row>
          <xdr:rowOff>31750</xdr:rowOff>
        </xdr:from>
        <xdr:to>
          <xdr:col>3</xdr:col>
          <xdr:colOff>654050</xdr:colOff>
          <xdr:row>18</xdr:row>
          <xdr:rowOff>234950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18</xdr:row>
          <xdr:rowOff>31750</xdr:rowOff>
        </xdr:from>
        <xdr:to>
          <xdr:col>4</xdr:col>
          <xdr:colOff>768350</xdr:colOff>
          <xdr:row>18</xdr:row>
          <xdr:rowOff>247650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812800</xdr:colOff>
          <xdr:row>18</xdr:row>
          <xdr:rowOff>31750</xdr:rowOff>
        </xdr:from>
        <xdr:to>
          <xdr:col>5</xdr:col>
          <xdr:colOff>400050</xdr:colOff>
          <xdr:row>18</xdr:row>
          <xdr:rowOff>234950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18</xdr:row>
          <xdr:rowOff>31750</xdr:rowOff>
        </xdr:from>
        <xdr:to>
          <xdr:col>6</xdr:col>
          <xdr:colOff>698500</xdr:colOff>
          <xdr:row>18</xdr:row>
          <xdr:rowOff>247650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18</xdr:row>
          <xdr:rowOff>31750</xdr:rowOff>
        </xdr:from>
        <xdr:to>
          <xdr:col>7</xdr:col>
          <xdr:colOff>584200</xdr:colOff>
          <xdr:row>18</xdr:row>
          <xdr:rowOff>234950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717550</xdr:colOff>
          <xdr:row>18</xdr:row>
          <xdr:rowOff>31750</xdr:rowOff>
        </xdr:from>
        <xdr:to>
          <xdr:col>8</xdr:col>
          <xdr:colOff>203200</xdr:colOff>
          <xdr:row>18</xdr:row>
          <xdr:rowOff>234950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825500</xdr:colOff>
          <xdr:row>19</xdr:row>
          <xdr:rowOff>12700</xdr:rowOff>
        </xdr:from>
        <xdr:to>
          <xdr:col>3</xdr:col>
          <xdr:colOff>774700</xdr:colOff>
          <xdr:row>19</xdr:row>
          <xdr:rowOff>228600</xdr:rowOff>
        </xdr:to>
        <xdr:sp macro="" textlink="">
          <xdr:nvSpPr>
            <xdr:cNvPr id="7192" name="Check Box 24" descr="신규 개발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19</xdr:row>
          <xdr:rowOff>12700</xdr:rowOff>
        </xdr:from>
        <xdr:to>
          <xdr:col>5</xdr:col>
          <xdr:colOff>368300</xdr:colOff>
          <xdr:row>19</xdr:row>
          <xdr:rowOff>234950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19</xdr:row>
          <xdr:rowOff>12700</xdr:rowOff>
        </xdr:from>
        <xdr:to>
          <xdr:col>7</xdr:col>
          <xdr:colOff>622300</xdr:colOff>
          <xdr:row>19</xdr:row>
          <xdr:rowOff>228600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19</xdr:row>
          <xdr:rowOff>31750</xdr:rowOff>
        </xdr:from>
        <xdr:to>
          <xdr:col>6</xdr:col>
          <xdr:colOff>355600</xdr:colOff>
          <xdr:row>19</xdr:row>
          <xdr:rowOff>234950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12700</xdr:rowOff>
        </xdr:from>
        <xdr:to>
          <xdr:col>3</xdr:col>
          <xdr:colOff>685800</xdr:colOff>
          <xdr:row>21</xdr:row>
          <xdr:rowOff>228600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0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21</xdr:row>
          <xdr:rowOff>12700</xdr:rowOff>
        </xdr:from>
        <xdr:to>
          <xdr:col>4</xdr:col>
          <xdr:colOff>717550</xdr:colOff>
          <xdr:row>21</xdr:row>
          <xdr:rowOff>228600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0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793750</xdr:colOff>
          <xdr:row>21</xdr:row>
          <xdr:rowOff>12700</xdr:rowOff>
        </xdr:from>
        <xdr:to>
          <xdr:col>5</xdr:col>
          <xdr:colOff>673100</xdr:colOff>
          <xdr:row>21</xdr:row>
          <xdr:rowOff>228600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0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21</xdr:row>
          <xdr:rowOff>12700</xdr:rowOff>
        </xdr:from>
        <xdr:to>
          <xdr:col>7</xdr:col>
          <xdr:colOff>495300</xdr:colOff>
          <xdr:row>21</xdr:row>
          <xdr:rowOff>228600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0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12700</xdr:rowOff>
        </xdr:from>
        <xdr:to>
          <xdr:col>4</xdr:col>
          <xdr:colOff>342900</xdr:colOff>
          <xdr:row>26</xdr:row>
          <xdr:rowOff>228600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0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463550</xdr:colOff>
          <xdr:row>26</xdr:row>
          <xdr:rowOff>12700</xdr:rowOff>
        </xdr:from>
        <xdr:to>
          <xdr:col>9</xdr:col>
          <xdr:colOff>501650</xdr:colOff>
          <xdr:row>26</xdr:row>
          <xdr:rowOff>228600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0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215900</xdr:colOff>
          <xdr:row>26</xdr:row>
          <xdr:rowOff>12700</xdr:rowOff>
        </xdr:from>
        <xdr:to>
          <xdr:col>7</xdr:col>
          <xdr:colOff>565150</xdr:colOff>
          <xdr:row>26</xdr:row>
          <xdr:rowOff>228600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0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825500</xdr:colOff>
          <xdr:row>20</xdr:row>
          <xdr:rowOff>31750</xdr:rowOff>
        </xdr:from>
        <xdr:to>
          <xdr:col>3</xdr:col>
          <xdr:colOff>704850</xdr:colOff>
          <xdr:row>20</xdr:row>
          <xdr:rowOff>234950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0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31750</xdr:colOff>
          <xdr:row>20</xdr:row>
          <xdr:rowOff>31750</xdr:rowOff>
        </xdr:from>
        <xdr:to>
          <xdr:col>4</xdr:col>
          <xdr:colOff>527050</xdr:colOff>
          <xdr:row>20</xdr:row>
          <xdr:rowOff>247650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0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781050</xdr:colOff>
          <xdr:row>20</xdr:row>
          <xdr:rowOff>31750</xdr:rowOff>
        </xdr:from>
        <xdr:to>
          <xdr:col>5</xdr:col>
          <xdr:colOff>495300</xdr:colOff>
          <xdr:row>20</xdr:row>
          <xdr:rowOff>234950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0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20</xdr:row>
          <xdr:rowOff>31750</xdr:rowOff>
        </xdr:from>
        <xdr:to>
          <xdr:col>7</xdr:col>
          <xdr:colOff>127000</xdr:colOff>
          <xdr:row>20</xdr:row>
          <xdr:rowOff>234950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0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22</xdr:row>
          <xdr:rowOff>25400</xdr:rowOff>
        </xdr:from>
        <xdr:to>
          <xdr:col>4</xdr:col>
          <xdr:colOff>260350</xdr:colOff>
          <xdr:row>22</xdr:row>
          <xdr:rowOff>228600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0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584200</xdr:colOff>
          <xdr:row>22</xdr:row>
          <xdr:rowOff>25400</xdr:rowOff>
        </xdr:from>
        <xdr:to>
          <xdr:col>5</xdr:col>
          <xdr:colOff>438150</xdr:colOff>
          <xdr:row>22</xdr:row>
          <xdr:rowOff>228600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0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</xdr:colOff>
          <xdr:row>22</xdr:row>
          <xdr:rowOff>25400</xdr:rowOff>
        </xdr:from>
        <xdr:to>
          <xdr:col>8</xdr:col>
          <xdr:colOff>101600</xdr:colOff>
          <xdr:row>22</xdr:row>
          <xdr:rowOff>228600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0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2026년 이내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22</xdr:row>
          <xdr:rowOff>25400</xdr:rowOff>
        </xdr:from>
        <xdr:to>
          <xdr:col>8</xdr:col>
          <xdr:colOff>908050</xdr:colOff>
          <xdr:row>22</xdr:row>
          <xdr:rowOff>228600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0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2026년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20</xdr:row>
          <xdr:rowOff>31750</xdr:rowOff>
        </xdr:from>
        <xdr:to>
          <xdr:col>8</xdr:col>
          <xdr:colOff>203200</xdr:colOff>
          <xdr:row>20</xdr:row>
          <xdr:rowOff>234950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0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63500</xdr:colOff>
          <xdr:row>20</xdr:row>
          <xdr:rowOff>31750</xdr:rowOff>
        </xdr:from>
        <xdr:to>
          <xdr:col>9</xdr:col>
          <xdr:colOff>266700</xdr:colOff>
          <xdr:row>20</xdr:row>
          <xdr:rowOff>234950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0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44450</xdr:colOff>
          <xdr:row>20</xdr:row>
          <xdr:rowOff>12700</xdr:rowOff>
        </xdr:from>
        <xdr:to>
          <xdr:col>10</xdr:col>
          <xdr:colOff>158750</xdr:colOff>
          <xdr:row>20</xdr:row>
          <xdr:rowOff>234950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0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514350</xdr:colOff>
          <xdr:row>19</xdr:row>
          <xdr:rowOff>12700</xdr:rowOff>
        </xdr:from>
        <xdr:to>
          <xdr:col>9</xdr:col>
          <xdr:colOff>793750</xdr:colOff>
          <xdr:row>19</xdr:row>
          <xdr:rowOff>228600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0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501650</xdr:colOff>
          <xdr:row>18</xdr:row>
          <xdr:rowOff>31750</xdr:rowOff>
        </xdr:from>
        <xdr:to>
          <xdr:col>9</xdr:col>
          <xdr:colOff>774700</xdr:colOff>
          <xdr:row>18</xdr:row>
          <xdr:rowOff>234950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0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12700</xdr:rowOff>
        </xdr:from>
        <xdr:to>
          <xdr:col>4</xdr:col>
          <xdr:colOff>495300</xdr:colOff>
          <xdr:row>25</xdr:row>
          <xdr:rowOff>228600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0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463550</xdr:colOff>
          <xdr:row>25</xdr:row>
          <xdr:rowOff>31750</xdr:rowOff>
        </xdr:from>
        <xdr:to>
          <xdr:col>5</xdr:col>
          <xdr:colOff>533400</xdr:colOff>
          <xdr:row>25</xdr:row>
          <xdr:rowOff>234950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0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717550</xdr:colOff>
          <xdr:row>25</xdr:row>
          <xdr:rowOff>31750</xdr:rowOff>
        </xdr:from>
        <xdr:to>
          <xdr:col>7</xdr:col>
          <xdr:colOff>381000</xdr:colOff>
          <xdr:row>25</xdr:row>
          <xdr:rowOff>234950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0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22</xdr:row>
          <xdr:rowOff>6350</xdr:rowOff>
        </xdr:from>
        <xdr:to>
          <xdr:col>9</xdr:col>
          <xdr:colOff>882650</xdr:colOff>
          <xdr:row>22</xdr:row>
          <xdr:rowOff>228600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00000000-0008-0000-0000-00006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12700</xdr:rowOff>
        </xdr:from>
        <xdr:to>
          <xdr:col>8</xdr:col>
          <xdr:colOff>730250</xdr:colOff>
          <xdr:row>19</xdr:row>
          <xdr:rowOff>228600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00000000-0008-0000-0000-00006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654050</xdr:colOff>
          <xdr:row>26</xdr:row>
          <xdr:rowOff>12700</xdr:rowOff>
        </xdr:from>
        <xdr:to>
          <xdr:col>8</xdr:col>
          <xdr:colOff>190500</xdr:colOff>
          <xdr:row>26</xdr:row>
          <xdr:rowOff>228600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00000000-0008-0000-0000-00006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317500</xdr:colOff>
          <xdr:row>26</xdr:row>
          <xdr:rowOff>12700</xdr:rowOff>
        </xdr:from>
        <xdr:to>
          <xdr:col>8</xdr:col>
          <xdr:colOff>806450</xdr:colOff>
          <xdr:row>26</xdr:row>
          <xdr:rowOff>234950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00000000-0008-0000-0000-00006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6</xdr:row>
          <xdr:rowOff>0</xdr:rowOff>
        </xdr:from>
        <xdr:to>
          <xdr:col>3</xdr:col>
          <xdr:colOff>711200</xdr:colOff>
          <xdr:row>7</xdr:row>
          <xdr:rowOff>38100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</xdr:row>
          <xdr:rowOff>330200</xdr:rowOff>
        </xdr:from>
        <xdr:to>
          <xdr:col>3</xdr:col>
          <xdr:colOff>1409700</xdr:colOff>
          <xdr:row>7</xdr:row>
          <xdr:rowOff>31750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1568450</xdr:colOff>
          <xdr:row>6</xdr:row>
          <xdr:rowOff>0</xdr:rowOff>
        </xdr:from>
        <xdr:to>
          <xdr:col>3</xdr:col>
          <xdr:colOff>2178050</xdr:colOff>
          <xdr:row>7</xdr:row>
          <xdr:rowOff>38100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</xdr:colOff>
          <xdr:row>6</xdr:row>
          <xdr:rowOff>0</xdr:rowOff>
        </xdr:from>
        <xdr:to>
          <xdr:col>4</xdr:col>
          <xdr:colOff>742950</xdr:colOff>
          <xdr:row>7</xdr:row>
          <xdr:rowOff>38100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6</xdr:row>
          <xdr:rowOff>0</xdr:rowOff>
        </xdr:from>
        <xdr:to>
          <xdr:col>5</xdr:col>
          <xdr:colOff>514350</xdr:colOff>
          <xdr:row>7</xdr:row>
          <xdr:rowOff>38100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6</xdr:row>
          <xdr:rowOff>0</xdr:rowOff>
        </xdr:from>
        <xdr:to>
          <xdr:col>6</xdr:col>
          <xdr:colOff>336550</xdr:colOff>
          <xdr:row>7</xdr:row>
          <xdr:rowOff>38100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7</xdr:row>
          <xdr:rowOff>38100</xdr:rowOff>
        </xdr:from>
        <xdr:to>
          <xdr:col>3</xdr:col>
          <xdr:colOff>679450</xdr:colOff>
          <xdr:row>7</xdr:row>
          <xdr:rowOff>355600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1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831850</xdr:colOff>
          <xdr:row>7</xdr:row>
          <xdr:rowOff>38100</xdr:rowOff>
        </xdr:from>
        <xdr:to>
          <xdr:col>3</xdr:col>
          <xdr:colOff>1428750</xdr:colOff>
          <xdr:row>7</xdr:row>
          <xdr:rowOff>355600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1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1568450</xdr:colOff>
          <xdr:row>7</xdr:row>
          <xdr:rowOff>38100</xdr:rowOff>
        </xdr:from>
        <xdr:to>
          <xdr:col>3</xdr:col>
          <xdr:colOff>2165350</xdr:colOff>
          <xdr:row>7</xdr:row>
          <xdr:rowOff>349250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1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</xdr:colOff>
          <xdr:row>7</xdr:row>
          <xdr:rowOff>38100</xdr:rowOff>
        </xdr:from>
        <xdr:to>
          <xdr:col>4</xdr:col>
          <xdr:colOff>781050</xdr:colOff>
          <xdr:row>7</xdr:row>
          <xdr:rowOff>355600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1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7</xdr:row>
          <xdr:rowOff>38100</xdr:rowOff>
        </xdr:from>
        <xdr:to>
          <xdr:col>5</xdr:col>
          <xdr:colOff>673100</xdr:colOff>
          <xdr:row>7</xdr:row>
          <xdr:rowOff>368300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1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749300</xdr:colOff>
          <xdr:row>7</xdr:row>
          <xdr:rowOff>38100</xdr:rowOff>
        </xdr:from>
        <xdr:to>
          <xdr:col>6</xdr:col>
          <xdr:colOff>666750</xdr:colOff>
          <xdr:row>7</xdr:row>
          <xdr:rowOff>368300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1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13" Type="http://schemas.openxmlformats.org/officeDocument/2006/relationships/ctrlProp" Target="../ctrlProps/ctrlProp4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1.xml"/><Relationship Id="rId12" Type="http://schemas.openxmlformats.org/officeDocument/2006/relationships/ctrlProp" Target="../ctrlProps/ctrlProp4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0.xml"/><Relationship Id="rId11" Type="http://schemas.openxmlformats.org/officeDocument/2006/relationships/ctrlProp" Target="../ctrlProps/ctrlProp45.xml"/><Relationship Id="rId5" Type="http://schemas.openxmlformats.org/officeDocument/2006/relationships/ctrlProp" Target="../ctrlProps/ctrlProp39.xml"/><Relationship Id="rId15" Type="http://schemas.openxmlformats.org/officeDocument/2006/relationships/ctrlProp" Target="../ctrlProps/ctrlProp49.xml"/><Relationship Id="rId10" Type="http://schemas.openxmlformats.org/officeDocument/2006/relationships/ctrlProp" Target="../ctrlProps/ctrlProp44.xml"/><Relationship Id="rId4" Type="http://schemas.openxmlformats.org/officeDocument/2006/relationships/ctrlProp" Target="../ctrlProps/ctrlProp38.xml"/><Relationship Id="rId9" Type="http://schemas.openxmlformats.org/officeDocument/2006/relationships/ctrlProp" Target="../ctrlProps/ctrlProp43.xml"/><Relationship Id="rId14" Type="http://schemas.openxmlformats.org/officeDocument/2006/relationships/ctrlProp" Target="../ctrlProps/ctrlProp4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J38"/>
  <sheetViews>
    <sheetView view="pageBreakPreview" zoomScaleNormal="100" zoomScaleSheetLayoutView="100" workbookViewId="0">
      <selection sqref="A1:L1"/>
    </sheetView>
  </sheetViews>
  <sheetFormatPr defaultColWidth="8.9140625" defaultRowHeight="13" x14ac:dyDescent="0.25"/>
  <cols>
    <col min="1" max="1" width="9.9140625" style="1" customWidth="1"/>
    <col min="2" max="2" width="14.9140625" style="1" customWidth="1"/>
    <col min="3" max="6" width="10.83203125" style="1" customWidth="1"/>
    <col min="7" max="7" width="12" style="1" customWidth="1"/>
    <col min="8" max="8" width="10.83203125" style="1" customWidth="1"/>
    <col min="9" max="9" width="12.9140625" style="1" customWidth="1"/>
    <col min="10" max="10" width="14" style="1" customWidth="1"/>
    <col min="11" max="16384" width="8.9140625" style="1"/>
  </cols>
  <sheetData>
    <row r="1" spans="1:10" s="3" customFormat="1" ht="30" customHeight="1" x14ac:dyDescent="0.25">
      <c r="A1" s="167" t="s">
        <v>81</v>
      </c>
      <c r="B1" s="168"/>
      <c r="C1" s="168"/>
      <c r="D1" s="168"/>
      <c r="E1" s="168"/>
      <c r="F1" s="168"/>
      <c r="G1" s="168"/>
      <c r="H1" s="168"/>
      <c r="I1" s="168"/>
      <c r="J1" s="169"/>
    </row>
    <row r="2" spans="1:10" s="3" customFormat="1" ht="17.25" customHeight="1" x14ac:dyDescent="0.25">
      <c r="A2" s="74"/>
      <c r="B2" s="103"/>
      <c r="C2" s="74"/>
      <c r="D2" s="74"/>
      <c r="E2" s="74"/>
      <c r="F2" s="74"/>
      <c r="G2" s="76" t="s">
        <v>106</v>
      </c>
      <c r="H2" s="77" t="s">
        <v>82</v>
      </c>
      <c r="I2" s="76" t="s">
        <v>107</v>
      </c>
      <c r="J2" s="77" t="s">
        <v>108</v>
      </c>
    </row>
    <row r="3" spans="1:10" s="2" customFormat="1" ht="41.25" customHeight="1" x14ac:dyDescent="0.25">
      <c r="A3" s="189" t="s">
        <v>0</v>
      </c>
      <c r="B3" s="190"/>
      <c r="C3" s="170"/>
      <c r="D3" s="171"/>
      <c r="E3" s="171"/>
      <c r="F3" s="171"/>
      <c r="G3" s="171"/>
      <c r="H3" s="171"/>
      <c r="I3" s="171"/>
      <c r="J3" s="172"/>
    </row>
    <row r="4" spans="1:10" s="2" customFormat="1" ht="23.25" customHeight="1" x14ac:dyDescent="0.25">
      <c r="A4" s="140" t="s">
        <v>41</v>
      </c>
      <c r="B4" s="140"/>
      <c r="C4" s="105" t="s">
        <v>48</v>
      </c>
      <c r="D4" s="158"/>
      <c r="E4" s="159"/>
      <c r="F4" s="159"/>
      <c r="G4" s="159"/>
      <c r="H4" s="159"/>
      <c r="I4" s="159"/>
      <c r="J4" s="160"/>
    </row>
    <row r="5" spans="1:10" ht="50.25" customHeight="1" x14ac:dyDescent="0.25">
      <c r="A5" s="140"/>
      <c r="B5" s="140"/>
      <c r="C5" s="106" t="s">
        <v>49</v>
      </c>
      <c r="D5" s="161"/>
      <c r="E5" s="162"/>
      <c r="F5" s="162"/>
      <c r="G5" s="162"/>
      <c r="H5" s="162"/>
      <c r="I5" s="162"/>
      <c r="J5" s="163"/>
    </row>
    <row r="6" spans="1:10" ht="54.75" customHeight="1" x14ac:dyDescent="0.25">
      <c r="A6" s="140"/>
      <c r="B6" s="140"/>
      <c r="C6" s="106" t="s">
        <v>105</v>
      </c>
      <c r="D6" s="170" t="s">
        <v>103</v>
      </c>
      <c r="E6" s="159"/>
      <c r="F6" s="159"/>
      <c r="G6" s="159"/>
      <c r="H6" s="159"/>
      <c r="I6" s="159"/>
      <c r="J6" s="160"/>
    </row>
    <row r="7" spans="1:10" ht="48" customHeight="1" x14ac:dyDescent="0.25">
      <c r="A7" s="140"/>
      <c r="B7" s="140"/>
      <c r="C7" s="106" t="s">
        <v>104</v>
      </c>
      <c r="D7" s="99"/>
      <c r="E7" s="100" t="s">
        <v>113</v>
      </c>
      <c r="F7" s="100"/>
      <c r="G7" s="100"/>
      <c r="H7" s="100"/>
      <c r="I7" s="100"/>
      <c r="J7" s="101"/>
    </row>
    <row r="8" spans="1:10" ht="40.5" customHeight="1" x14ac:dyDescent="0.25">
      <c r="A8" s="140"/>
      <c r="B8" s="140"/>
      <c r="C8" s="105" t="s">
        <v>50</v>
      </c>
      <c r="D8" s="158"/>
      <c r="E8" s="159"/>
      <c r="F8" s="159"/>
      <c r="G8" s="159"/>
      <c r="H8" s="159"/>
      <c r="I8" s="159"/>
      <c r="J8" s="160"/>
    </row>
    <row r="9" spans="1:10" ht="20.149999999999999" customHeight="1" x14ac:dyDescent="0.25">
      <c r="A9" s="140" t="s">
        <v>92</v>
      </c>
      <c r="B9" s="140"/>
      <c r="C9" s="107"/>
      <c r="D9" s="28"/>
      <c r="E9" s="28"/>
      <c r="F9" s="28"/>
      <c r="G9" s="28"/>
      <c r="H9" s="28"/>
      <c r="I9" s="28"/>
      <c r="J9" s="29"/>
    </row>
    <row r="10" spans="1:10" ht="20.149999999999999" customHeight="1" x14ac:dyDescent="0.25">
      <c r="A10" s="140"/>
      <c r="B10" s="140"/>
      <c r="C10" s="108"/>
      <c r="D10" s="32"/>
      <c r="E10" s="32"/>
      <c r="F10" s="32"/>
      <c r="G10" s="32"/>
      <c r="H10" s="32"/>
      <c r="I10" s="32"/>
      <c r="J10" s="33"/>
    </row>
    <row r="11" spans="1:10" ht="20.149999999999999" customHeight="1" x14ac:dyDescent="0.25">
      <c r="A11" s="140"/>
      <c r="B11" s="140"/>
      <c r="C11" s="108"/>
      <c r="D11" s="32"/>
      <c r="E11" s="32"/>
      <c r="F11" s="32"/>
      <c r="G11" s="32"/>
      <c r="H11" s="32"/>
      <c r="I11" s="32"/>
      <c r="J11" s="33"/>
    </row>
    <row r="12" spans="1:10" ht="20.149999999999999" customHeight="1" x14ac:dyDescent="0.25">
      <c r="A12" s="140"/>
      <c r="B12" s="140"/>
      <c r="C12" s="108"/>
      <c r="D12" s="32"/>
      <c r="E12" s="32"/>
      <c r="F12" s="32"/>
      <c r="G12" s="32"/>
      <c r="H12" s="32"/>
      <c r="I12" s="32"/>
      <c r="J12" s="33"/>
    </row>
    <row r="13" spans="1:10" ht="20.149999999999999" customHeight="1" x14ac:dyDescent="0.25">
      <c r="A13" s="140"/>
      <c r="B13" s="140"/>
      <c r="C13" s="108"/>
      <c r="D13" s="32"/>
      <c r="E13" s="32"/>
      <c r="F13" s="32"/>
      <c r="G13" s="32"/>
      <c r="H13" s="32"/>
      <c r="I13" s="32"/>
      <c r="J13" s="33"/>
    </row>
    <row r="14" spans="1:10" ht="20.149999999999999" customHeight="1" x14ac:dyDescent="0.25">
      <c r="A14" s="140"/>
      <c r="B14" s="140"/>
      <c r="C14" s="108"/>
      <c r="D14" s="32"/>
      <c r="E14" s="32"/>
      <c r="F14" s="32"/>
      <c r="G14" s="32"/>
      <c r="H14" s="32"/>
      <c r="I14" s="32"/>
      <c r="J14" s="33"/>
    </row>
    <row r="15" spans="1:10" ht="27" customHeight="1" x14ac:dyDescent="0.25">
      <c r="A15" s="140"/>
      <c r="B15" s="140"/>
      <c r="C15" s="109"/>
      <c r="D15" s="30"/>
      <c r="E15" s="30"/>
      <c r="F15" s="30"/>
      <c r="G15" s="30"/>
      <c r="H15" s="30"/>
      <c r="I15" s="30"/>
      <c r="J15" s="31"/>
    </row>
    <row r="16" spans="1:10" ht="27" customHeight="1" x14ac:dyDescent="0.25">
      <c r="A16" s="184" t="s">
        <v>68</v>
      </c>
      <c r="B16" s="184"/>
      <c r="C16" s="185" t="s">
        <v>66</v>
      </c>
      <c r="D16" s="32"/>
      <c r="E16" s="32"/>
      <c r="F16" s="32"/>
      <c r="G16" s="164" t="s">
        <v>67</v>
      </c>
      <c r="H16" s="32"/>
      <c r="I16" s="32"/>
      <c r="J16" s="33"/>
    </row>
    <row r="17" spans="1:10" ht="27" customHeight="1" x14ac:dyDescent="0.25">
      <c r="A17" s="184"/>
      <c r="B17" s="184"/>
      <c r="C17" s="186"/>
      <c r="D17" s="32"/>
      <c r="E17" s="32"/>
      <c r="F17" s="32"/>
      <c r="G17" s="165"/>
      <c r="H17" s="32"/>
      <c r="I17" s="32"/>
      <c r="J17" s="33"/>
    </row>
    <row r="18" spans="1:10" ht="22.5" customHeight="1" x14ac:dyDescent="0.25">
      <c r="A18" s="184"/>
      <c r="B18" s="184"/>
      <c r="C18" s="187"/>
      <c r="D18" s="50"/>
      <c r="E18" s="50"/>
      <c r="F18" s="50"/>
      <c r="G18" s="166"/>
      <c r="H18" s="50"/>
      <c r="I18" s="50"/>
      <c r="J18" s="51"/>
    </row>
    <row r="19" spans="1:10" ht="20.149999999999999" customHeight="1" x14ac:dyDescent="0.25">
      <c r="A19" s="140" t="s">
        <v>55</v>
      </c>
      <c r="B19" s="140"/>
      <c r="C19" s="110" t="s">
        <v>10</v>
      </c>
      <c r="D19" s="175"/>
      <c r="E19" s="176"/>
      <c r="F19" s="176"/>
      <c r="G19" s="176"/>
      <c r="H19" s="176"/>
      <c r="I19" s="176"/>
      <c r="J19" s="177"/>
    </row>
    <row r="20" spans="1:10" ht="20.149999999999999" customHeight="1" x14ac:dyDescent="0.25">
      <c r="A20" s="140"/>
      <c r="B20" s="140"/>
      <c r="C20" s="110" t="s">
        <v>1</v>
      </c>
      <c r="D20" s="175"/>
      <c r="E20" s="176"/>
      <c r="F20" s="176"/>
      <c r="G20" s="176"/>
      <c r="H20" s="176"/>
      <c r="I20" s="176"/>
      <c r="J20" s="177"/>
    </row>
    <row r="21" spans="1:10" ht="20.149999999999999" customHeight="1" x14ac:dyDescent="0.25">
      <c r="A21" s="140"/>
      <c r="B21" s="140"/>
      <c r="C21" s="111" t="s">
        <v>84</v>
      </c>
      <c r="D21" s="26"/>
      <c r="E21" s="26"/>
      <c r="F21" s="26"/>
      <c r="G21" s="26"/>
      <c r="H21" s="26"/>
      <c r="I21" s="26"/>
      <c r="J21" s="27"/>
    </row>
    <row r="22" spans="1:10" ht="20.149999999999999" customHeight="1" x14ac:dyDescent="0.25">
      <c r="A22" s="140"/>
      <c r="B22" s="140"/>
      <c r="C22" s="112" t="s">
        <v>2</v>
      </c>
      <c r="D22" s="183"/>
      <c r="E22" s="176"/>
      <c r="F22" s="176"/>
      <c r="G22" s="176"/>
      <c r="H22" s="176"/>
      <c r="I22" s="176"/>
      <c r="J22" s="177"/>
    </row>
    <row r="23" spans="1:10" ht="19.5" customHeight="1" x14ac:dyDescent="0.25">
      <c r="A23" s="140" t="s">
        <v>69</v>
      </c>
      <c r="B23" s="140"/>
      <c r="C23" s="113" t="s">
        <v>83</v>
      </c>
      <c r="D23" s="178"/>
      <c r="E23" s="179"/>
      <c r="F23" s="180"/>
      <c r="G23" s="46" t="s">
        <v>56</v>
      </c>
      <c r="H23" s="178"/>
      <c r="I23" s="179"/>
      <c r="J23" s="180"/>
    </row>
    <row r="24" spans="1:10" ht="20.149999999999999" customHeight="1" x14ac:dyDescent="0.25">
      <c r="A24" s="140" t="s">
        <v>70</v>
      </c>
      <c r="B24" s="140"/>
      <c r="C24" s="114" t="s">
        <v>51</v>
      </c>
      <c r="D24" s="181"/>
      <c r="E24" s="182"/>
      <c r="F24" s="52" t="s">
        <v>72</v>
      </c>
      <c r="G24" s="173"/>
      <c r="H24" s="174"/>
      <c r="I24" s="5" t="s">
        <v>79</v>
      </c>
      <c r="J24" s="6"/>
    </row>
    <row r="25" spans="1:10" ht="20.149999999999999" customHeight="1" x14ac:dyDescent="0.25">
      <c r="A25" s="140"/>
      <c r="B25" s="140"/>
      <c r="C25" s="115" t="s">
        <v>73</v>
      </c>
      <c r="D25" s="188"/>
      <c r="E25" s="174"/>
      <c r="F25" s="5" t="s">
        <v>78</v>
      </c>
      <c r="G25" s="173"/>
      <c r="H25" s="174"/>
      <c r="I25" s="37" t="s">
        <v>80</v>
      </c>
      <c r="J25" s="6"/>
    </row>
    <row r="26" spans="1:10" ht="20.149999999999999" customHeight="1" x14ac:dyDescent="0.25">
      <c r="A26" s="140" t="s">
        <v>94</v>
      </c>
      <c r="B26" s="140"/>
      <c r="C26" s="115" t="s">
        <v>95</v>
      </c>
      <c r="D26" s="188"/>
      <c r="E26" s="198"/>
      <c r="F26" s="198"/>
      <c r="G26" s="198"/>
      <c r="H26" s="174"/>
      <c r="I26" s="37" t="s">
        <v>96</v>
      </c>
      <c r="J26" s="25"/>
    </row>
    <row r="27" spans="1:10" ht="20.149999999999999" customHeight="1" x14ac:dyDescent="0.25">
      <c r="A27" s="140" t="s">
        <v>85</v>
      </c>
      <c r="B27" s="140"/>
      <c r="C27" s="115" t="s">
        <v>86</v>
      </c>
      <c r="D27" s="188"/>
      <c r="E27" s="198"/>
      <c r="F27" s="198"/>
      <c r="G27" s="198"/>
      <c r="H27" s="198"/>
      <c r="I27" s="198"/>
      <c r="J27" s="174"/>
    </row>
    <row r="28" spans="1:10" ht="20.149999999999999" customHeight="1" x14ac:dyDescent="0.25">
      <c r="A28" s="140" t="s">
        <v>74</v>
      </c>
      <c r="B28" s="140"/>
      <c r="C28" s="156" t="s">
        <v>39</v>
      </c>
      <c r="D28" s="192"/>
      <c r="E28" s="199" t="s">
        <v>40</v>
      </c>
      <c r="F28" s="192"/>
      <c r="G28" s="143" t="s">
        <v>37</v>
      </c>
      <c r="H28" s="196" t="s">
        <v>65</v>
      </c>
      <c r="I28" s="197"/>
      <c r="J28" s="67" t="s">
        <v>76</v>
      </c>
    </row>
    <row r="29" spans="1:10" ht="20.149999999999999" customHeight="1" x14ac:dyDescent="0.25">
      <c r="A29" s="140"/>
      <c r="B29" s="140"/>
      <c r="C29" s="157"/>
      <c r="D29" s="193"/>
      <c r="E29" s="200"/>
      <c r="F29" s="193"/>
      <c r="G29" s="144"/>
      <c r="H29" s="194" t="s">
        <v>116</v>
      </c>
      <c r="I29" s="195"/>
      <c r="J29" s="67" t="s">
        <v>77</v>
      </c>
    </row>
    <row r="30" spans="1:10" ht="37.5" customHeight="1" x14ac:dyDescent="0.25">
      <c r="A30" s="140" t="s">
        <v>75</v>
      </c>
      <c r="B30" s="140"/>
      <c r="C30" s="116" t="s">
        <v>42</v>
      </c>
      <c r="D30" s="34" t="s">
        <v>43</v>
      </c>
      <c r="E30" s="34" t="s">
        <v>44</v>
      </c>
      <c r="F30" s="34" t="s">
        <v>45</v>
      </c>
      <c r="G30" s="95" t="s">
        <v>114</v>
      </c>
      <c r="H30" s="49" t="s">
        <v>115</v>
      </c>
      <c r="I30" s="191" t="s">
        <v>46</v>
      </c>
      <c r="J30" s="191"/>
    </row>
    <row r="31" spans="1:10" ht="19.5" customHeight="1" x14ac:dyDescent="0.25">
      <c r="A31" s="151" t="s">
        <v>117</v>
      </c>
      <c r="B31" s="44" t="s">
        <v>52</v>
      </c>
      <c r="C31" s="35"/>
      <c r="D31" s="35"/>
      <c r="E31" s="35"/>
      <c r="F31" s="36"/>
      <c r="G31" s="86">
        <f>SUM(C31:F31)</f>
        <v>0</v>
      </c>
      <c r="H31" s="35"/>
      <c r="I31" s="141">
        <f>SUM(G31:H31)</f>
        <v>0</v>
      </c>
      <c r="J31" s="142"/>
    </row>
    <row r="32" spans="1:10" ht="19.5" customHeight="1" x14ac:dyDescent="0.25">
      <c r="A32" s="155"/>
      <c r="B32" s="44" t="s">
        <v>53</v>
      </c>
      <c r="C32" s="35"/>
      <c r="D32" s="35"/>
      <c r="E32" s="35"/>
      <c r="F32" s="36"/>
      <c r="G32" s="86">
        <f>SUM(C32:F32)</f>
        <v>0</v>
      </c>
      <c r="H32" s="35"/>
      <c r="I32" s="141">
        <f>SUM(G32:H32)</f>
        <v>0</v>
      </c>
      <c r="J32" s="142"/>
    </row>
    <row r="33" spans="1:10" ht="19.5" customHeight="1" x14ac:dyDescent="0.25">
      <c r="A33" s="152"/>
      <c r="B33" s="44" t="s">
        <v>54</v>
      </c>
      <c r="C33" s="35"/>
      <c r="D33" s="35"/>
      <c r="E33" s="35"/>
      <c r="F33" s="36"/>
      <c r="G33" s="86">
        <f>SUM(C33:F33)</f>
        <v>0</v>
      </c>
      <c r="H33" s="35"/>
      <c r="I33" s="141">
        <f>SUM(G33:H33)</f>
        <v>0</v>
      </c>
      <c r="J33" s="142"/>
    </row>
    <row r="34" spans="1:10" ht="19.5" customHeight="1" x14ac:dyDescent="0.25">
      <c r="A34" s="153" t="s">
        <v>123</v>
      </c>
      <c r="B34" s="154"/>
      <c r="C34" s="121">
        <f t="shared" ref="C34:H34" si="0">SUM(C31:C33)</f>
        <v>0</v>
      </c>
      <c r="D34" s="121">
        <f t="shared" si="0"/>
        <v>0</v>
      </c>
      <c r="E34" s="121">
        <f t="shared" si="0"/>
        <v>0</v>
      </c>
      <c r="F34" s="121">
        <f t="shared" si="0"/>
        <v>0</v>
      </c>
      <c r="G34" s="121">
        <f t="shared" si="0"/>
        <v>0</v>
      </c>
      <c r="H34" s="122">
        <f t="shared" si="0"/>
        <v>0</v>
      </c>
      <c r="I34" s="149">
        <f>SUM(I31:J33)</f>
        <v>0</v>
      </c>
      <c r="J34" s="150"/>
    </row>
    <row r="35" spans="1:10" ht="19.5" customHeight="1" x14ac:dyDescent="0.25">
      <c r="A35" s="151" t="s">
        <v>118</v>
      </c>
      <c r="B35" s="44" t="s">
        <v>119</v>
      </c>
      <c r="C35" s="35"/>
      <c r="D35" s="35"/>
      <c r="E35" s="35"/>
      <c r="F35" s="36"/>
      <c r="G35" s="86">
        <f>SUM(C35:F35)</f>
        <v>0</v>
      </c>
      <c r="H35" s="35"/>
      <c r="I35" s="141">
        <f>SUM(G35:H35)</f>
        <v>0</v>
      </c>
      <c r="J35" s="142"/>
    </row>
    <row r="36" spans="1:10" ht="19.5" customHeight="1" x14ac:dyDescent="0.25">
      <c r="A36" s="152"/>
      <c r="B36" s="44" t="s">
        <v>120</v>
      </c>
      <c r="C36" s="35"/>
      <c r="D36" s="35"/>
      <c r="E36" s="35"/>
      <c r="F36" s="36"/>
      <c r="G36" s="86">
        <f>SUM(C36:F36)</f>
        <v>0</v>
      </c>
      <c r="H36" s="35"/>
      <c r="I36" s="141">
        <f>SUM(G36:H36)</f>
        <v>0</v>
      </c>
      <c r="J36" s="142"/>
    </row>
    <row r="37" spans="1:10" ht="19.5" customHeight="1" x14ac:dyDescent="0.25">
      <c r="A37" s="147" t="s">
        <v>123</v>
      </c>
      <c r="B37" s="148"/>
      <c r="C37" s="66">
        <f t="shared" ref="C37:H37" si="1">SUM(C35:C36)</f>
        <v>0</v>
      </c>
      <c r="D37" s="66">
        <f t="shared" si="1"/>
        <v>0</v>
      </c>
      <c r="E37" s="66">
        <f t="shared" si="1"/>
        <v>0</v>
      </c>
      <c r="F37" s="66">
        <f t="shared" si="1"/>
        <v>0</v>
      </c>
      <c r="G37" s="66">
        <f t="shared" si="1"/>
        <v>0</v>
      </c>
      <c r="H37" s="120">
        <f t="shared" si="1"/>
        <v>0</v>
      </c>
      <c r="I37" s="145">
        <f>SUM(I35:J36)</f>
        <v>0</v>
      </c>
      <c r="J37" s="146"/>
    </row>
    <row r="38" spans="1:10" ht="19.5" customHeight="1" x14ac:dyDescent="0.25">
      <c r="A38" s="147" t="s">
        <v>124</v>
      </c>
      <c r="B38" s="148"/>
      <c r="C38" s="66">
        <f t="shared" ref="C38:I38" si="2">C34+C37</f>
        <v>0</v>
      </c>
      <c r="D38" s="66">
        <f t="shared" si="2"/>
        <v>0</v>
      </c>
      <c r="E38" s="66">
        <f t="shared" si="2"/>
        <v>0</v>
      </c>
      <c r="F38" s="66">
        <f t="shared" si="2"/>
        <v>0</v>
      </c>
      <c r="G38" s="66">
        <f t="shared" si="2"/>
        <v>0</v>
      </c>
      <c r="H38" s="120">
        <f t="shared" si="2"/>
        <v>0</v>
      </c>
      <c r="I38" s="145">
        <f t="shared" si="2"/>
        <v>0</v>
      </c>
      <c r="J38" s="146"/>
    </row>
  </sheetData>
  <mergeCells count="51">
    <mergeCell ref="A28:B29"/>
    <mergeCell ref="H23:J23"/>
    <mergeCell ref="D27:J27"/>
    <mergeCell ref="A23:B23"/>
    <mergeCell ref="D26:H26"/>
    <mergeCell ref="A26:B26"/>
    <mergeCell ref="A27:B27"/>
    <mergeCell ref="E28:E29"/>
    <mergeCell ref="I30:J30"/>
    <mergeCell ref="D28:D29"/>
    <mergeCell ref="H29:I29"/>
    <mergeCell ref="H28:I28"/>
    <mergeCell ref="F28:F29"/>
    <mergeCell ref="A1:J1"/>
    <mergeCell ref="C3:J3"/>
    <mergeCell ref="G24:H24"/>
    <mergeCell ref="G25:H25"/>
    <mergeCell ref="D19:J19"/>
    <mergeCell ref="D23:F23"/>
    <mergeCell ref="D24:E24"/>
    <mergeCell ref="D22:J22"/>
    <mergeCell ref="A16:B18"/>
    <mergeCell ref="C16:C18"/>
    <mergeCell ref="D20:J20"/>
    <mergeCell ref="D25:E25"/>
    <mergeCell ref="A24:B25"/>
    <mergeCell ref="A3:B3"/>
    <mergeCell ref="D4:J4"/>
    <mergeCell ref="D6:J6"/>
    <mergeCell ref="D8:J8"/>
    <mergeCell ref="A19:B22"/>
    <mergeCell ref="D5:J5"/>
    <mergeCell ref="G16:G18"/>
    <mergeCell ref="A4:B8"/>
    <mergeCell ref="A9:B15"/>
    <mergeCell ref="A30:B30"/>
    <mergeCell ref="I31:J31"/>
    <mergeCell ref="I33:J33"/>
    <mergeCell ref="G28:G29"/>
    <mergeCell ref="I38:J38"/>
    <mergeCell ref="A38:B38"/>
    <mergeCell ref="I35:J35"/>
    <mergeCell ref="I34:J34"/>
    <mergeCell ref="A35:A36"/>
    <mergeCell ref="I36:J36"/>
    <mergeCell ref="I37:J37"/>
    <mergeCell ref="A34:B34"/>
    <mergeCell ref="A31:A33"/>
    <mergeCell ref="C28:C29"/>
    <mergeCell ref="A37:B37"/>
    <mergeCell ref="I32:J32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7" fitToHeight="0" orientation="portrait" r:id="rId1"/>
  <headerFooter alignWithMargins="0">
    <oddFooter>&amp;C&amp;"굴림,보통"&amp;8 1/7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4" r:id="rId4" name="Check Box 16">
              <controlPr defaultSize="0" autoFill="0" autoLine="0" autoPict="0">
                <anchor moveWithCells="1">
                  <from>
                    <xdr:col>2</xdr:col>
                    <xdr:colOff>933450</xdr:colOff>
                    <xdr:row>18</xdr:row>
                    <xdr:rowOff>31750</xdr:rowOff>
                  </from>
                  <to>
                    <xdr:col>3</xdr:col>
                    <xdr:colOff>654050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5" name="Check Box 19">
              <controlPr defaultSize="0" autoFill="0" autoLine="0" autoPict="0">
                <anchor moveWithCells="1">
                  <from>
                    <xdr:col>4</xdr:col>
                    <xdr:colOff>31750</xdr:colOff>
                    <xdr:row>18</xdr:row>
                    <xdr:rowOff>31750</xdr:rowOff>
                  </from>
                  <to>
                    <xdr:col>4</xdr:col>
                    <xdr:colOff>768350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6" name="Check Box 20">
              <controlPr defaultSize="0" autoFill="0" autoLine="0" autoPict="0">
                <anchor moveWithCells="1">
                  <from>
                    <xdr:col>4</xdr:col>
                    <xdr:colOff>812800</xdr:colOff>
                    <xdr:row>18</xdr:row>
                    <xdr:rowOff>31750</xdr:rowOff>
                  </from>
                  <to>
                    <xdr:col>5</xdr:col>
                    <xdr:colOff>400050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7" name="Check Box 21">
              <controlPr defaultSize="0" autoFill="0" autoLine="0" autoPict="0">
                <anchor moveWithCells="1">
                  <from>
                    <xdr:col>6</xdr:col>
                    <xdr:colOff>12700</xdr:colOff>
                    <xdr:row>18</xdr:row>
                    <xdr:rowOff>31750</xdr:rowOff>
                  </from>
                  <to>
                    <xdr:col>6</xdr:col>
                    <xdr:colOff>698500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8" name="Check Box 22">
              <controlPr defaultSize="0" autoFill="0" autoLine="0" autoPict="0">
                <anchor moveWithCells="1">
                  <from>
                    <xdr:col>6</xdr:col>
                    <xdr:colOff>806450</xdr:colOff>
                    <xdr:row>18</xdr:row>
                    <xdr:rowOff>31750</xdr:rowOff>
                  </from>
                  <to>
                    <xdr:col>7</xdr:col>
                    <xdr:colOff>584200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9" name="Check Box 23">
              <controlPr defaultSize="0" autoFill="0" autoLine="0" autoPict="0">
                <anchor moveWithCells="1">
                  <from>
                    <xdr:col>7</xdr:col>
                    <xdr:colOff>717550</xdr:colOff>
                    <xdr:row>18</xdr:row>
                    <xdr:rowOff>31750</xdr:rowOff>
                  </from>
                  <to>
                    <xdr:col>8</xdr:col>
                    <xdr:colOff>203200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0" name="Check Box 24">
              <controlPr defaultSize="0" autoFill="0" autoLine="0" autoPict="0" altText="신규 개발">
                <anchor moveWithCells="1">
                  <from>
                    <xdr:col>2</xdr:col>
                    <xdr:colOff>825500</xdr:colOff>
                    <xdr:row>19</xdr:row>
                    <xdr:rowOff>12700</xdr:rowOff>
                  </from>
                  <to>
                    <xdr:col>3</xdr:col>
                    <xdr:colOff>774700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1" name="Check Box 25">
              <controlPr defaultSize="0" autoFill="0" autoLine="0" autoPict="0">
                <anchor moveWithCells="1">
                  <from>
                    <xdr:col>4</xdr:col>
                    <xdr:colOff>31750</xdr:colOff>
                    <xdr:row>19</xdr:row>
                    <xdr:rowOff>12700</xdr:rowOff>
                  </from>
                  <to>
                    <xdr:col>5</xdr:col>
                    <xdr:colOff>368300</xdr:colOff>
                    <xdr:row>19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2" name="Check Box 26">
              <controlPr defaultSize="0" autoFill="0" autoLine="0" autoPict="0">
                <anchor moveWithCells="1">
                  <from>
                    <xdr:col>6</xdr:col>
                    <xdr:colOff>527050</xdr:colOff>
                    <xdr:row>19</xdr:row>
                    <xdr:rowOff>12700</xdr:rowOff>
                  </from>
                  <to>
                    <xdr:col>7</xdr:col>
                    <xdr:colOff>622300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3" name="Check Box 28">
              <controlPr defaultSize="0" autoFill="0" autoLine="0" autoPict="0">
                <anchor moveWithCells="1">
                  <from>
                    <xdr:col>5</xdr:col>
                    <xdr:colOff>120650</xdr:colOff>
                    <xdr:row>19</xdr:row>
                    <xdr:rowOff>31750</xdr:rowOff>
                  </from>
                  <to>
                    <xdr:col>6</xdr:col>
                    <xdr:colOff>355600</xdr:colOff>
                    <xdr:row>19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14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12700</xdr:rowOff>
                  </from>
                  <to>
                    <xdr:col>3</xdr:col>
                    <xdr:colOff>685800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15" name="Check Box 39">
              <controlPr defaultSize="0" autoFill="0" autoLine="0" autoPict="0">
                <anchor moveWithCells="1">
                  <from>
                    <xdr:col>4</xdr:col>
                    <xdr:colOff>31750</xdr:colOff>
                    <xdr:row>21</xdr:row>
                    <xdr:rowOff>12700</xdr:rowOff>
                  </from>
                  <to>
                    <xdr:col>4</xdr:col>
                    <xdr:colOff>717550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16" name="Check Box 40">
              <controlPr defaultSize="0" autoFill="0" autoLine="0" autoPict="0">
                <anchor moveWithCells="1">
                  <from>
                    <xdr:col>4</xdr:col>
                    <xdr:colOff>793750</xdr:colOff>
                    <xdr:row>21</xdr:row>
                    <xdr:rowOff>12700</xdr:rowOff>
                  </from>
                  <to>
                    <xdr:col>5</xdr:col>
                    <xdr:colOff>673100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17" name="Check Box 41">
              <controlPr defaultSize="0" autoFill="0" autoLine="0" autoPict="0">
                <anchor moveWithCells="1">
                  <from>
                    <xdr:col>6</xdr:col>
                    <xdr:colOff>6350</xdr:colOff>
                    <xdr:row>21</xdr:row>
                    <xdr:rowOff>12700</xdr:rowOff>
                  </from>
                  <to>
                    <xdr:col>7</xdr:col>
                    <xdr:colOff>495300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18" name="Check Box 43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12700</xdr:rowOff>
                  </from>
                  <to>
                    <xdr:col>4</xdr:col>
                    <xdr:colOff>342900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19" name="Check Box 44">
              <controlPr defaultSize="0" autoFill="0" autoLine="0" autoPict="0">
                <anchor moveWithCells="1">
                  <from>
                    <xdr:col>4</xdr:col>
                    <xdr:colOff>463550</xdr:colOff>
                    <xdr:row>26</xdr:row>
                    <xdr:rowOff>12700</xdr:rowOff>
                  </from>
                  <to>
                    <xdr:col>9</xdr:col>
                    <xdr:colOff>501650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20" name="Check Box 45">
              <controlPr defaultSize="0" autoFill="0" autoLine="0" autoPict="0">
                <anchor moveWithCells="1">
                  <from>
                    <xdr:col>7</xdr:col>
                    <xdr:colOff>215900</xdr:colOff>
                    <xdr:row>26</xdr:row>
                    <xdr:rowOff>12700</xdr:rowOff>
                  </from>
                  <to>
                    <xdr:col>7</xdr:col>
                    <xdr:colOff>565150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1" name="Check Box 56">
              <controlPr defaultSize="0" autoFill="0" autoLine="0" autoPict="0">
                <anchor moveWithCells="1" sizeWithCells="1">
                  <from>
                    <xdr:col>2</xdr:col>
                    <xdr:colOff>825500</xdr:colOff>
                    <xdr:row>20</xdr:row>
                    <xdr:rowOff>31750</xdr:rowOff>
                  </from>
                  <to>
                    <xdr:col>3</xdr:col>
                    <xdr:colOff>704850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2" name="Check Box 57">
              <controlPr defaultSize="0" autoFill="0" autoLine="0" autoPict="0">
                <anchor moveWithCells="1" sizeWithCells="1">
                  <from>
                    <xdr:col>4</xdr:col>
                    <xdr:colOff>31750</xdr:colOff>
                    <xdr:row>20</xdr:row>
                    <xdr:rowOff>31750</xdr:rowOff>
                  </from>
                  <to>
                    <xdr:col>4</xdr:col>
                    <xdr:colOff>527050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3" name="Check Box 58">
              <controlPr defaultSize="0" autoFill="0" autoLine="0" autoPict="0">
                <anchor moveWithCells="1" sizeWithCells="1">
                  <from>
                    <xdr:col>4</xdr:col>
                    <xdr:colOff>781050</xdr:colOff>
                    <xdr:row>20</xdr:row>
                    <xdr:rowOff>31750</xdr:rowOff>
                  </from>
                  <to>
                    <xdr:col>5</xdr:col>
                    <xdr:colOff>495300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4" name="Check Box 59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20</xdr:row>
                    <xdr:rowOff>31750</xdr:rowOff>
                  </from>
                  <to>
                    <xdr:col>7</xdr:col>
                    <xdr:colOff>127000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25" name="Check Box 68">
              <controlPr defaultSize="0" autoFill="0" autoLine="0" autoPict="0">
                <anchor moveWithCells="1">
                  <from>
                    <xdr:col>3</xdr:col>
                    <xdr:colOff>406400</xdr:colOff>
                    <xdr:row>22</xdr:row>
                    <xdr:rowOff>25400</xdr:rowOff>
                  </from>
                  <to>
                    <xdr:col>4</xdr:col>
                    <xdr:colOff>260350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26" name="Check Box 69">
              <controlPr defaultSize="0" autoFill="0" autoLine="0" autoPict="0">
                <anchor moveWithCells="1">
                  <from>
                    <xdr:col>4</xdr:col>
                    <xdr:colOff>584200</xdr:colOff>
                    <xdr:row>22</xdr:row>
                    <xdr:rowOff>25400</xdr:rowOff>
                  </from>
                  <to>
                    <xdr:col>5</xdr:col>
                    <xdr:colOff>438150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7" name="Check Box 72">
              <controlPr defaultSize="0" autoFill="0" autoLine="0" autoPict="0">
                <anchor moveWithCells="1">
                  <from>
                    <xdr:col>7</xdr:col>
                    <xdr:colOff>6350</xdr:colOff>
                    <xdr:row>22</xdr:row>
                    <xdr:rowOff>25400</xdr:rowOff>
                  </from>
                  <to>
                    <xdr:col>8</xdr:col>
                    <xdr:colOff>101600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8" name="Check Box 73">
              <controlPr defaultSize="0" autoFill="0" autoLine="0" autoPict="0">
                <anchor moveWithCells="1">
                  <from>
                    <xdr:col>8</xdr:col>
                    <xdr:colOff>76200</xdr:colOff>
                    <xdr:row>22</xdr:row>
                    <xdr:rowOff>25400</xdr:rowOff>
                  </from>
                  <to>
                    <xdr:col>8</xdr:col>
                    <xdr:colOff>908050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9" name="Check Box 74">
              <controlPr defaultSize="0" autoFill="0" autoLine="0" autoPict="0">
                <anchor moveWithCells="1" sizeWithCells="1">
                  <from>
                    <xdr:col>7</xdr:col>
                    <xdr:colOff>0</xdr:colOff>
                    <xdr:row>20</xdr:row>
                    <xdr:rowOff>31750</xdr:rowOff>
                  </from>
                  <to>
                    <xdr:col>8</xdr:col>
                    <xdr:colOff>203200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30" name="Check Box 75">
              <controlPr defaultSize="0" autoFill="0" autoLine="0" autoPict="0">
                <anchor moveWithCells="1" sizeWithCells="1">
                  <from>
                    <xdr:col>8</xdr:col>
                    <xdr:colOff>63500</xdr:colOff>
                    <xdr:row>20</xdr:row>
                    <xdr:rowOff>31750</xdr:rowOff>
                  </from>
                  <to>
                    <xdr:col>9</xdr:col>
                    <xdr:colOff>266700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31" name="Check Box 76">
              <controlPr defaultSize="0" autoFill="0" autoLine="0" autoPict="0">
                <anchor moveWithCells="1" sizeWithCells="1">
                  <from>
                    <xdr:col>9</xdr:col>
                    <xdr:colOff>44450</xdr:colOff>
                    <xdr:row>20</xdr:row>
                    <xdr:rowOff>12700</xdr:rowOff>
                  </from>
                  <to>
                    <xdr:col>10</xdr:col>
                    <xdr:colOff>158750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32" name="Check Box 78">
              <controlPr defaultSize="0" autoFill="0" autoLine="0" autoPict="0">
                <anchor moveWithCells="1">
                  <from>
                    <xdr:col>8</xdr:col>
                    <xdr:colOff>514350</xdr:colOff>
                    <xdr:row>19</xdr:row>
                    <xdr:rowOff>12700</xdr:rowOff>
                  </from>
                  <to>
                    <xdr:col>9</xdr:col>
                    <xdr:colOff>793750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33" name="Check Box 79">
              <controlPr defaultSize="0" autoFill="0" autoLine="0" autoPict="0">
                <anchor moveWithCells="1">
                  <from>
                    <xdr:col>8</xdr:col>
                    <xdr:colOff>501650</xdr:colOff>
                    <xdr:row>18</xdr:row>
                    <xdr:rowOff>31750</xdr:rowOff>
                  </from>
                  <to>
                    <xdr:col>9</xdr:col>
                    <xdr:colOff>774700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4" name="Check Box 8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12700</xdr:rowOff>
                  </from>
                  <to>
                    <xdr:col>4</xdr:col>
                    <xdr:colOff>495300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35" name="Check Box 90">
              <controlPr defaultSize="0" autoFill="0" autoLine="0" autoPict="0">
                <anchor moveWithCells="1">
                  <from>
                    <xdr:col>4</xdr:col>
                    <xdr:colOff>463550</xdr:colOff>
                    <xdr:row>25</xdr:row>
                    <xdr:rowOff>31750</xdr:rowOff>
                  </from>
                  <to>
                    <xdr:col>5</xdr:col>
                    <xdr:colOff>533400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36" name="Check Box 92">
              <controlPr defaultSize="0" autoFill="0" autoLine="0" autoPict="0">
                <anchor moveWithCells="1">
                  <from>
                    <xdr:col>5</xdr:col>
                    <xdr:colOff>717550</xdr:colOff>
                    <xdr:row>25</xdr:row>
                    <xdr:rowOff>31750</xdr:rowOff>
                  </from>
                  <to>
                    <xdr:col>7</xdr:col>
                    <xdr:colOff>381000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37" name="Check Box 96">
              <controlPr defaultSize="0" autoFill="0" autoLine="0" autoPict="0">
                <anchor moveWithCells="1">
                  <from>
                    <xdr:col>9</xdr:col>
                    <xdr:colOff>50800</xdr:colOff>
                    <xdr:row>22</xdr:row>
                    <xdr:rowOff>6350</xdr:rowOff>
                  </from>
                  <to>
                    <xdr:col>9</xdr:col>
                    <xdr:colOff>882650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38" name="Check Box 97">
              <controlPr defaultSize="0" autoFill="0" autoLine="0" autoPict="0">
                <anchor moveWithCells="1">
                  <from>
                    <xdr:col>7</xdr:col>
                    <xdr:colOff>552450</xdr:colOff>
                    <xdr:row>19</xdr:row>
                    <xdr:rowOff>12700</xdr:rowOff>
                  </from>
                  <to>
                    <xdr:col>8</xdr:col>
                    <xdr:colOff>730250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39" name="Check Box 99">
              <controlPr defaultSize="0" autoFill="0" autoLine="0" autoPict="0">
                <anchor moveWithCells="1">
                  <from>
                    <xdr:col>7</xdr:col>
                    <xdr:colOff>654050</xdr:colOff>
                    <xdr:row>26</xdr:row>
                    <xdr:rowOff>12700</xdr:rowOff>
                  </from>
                  <to>
                    <xdr:col>8</xdr:col>
                    <xdr:colOff>190500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40" name="Check Box 100">
              <controlPr defaultSize="0" autoFill="0" autoLine="0" autoPict="0">
                <anchor moveWithCells="1">
                  <from>
                    <xdr:col>8</xdr:col>
                    <xdr:colOff>317500</xdr:colOff>
                    <xdr:row>26</xdr:row>
                    <xdr:rowOff>12700</xdr:rowOff>
                  </from>
                  <to>
                    <xdr:col>8</xdr:col>
                    <xdr:colOff>806450</xdr:colOff>
                    <xdr:row>26</xdr:row>
                    <xdr:rowOff>234950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L23"/>
  <sheetViews>
    <sheetView view="pageBreakPreview" zoomScale="85" zoomScaleNormal="100" zoomScaleSheetLayoutView="85" workbookViewId="0">
      <selection sqref="A1:L1"/>
    </sheetView>
  </sheetViews>
  <sheetFormatPr defaultColWidth="8.9140625" defaultRowHeight="13" x14ac:dyDescent="0.25"/>
  <cols>
    <col min="1" max="1" width="16" style="1" customWidth="1"/>
    <col min="2" max="2" width="10.4140625" style="1" customWidth="1"/>
    <col min="3" max="3" width="14.08203125" style="1" customWidth="1"/>
    <col min="4" max="4" width="29.58203125" style="1" customWidth="1"/>
    <col min="5" max="6" width="12.83203125" style="1" customWidth="1"/>
    <col min="7" max="7" width="14.1640625" style="1" customWidth="1"/>
    <col min="8" max="8" width="15.83203125" style="1" customWidth="1"/>
    <col min="9" max="9" width="18.25" style="1" customWidth="1"/>
    <col min="10" max="11" width="12.83203125" style="1" customWidth="1"/>
    <col min="12" max="12" width="19.9140625" style="1" customWidth="1"/>
    <col min="13" max="14" width="18.9140625" style="1" customWidth="1"/>
    <col min="15" max="16384" width="8.9140625" style="1"/>
  </cols>
  <sheetData>
    <row r="1" spans="1:12" ht="30" customHeight="1" x14ac:dyDescent="0.25">
      <c r="A1" s="201" t="s">
        <v>111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30" customHeight="1" x14ac:dyDescent="0.25">
      <c r="A2" s="75"/>
      <c r="B2" s="104"/>
      <c r="C2" s="75"/>
      <c r="D2" s="75"/>
      <c r="E2" s="75"/>
      <c r="F2" s="75"/>
      <c r="G2" s="75"/>
      <c r="H2" s="75"/>
      <c r="I2" s="76" t="s">
        <v>106</v>
      </c>
      <c r="J2" s="77" t="s">
        <v>82</v>
      </c>
      <c r="K2" s="76" t="s">
        <v>107</v>
      </c>
      <c r="L2" s="77" t="s">
        <v>108</v>
      </c>
    </row>
    <row r="3" spans="1:12" ht="31.5" customHeight="1" x14ac:dyDescent="0.25">
      <c r="A3" s="202" t="s">
        <v>6</v>
      </c>
      <c r="B3" s="215" t="s">
        <v>38</v>
      </c>
      <c r="C3" s="215"/>
      <c r="D3" s="117" t="s">
        <v>3</v>
      </c>
      <c r="E3" s="47" t="s">
        <v>4</v>
      </c>
      <c r="F3" s="216" t="s">
        <v>5</v>
      </c>
      <c r="G3" s="217"/>
      <c r="H3" s="217"/>
      <c r="I3" s="217"/>
      <c r="J3" s="217"/>
      <c r="K3" s="218"/>
      <c r="L3" s="47" t="s">
        <v>58</v>
      </c>
    </row>
    <row r="4" spans="1:12" ht="26.25" customHeight="1" x14ac:dyDescent="0.25">
      <c r="A4" s="203"/>
      <c r="B4" s="215"/>
      <c r="C4" s="215"/>
      <c r="D4" s="118"/>
      <c r="E4" s="48"/>
      <c r="F4" s="212"/>
      <c r="G4" s="213"/>
      <c r="H4" s="213"/>
      <c r="I4" s="213"/>
      <c r="J4" s="213"/>
      <c r="K4" s="214"/>
      <c r="L4" s="97"/>
    </row>
    <row r="5" spans="1:12" ht="26.25" customHeight="1" x14ac:dyDescent="0.25">
      <c r="A5" s="203"/>
      <c r="B5" s="215"/>
      <c r="C5" s="215"/>
      <c r="D5" s="118"/>
      <c r="E5" s="48"/>
      <c r="F5" s="212"/>
      <c r="G5" s="213"/>
      <c r="H5" s="213"/>
      <c r="I5" s="213"/>
      <c r="J5" s="213"/>
      <c r="K5" s="214"/>
      <c r="L5" s="97"/>
    </row>
    <row r="6" spans="1:12" ht="26.25" customHeight="1" x14ac:dyDescent="0.25">
      <c r="A6" s="203"/>
      <c r="B6" s="215"/>
      <c r="C6" s="215"/>
      <c r="D6" s="118"/>
      <c r="E6" s="48"/>
      <c r="F6" s="212"/>
      <c r="G6" s="213"/>
      <c r="H6" s="213"/>
      <c r="I6" s="213"/>
      <c r="J6" s="213"/>
      <c r="K6" s="214"/>
      <c r="L6" s="97"/>
    </row>
    <row r="7" spans="1:12" ht="31.5" customHeight="1" x14ac:dyDescent="0.25">
      <c r="A7" s="203"/>
      <c r="B7" s="215" t="s">
        <v>7</v>
      </c>
      <c r="C7" s="215"/>
      <c r="D7" s="207"/>
      <c r="E7" s="207"/>
      <c r="F7" s="208"/>
      <c r="G7" s="208"/>
      <c r="H7" s="208"/>
      <c r="I7" s="208"/>
      <c r="J7" s="208"/>
      <c r="K7" s="208"/>
      <c r="L7" s="209"/>
    </row>
    <row r="8" spans="1:12" ht="31.5" customHeight="1" x14ac:dyDescent="0.25">
      <c r="A8" s="204"/>
      <c r="B8" s="215" t="s">
        <v>8</v>
      </c>
      <c r="C8" s="215"/>
      <c r="D8" s="210"/>
      <c r="E8" s="210"/>
      <c r="F8" s="210"/>
      <c r="G8" s="210"/>
      <c r="H8" s="210"/>
      <c r="I8" s="210"/>
      <c r="J8" s="210"/>
      <c r="K8" s="210"/>
      <c r="L8" s="211"/>
    </row>
    <row r="9" spans="1:12" ht="31.5" customHeight="1" x14ac:dyDescent="0.25">
      <c r="A9" s="140" t="s">
        <v>37</v>
      </c>
      <c r="B9" s="228" t="s">
        <v>121</v>
      </c>
      <c r="C9" s="229"/>
      <c r="D9" s="229"/>
      <c r="E9" s="229"/>
      <c r="F9" s="229"/>
      <c r="G9" s="229"/>
      <c r="H9" s="229"/>
      <c r="I9" s="229"/>
      <c r="J9" s="229"/>
      <c r="K9" s="229"/>
      <c r="L9" s="230"/>
    </row>
    <row r="10" spans="1:12" ht="44.25" customHeight="1" x14ac:dyDescent="0.25">
      <c r="A10" s="140"/>
      <c r="B10" s="219" t="s">
        <v>64</v>
      </c>
      <c r="C10" s="220"/>
      <c r="D10" s="89" t="s">
        <v>59</v>
      </c>
      <c r="E10" s="89" t="s">
        <v>60</v>
      </c>
      <c r="F10" s="89" t="s">
        <v>87</v>
      </c>
      <c r="G10" s="89" t="s">
        <v>61</v>
      </c>
      <c r="H10" s="89" t="s">
        <v>99</v>
      </c>
      <c r="I10" s="89" t="s">
        <v>62</v>
      </c>
      <c r="J10" s="89" t="s">
        <v>63</v>
      </c>
      <c r="K10" s="89" t="s">
        <v>57</v>
      </c>
      <c r="L10" s="102" t="s">
        <v>97</v>
      </c>
    </row>
    <row r="11" spans="1:12" ht="44.25" customHeight="1" x14ac:dyDescent="0.25">
      <c r="A11" s="140"/>
      <c r="B11" s="224" t="s">
        <v>117</v>
      </c>
      <c r="C11" s="205" t="s">
        <v>52</v>
      </c>
      <c r="D11" s="54"/>
      <c r="E11" s="55"/>
      <c r="F11" s="123"/>
      <c r="G11" s="55"/>
      <c r="H11" s="123"/>
      <c r="I11" s="55"/>
      <c r="J11" s="55"/>
      <c r="K11" s="55"/>
      <c r="L11" s="56"/>
    </row>
    <row r="12" spans="1:12" ht="44.25" customHeight="1" x14ac:dyDescent="0.25">
      <c r="A12" s="140"/>
      <c r="B12" s="225"/>
      <c r="C12" s="206"/>
      <c r="D12" s="57"/>
      <c r="E12" s="58"/>
      <c r="F12" s="58"/>
      <c r="G12" s="58"/>
      <c r="H12" s="58"/>
      <c r="I12" s="58"/>
      <c r="J12" s="58"/>
      <c r="K12" s="58"/>
      <c r="L12" s="59"/>
    </row>
    <row r="13" spans="1:12" ht="44.25" customHeight="1" x14ac:dyDescent="0.25">
      <c r="A13" s="140"/>
      <c r="B13" s="225"/>
      <c r="C13" s="205" t="s">
        <v>53</v>
      </c>
      <c r="D13" s="63"/>
      <c r="E13" s="64"/>
      <c r="F13" s="124"/>
      <c r="G13" s="55"/>
      <c r="H13" s="124"/>
      <c r="I13" s="64"/>
      <c r="J13" s="64"/>
      <c r="K13" s="64"/>
      <c r="L13" s="91"/>
    </row>
    <row r="14" spans="1:12" ht="44.25" customHeight="1" x14ac:dyDescent="0.25">
      <c r="A14" s="140"/>
      <c r="B14" s="225"/>
      <c r="C14" s="227"/>
      <c r="D14" s="60"/>
      <c r="E14" s="61"/>
      <c r="F14" s="128"/>
      <c r="G14" s="61"/>
      <c r="H14" s="128"/>
      <c r="I14" s="61"/>
      <c r="J14" s="61"/>
      <c r="K14" s="61"/>
      <c r="L14" s="62"/>
    </row>
    <row r="15" spans="1:12" ht="44.25" customHeight="1" x14ac:dyDescent="0.25">
      <c r="A15" s="140"/>
      <c r="B15" s="225"/>
      <c r="C15" s="206" t="s">
        <v>54</v>
      </c>
      <c r="D15" s="63"/>
      <c r="E15" s="64"/>
      <c r="F15" s="124"/>
      <c r="G15" s="55"/>
      <c r="H15" s="124"/>
      <c r="I15" s="64"/>
      <c r="J15" s="64"/>
      <c r="K15" s="64"/>
      <c r="L15" s="65"/>
    </row>
    <row r="16" spans="1:12" ht="44.25" customHeight="1" x14ac:dyDescent="0.25">
      <c r="A16" s="140"/>
      <c r="B16" s="225"/>
      <c r="C16" s="206"/>
      <c r="D16" s="125"/>
      <c r="E16" s="126"/>
      <c r="F16" s="129"/>
      <c r="G16" s="126"/>
      <c r="H16" s="129"/>
      <c r="I16" s="126"/>
      <c r="J16" s="126"/>
      <c r="K16" s="126"/>
      <c r="L16" s="127"/>
    </row>
    <row r="17" spans="1:12" ht="44.25" customHeight="1" x14ac:dyDescent="0.25">
      <c r="A17" s="140"/>
      <c r="B17" s="226"/>
      <c r="C17" s="223"/>
      <c r="D17" s="60"/>
      <c r="E17" s="61"/>
      <c r="F17" s="128"/>
      <c r="G17" s="126"/>
      <c r="H17" s="128"/>
      <c r="I17" s="61"/>
      <c r="J17" s="61"/>
      <c r="K17" s="61"/>
      <c r="L17" s="62"/>
    </row>
    <row r="18" spans="1:12" ht="44.25" customHeight="1" x14ac:dyDescent="0.25">
      <c r="A18" s="140"/>
      <c r="B18" s="219" t="s">
        <v>64</v>
      </c>
      <c r="C18" s="220"/>
      <c r="D18" s="89" t="s">
        <v>59</v>
      </c>
      <c r="E18" s="89" t="s">
        <v>60</v>
      </c>
      <c r="F18" s="130" t="s">
        <v>87</v>
      </c>
      <c r="G18" s="132" t="s">
        <v>61</v>
      </c>
      <c r="H18" s="131" t="s">
        <v>126</v>
      </c>
      <c r="I18" s="89" t="s">
        <v>62</v>
      </c>
      <c r="J18" s="89" t="s">
        <v>125</v>
      </c>
      <c r="K18" s="89" t="s">
        <v>57</v>
      </c>
      <c r="L18" s="102" t="s">
        <v>97</v>
      </c>
    </row>
    <row r="19" spans="1:12" ht="43.5" customHeight="1" x14ac:dyDescent="0.25">
      <c r="A19" s="140"/>
      <c r="B19" s="221" t="s">
        <v>118</v>
      </c>
      <c r="C19" s="206" t="s">
        <v>119</v>
      </c>
      <c r="D19" s="63"/>
      <c r="E19" s="64"/>
      <c r="F19" s="124"/>
      <c r="G19" s="64"/>
      <c r="H19" s="124"/>
      <c r="I19" s="64"/>
      <c r="J19" s="64"/>
      <c r="K19" s="64"/>
      <c r="L19" s="65"/>
    </row>
    <row r="20" spans="1:12" ht="43.5" customHeight="1" x14ac:dyDescent="0.25">
      <c r="A20" s="140"/>
      <c r="B20" s="225"/>
      <c r="C20" s="223"/>
      <c r="D20" s="60"/>
      <c r="E20" s="61"/>
      <c r="F20" s="61"/>
      <c r="G20" s="61"/>
      <c r="H20" s="61"/>
      <c r="I20" s="61"/>
      <c r="J20" s="61"/>
      <c r="K20" s="61"/>
      <c r="L20" s="62"/>
    </row>
    <row r="21" spans="1:12" ht="43.5" customHeight="1" x14ac:dyDescent="0.25">
      <c r="A21" s="140"/>
      <c r="B21" s="225"/>
      <c r="C21" s="221" t="s">
        <v>120</v>
      </c>
      <c r="D21" s="63"/>
      <c r="E21" s="64"/>
      <c r="F21" s="124"/>
      <c r="G21" s="64"/>
      <c r="H21" s="124"/>
      <c r="I21" s="64"/>
      <c r="J21" s="64"/>
      <c r="K21" s="64"/>
      <c r="L21" s="65"/>
    </row>
    <row r="22" spans="1:12" ht="43.5" customHeight="1" x14ac:dyDescent="0.25">
      <c r="A22" s="140"/>
      <c r="B22" s="222"/>
      <c r="C22" s="222"/>
      <c r="D22" s="60"/>
      <c r="E22" s="61"/>
      <c r="F22" s="61"/>
      <c r="G22" s="61"/>
      <c r="H22" s="61"/>
      <c r="I22" s="61"/>
      <c r="J22" s="61"/>
      <c r="K22" s="61"/>
      <c r="L22" s="62"/>
    </row>
    <row r="23" spans="1:12" ht="16" customHeight="1" x14ac:dyDescent="0.25">
      <c r="A23" s="96" t="s">
        <v>98</v>
      </c>
    </row>
  </sheetData>
  <mergeCells count="22">
    <mergeCell ref="B10:C10"/>
    <mergeCell ref="C19:C20"/>
    <mergeCell ref="C13:C14"/>
    <mergeCell ref="B8:C8"/>
    <mergeCell ref="B9:L9"/>
    <mergeCell ref="B19:B22"/>
    <mergeCell ref="A1:L1"/>
    <mergeCell ref="A3:A8"/>
    <mergeCell ref="C11:C12"/>
    <mergeCell ref="D7:L7"/>
    <mergeCell ref="D8:L8"/>
    <mergeCell ref="F5:K5"/>
    <mergeCell ref="F6:K6"/>
    <mergeCell ref="B3:C6"/>
    <mergeCell ref="F3:K3"/>
    <mergeCell ref="F4:K4"/>
    <mergeCell ref="A9:A22"/>
    <mergeCell ref="B18:C18"/>
    <mergeCell ref="C21:C22"/>
    <mergeCell ref="B7:C7"/>
    <mergeCell ref="C15:C17"/>
    <mergeCell ref="B11:B17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41" orientation="portrait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4" name="Check Box 3">
              <controlPr defaultSize="0" autoFill="0" autoLine="0" autoPict="0">
                <anchor moveWithCells="1">
                  <from>
                    <xdr:col>3</xdr:col>
                    <xdr:colOff>101600</xdr:colOff>
                    <xdr:row>6</xdr:row>
                    <xdr:rowOff>0</xdr:rowOff>
                  </from>
                  <to>
                    <xdr:col>3</xdr:col>
                    <xdr:colOff>711200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3</xdr:col>
                    <xdr:colOff>838200</xdr:colOff>
                    <xdr:row>5</xdr:row>
                    <xdr:rowOff>330200</xdr:rowOff>
                  </from>
                  <to>
                    <xdr:col>3</xdr:col>
                    <xdr:colOff>1409700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 moveWithCells="1">
                  <from>
                    <xdr:col>3</xdr:col>
                    <xdr:colOff>1568450</xdr:colOff>
                    <xdr:row>6</xdr:row>
                    <xdr:rowOff>0</xdr:rowOff>
                  </from>
                  <to>
                    <xdr:col>3</xdr:col>
                    <xdr:colOff>2178050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Check Box 6">
              <controlPr defaultSize="0" autoFill="0" autoLine="0" autoPict="0">
                <anchor moveWithCells="1">
                  <from>
                    <xdr:col>4</xdr:col>
                    <xdr:colOff>63500</xdr:colOff>
                    <xdr:row>6</xdr:row>
                    <xdr:rowOff>0</xdr:rowOff>
                  </from>
                  <to>
                    <xdr:col>4</xdr:col>
                    <xdr:colOff>742950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8" name="Check Box 7">
              <controlPr defaultSize="0" autoFill="0" autoLine="0" autoPict="0">
                <anchor moveWithCells="1">
                  <from>
                    <xdr:col>4</xdr:col>
                    <xdr:colOff>889000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9" name="Check Box 8">
              <controlPr defaultSize="0" autoFill="0" autoLine="0" autoPict="0">
                <anchor moveWithCells="1">
                  <from>
                    <xdr:col>5</xdr:col>
                    <xdr:colOff>590550</xdr:colOff>
                    <xdr:row>6</xdr:row>
                    <xdr:rowOff>0</xdr:rowOff>
                  </from>
                  <to>
                    <xdr:col>6</xdr:col>
                    <xdr:colOff>336550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0" name="Check Box 9">
              <controlPr defaultSize="0" autoFill="0" autoLine="0" autoPict="0">
                <anchor moveWithCells="1">
                  <from>
                    <xdr:col>3</xdr:col>
                    <xdr:colOff>95250</xdr:colOff>
                    <xdr:row>7</xdr:row>
                    <xdr:rowOff>38100</xdr:rowOff>
                  </from>
                  <to>
                    <xdr:col>3</xdr:col>
                    <xdr:colOff>679450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1" name="Check Box 10">
              <controlPr defaultSize="0" autoFill="0" autoLine="0" autoPict="0">
                <anchor moveWithCells="1">
                  <from>
                    <xdr:col>3</xdr:col>
                    <xdr:colOff>831850</xdr:colOff>
                    <xdr:row>7</xdr:row>
                    <xdr:rowOff>38100</xdr:rowOff>
                  </from>
                  <to>
                    <xdr:col>3</xdr:col>
                    <xdr:colOff>1428750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2" name="Check Box 11">
              <controlPr defaultSize="0" autoFill="0" autoLine="0" autoPict="0">
                <anchor moveWithCells="1">
                  <from>
                    <xdr:col>3</xdr:col>
                    <xdr:colOff>1568450</xdr:colOff>
                    <xdr:row>7</xdr:row>
                    <xdr:rowOff>38100</xdr:rowOff>
                  </from>
                  <to>
                    <xdr:col>3</xdr:col>
                    <xdr:colOff>2165350</xdr:colOff>
                    <xdr:row>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3" name="Check Box 12">
              <controlPr defaultSize="0" autoFill="0" autoLine="0" autoPict="0">
                <anchor moveWithCells="1">
                  <from>
                    <xdr:col>4</xdr:col>
                    <xdr:colOff>63500</xdr:colOff>
                    <xdr:row>7</xdr:row>
                    <xdr:rowOff>38100</xdr:rowOff>
                  </from>
                  <to>
                    <xdr:col>4</xdr:col>
                    <xdr:colOff>781050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4" name="Check Box 13">
              <controlPr defaultSize="0" autoFill="0" autoLine="0" autoPict="0">
                <anchor moveWithCells="1">
                  <from>
                    <xdr:col>4</xdr:col>
                    <xdr:colOff>889000</xdr:colOff>
                    <xdr:row>7</xdr:row>
                    <xdr:rowOff>38100</xdr:rowOff>
                  </from>
                  <to>
                    <xdr:col>5</xdr:col>
                    <xdr:colOff>673100</xdr:colOff>
                    <xdr:row>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5" name="Check Box 14">
              <controlPr defaultSize="0" autoFill="0" autoLine="0" autoPict="0">
                <anchor moveWithCells="1">
                  <from>
                    <xdr:col>5</xdr:col>
                    <xdr:colOff>749300</xdr:colOff>
                    <xdr:row>7</xdr:row>
                    <xdr:rowOff>38100</xdr:rowOff>
                  </from>
                  <to>
                    <xdr:col>6</xdr:col>
                    <xdr:colOff>666750</xdr:colOff>
                    <xdr:row>7</xdr:row>
                    <xdr:rowOff>368300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J12"/>
  <sheetViews>
    <sheetView view="pageBreakPreview" zoomScale="115" zoomScaleNormal="100" zoomScaleSheetLayoutView="115" workbookViewId="0">
      <selection sqref="A1:L1"/>
    </sheetView>
  </sheetViews>
  <sheetFormatPr defaultColWidth="8.9140625" defaultRowHeight="13" x14ac:dyDescent="0.25"/>
  <cols>
    <col min="1" max="1" width="7.58203125" style="1" customWidth="1"/>
    <col min="2" max="2" width="20.25" style="1" customWidth="1"/>
    <col min="3" max="6" width="10.83203125" style="1" customWidth="1"/>
    <col min="7" max="7" width="12" style="1" customWidth="1"/>
    <col min="8" max="8" width="20.58203125" style="1" customWidth="1"/>
    <col min="9" max="9" width="10.83203125" style="1" customWidth="1"/>
    <col min="10" max="10" width="16.4140625" style="1" customWidth="1"/>
    <col min="11" max="16384" width="8.9140625" style="1"/>
  </cols>
  <sheetData>
    <row r="1" spans="1:10" s="3" customFormat="1" ht="30" customHeight="1" x14ac:dyDescent="0.25">
      <c r="A1" s="167" t="s">
        <v>112</v>
      </c>
      <c r="B1" s="168"/>
      <c r="C1" s="168"/>
      <c r="D1" s="168"/>
      <c r="E1" s="168"/>
      <c r="F1" s="168"/>
      <c r="G1" s="168"/>
      <c r="H1" s="168"/>
      <c r="I1" s="168"/>
      <c r="J1" s="169"/>
    </row>
    <row r="2" spans="1:10" s="3" customFormat="1" ht="17.25" customHeight="1" x14ac:dyDescent="0.25">
      <c r="A2" s="82"/>
      <c r="B2" s="90"/>
      <c r="C2" s="82"/>
      <c r="D2" s="82"/>
      <c r="E2" s="82"/>
      <c r="F2" s="82"/>
      <c r="G2" s="76" t="s">
        <v>106</v>
      </c>
      <c r="H2" s="77" t="s">
        <v>90</v>
      </c>
      <c r="I2" s="76" t="s">
        <v>107</v>
      </c>
      <c r="J2" s="77" t="s">
        <v>109</v>
      </c>
    </row>
    <row r="3" spans="1:10" s="2" customFormat="1" ht="41.25" customHeight="1" x14ac:dyDescent="0.25">
      <c r="A3" s="189" t="s">
        <v>0</v>
      </c>
      <c r="B3" s="190"/>
      <c r="C3" s="170"/>
      <c r="D3" s="171"/>
      <c r="E3" s="171"/>
      <c r="F3" s="171"/>
      <c r="G3" s="171"/>
      <c r="H3" s="171"/>
      <c r="I3" s="171"/>
      <c r="J3" s="172"/>
    </row>
    <row r="4" spans="1:10" s="2" customFormat="1" ht="33.75" customHeight="1" x14ac:dyDescent="0.25">
      <c r="A4" s="235" t="s">
        <v>41</v>
      </c>
      <c r="B4" s="236"/>
      <c r="C4" s="38" t="s">
        <v>48</v>
      </c>
      <c r="D4" s="158"/>
      <c r="E4" s="159"/>
      <c r="F4" s="159"/>
      <c r="G4" s="159"/>
      <c r="H4" s="159"/>
      <c r="I4" s="159"/>
      <c r="J4" s="160"/>
    </row>
    <row r="5" spans="1:10" ht="52.5" customHeight="1" x14ac:dyDescent="0.25">
      <c r="A5" s="235"/>
      <c r="B5" s="236"/>
      <c r="C5" s="39" t="s">
        <v>49</v>
      </c>
      <c r="D5" s="161"/>
      <c r="E5" s="162"/>
      <c r="F5" s="162"/>
      <c r="G5" s="162"/>
      <c r="H5" s="162"/>
      <c r="I5" s="162"/>
      <c r="J5" s="163"/>
    </row>
    <row r="6" spans="1:10" ht="45" customHeight="1" x14ac:dyDescent="0.25">
      <c r="A6" s="235"/>
      <c r="B6" s="236"/>
      <c r="C6" s="39" t="s">
        <v>91</v>
      </c>
      <c r="D6" s="92"/>
      <c r="E6" s="93"/>
      <c r="F6" s="93"/>
      <c r="G6" s="93"/>
      <c r="H6" s="93"/>
      <c r="I6" s="93"/>
      <c r="J6" s="94"/>
    </row>
    <row r="7" spans="1:10" ht="54.75" customHeight="1" x14ac:dyDescent="0.25">
      <c r="A7" s="189"/>
      <c r="B7" s="190"/>
      <c r="C7" s="38" t="s">
        <v>50</v>
      </c>
      <c r="D7" s="170"/>
      <c r="E7" s="159"/>
      <c r="F7" s="159"/>
      <c r="G7" s="159"/>
      <c r="H7" s="159"/>
      <c r="I7" s="159"/>
      <c r="J7" s="160"/>
    </row>
    <row r="8" spans="1:10" ht="42.75" customHeight="1" x14ac:dyDescent="0.25">
      <c r="A8" s="233" t="s">
        <v>64</v>
      </c>
      <c r="B8" s="234"/>
      <c r="C8" s="240" t="s">
        <v>59</v>
      </c>
      <c r="D8" s="241"/>
      <c r="E8" s="83" t="s">
        <v>60</v>
      </c>
      <c r="F8" s="83" t="s">
        <v>87</v>
      </c>
      <c r="G8" s="5" t="s">
        <v>61</v>
      </c>
      <c r="H8" s="83" t="s">
        <v>99</v>
      </c>
      <c r="I8" s="88" t="s">
        <v>88</v>
      </c>
      <c r="J8" s="88" t="s">
        <v>89</v>
      </c>
    </row>
    <row r="9" spans="1:10" ht="30" customHeight="1" x14ac:dyDescent="0.25">
      <c r="A9" s="231" t="s">
        <v>93</v>
      </c>
      <c r="B9" s="45" t="s">
        <v>53</v>
      </c>
      <c r="C9" s="237"/>
      <c r="D9" s="238"/>
      <c r="E9" s="35"/>
      <c r="F9" s="36"/>
      <c r="G9" s="35"/>
      <c r="H9" s="35"/>
      <c r="I9" s="86"/>
      <c r="J9" s="84"/>
    </row>
    <row r="10" spans="1:10" ht="30" customHeight="1" x14ac:dyDescent="0.25">
      <c r="A10" s="232"/>
      <c r="B10" s="45" t="s">
        <v>54</v>
      </c>
      <c r="C10" s="237"/>
      <c r="D10" s="238"/>
      <c r="E10" s="35"/>
      <c r="F10" s="36"/>
      <c r="G10" s="35"/>
      <c r="H10" s="35"/>
      <c r="I10" s="86"/>
      <c r="J10" s="84"/>
    </row>
    <row r="11" spans="1:10" ht="30" customHeight="1" x14ac:dyDescent="0.25">
      <c r="A11" s="147" t="s">
        <v>47</v>
      </c>
      <c r="B11" s="148"/>
      <c r="C11" s="239">
        <f>SUM(C9:D10)</f>
        <v>0</v>
      </c>
      <c r="D11" s="146"/>
      <c r="E11" s="66">
        <f>SUM(E9:E10)</f>
        <v>0</v>
      </c>
      <c r="F11" s="66">
        <f>SUM(F9:F10)</f>
        <v>0</v>
      </c>
      <c r="G11" s="66">
        <f>SUM(G9:G10)</f>
        <v>0</v>
      </c>
      <c r="H11" s="66">
        <f>SUM(H9:H10)</f>
        <v>0</v>
      </c>
      <c r="I11" s="87"/>
      <c r="J11" s="85"/>
    </row>
    <row r="12" spans="1:10" ht="18.75" customHeight="1" x14ac:dyDescent="0.25">
      <c r="A12" s="96" t="s">
        <v>98</v>
      </c>
      <c r="C12" s="2"/>
      <c r="D12" s="2"/>
      <c r="E12" s="2"/>
      <c r="F12" s="2"/>
      <c r="G12" s="2"/>
      <c r="H12" s="2"/>
      <c r="I12" s="2"/>
      <c r="J12" s="2"/>
    </row>
  </sheetData>
  <mergeCells count="14">
    <mergeCell ref="A11:B11"/>
    <mergeCell ref="A9:A10"/>
    <mergeCell ref="A8:B8"/>
    <mergeCell ref="A4:B7"/>
    <mergeCell ref="C9:D9"/>
    <mergeCell ref="C11:D11"/>
    <mergeCell ref="C8:D8"/>
    <mergeCell ref="C10:D10"/>
    <mergeCell ref="A1:J1"/>
    <mergeCell ref="C3:J3"/>
    <mergeCell ref="D4:J4"/>
    <mergeCell ref="D5:J5"/>
    <mergeCell ref="D7:J7"/>
    <mergeCell ref="A3:B3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0" orientation="portrait" r:id="rId1"/>
  <headerFooter alignWithMargins="0">
    <oddFooter>&amp;C&amp;"굴림,보통"&amp;8 1/7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  <pageSetUpPr fitToPage="1"/>
  </sheetPr>
  <dimension ref="A1:K26"/>
  <sheetViews>
    <sheetView tabSelected="1" view="pageBreakPreview" zoomScale="85" zoomScaleNormal="100" zoomScaleSheetLayoutView="85" workbookViewId="0">
      <selection sqref="A1:K1"/>
    </sheetView>
  </sheetViews>
  <sheetFormatPr defaultRowHeight="14" x14ac:dyDescent="0.25"/>
  <cols>
    <col min="2" max="2" width="22" customWidth="1"/>
    <col min="3" max="3" width="26.6640625" customWidth="1"/>
    <col min="5" max="6" width="10.83203125" customWidth="1"/>
    <col min="8" max="10" width="10.83203125" customWidth="1"/>
    <col min="11" max="11" width="29.4140625" customWidth="1"/>
  </cols>
  <sheetData>
    <row r="1" spans="1:11" ht="30" customHeight="1" x14ac:dyDescent="0.25">
      <c r="A1" s="242" t="s">
        <v>110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</row>
    <row r="2" spans="1:11" ht="30" customHeight="1" x14ac:dyDescent="0.25">
      <c r="A2" s="78"/>
      <c r="B2" s="78"/>
      <c r="C2" s="78"/>
      <c r="D2" s="78"/>
      <c r="E2" s="78"/>
      <c r="F2" s="78"/>
      <c r="G2" s="78"/>
      <c r="H2" s="79"/>
      <c r="I2" s="80" t="s">
        <v>106</v>
      </c>
      <c r="J2" s="80" t="s">
        <v>150</v>
      </c>
      <c r="K2" s="80" t="s">
        <v>151</v>
      </c>
    </row>
    <row r="3" spans="1:11" ht="32.25" customHeight="1" x14ac:dyDescent="0.45">
      <c r="A3" s="119" t="s">
        <v>122</v>
      </c>
      <c r="B3" s="4"/>
      <c r="C3" s="4"/>
      <c r="D3" s="4"/>
      <c r="E3" s="4"/>
      <c r="F3" s="4"/>
      <c r="G3" s="4"/>
      <c r="H3" s="246" t="s">
        <v>102</v>
      </c>
      <c r="I3" s="247"/>
      <c r="J3" s="247"/>
      <c r="K3" s="247"/>
    </row>
    <row r="4" spans="1:11" ht="20.149999999999999" customHeight="1" x14ac:dyDescent="0.25">
      <c r="A4" s="243" t="s">
        <v>12</v>
      </c>
      <c r="B4" s="243"/>
      <c r="C4" s="243" t="s">
        <v>13</v>
      </c>
      <c r="D4" s="244" t="s">
        <v>9</v>
      </c>
      <c r="E4" s="243" t="s">
        <v>14</v>
      </c>
      <c r="F4" s="243"/>
      <c r="G4" s="81" t="s">
        <v>15</v>
      </c>
      <c r="H4" s="243" t="s">
        <v>17</v>
      </c>
      <c r="I4" s="243"/>
      <c r="J4" s="244" t="s">
        <v>11</v>
      </c>
      <c r="K4" s="248" t="s">
        <v>71</v>
      </c>
    </row>
    <row r="5" spans="1:11" ht="20.149999999999999" customHeight="1" x14ac:dyDescent="0.25">
      <c r="A5" s="243"/>
      <c r="B5" s="243"/>
      <c r="C5" s="243"/>
      <c r="D5" s="245"/>
      <c r="E5" s="81" t="s">
        <v>18</v>
      </c>
      <c r="F5" s="81" t="s">
        <v>19</v>
      </c>
      <c r="G5" s="81" t="s">
        <v>16</v>
      </c>
      <c r="H5" s="81" t="s">
        <v>20</v>
      </c>
      <c r="I5" s="81" t="s">
        <v>21</v>
      </c>
      <c r="J5" s="245"/>
      <c r="K5" s="249"/>
    </row>
    <row r="6" spans="1:11" ht="51.75" customHeight="1" x14ac:dyDescent="0.45">
      <c r="A6" s="256" t="s">
        <v>34</v>
      </c>
      <c r="B6" s="53" t="s">
        <v>22</v>
      </c>
      <c r="C6" s="9"/>
      <c r="D6" s="98" t="s">
        <v>101</v>
      </c>
      <c r="E6" s="14"/>
      <c r="F6" s="14"/>
      <c r="G6" s="10"/>
      <c r="H6" s="10"/>
      <c r="I6" s="7"/>
      <c r="J6" s="15"/>
      <c r="K6" s="68"/>
    </row>
    <row r="7" spans="1:11" ht="51.75" customHeight="1" x14ac:dyDescent="0.45">
      <c r="A7" s="256"/>
      <c r="B7" s="53" t="s">
        <v>23</v>
      </c>
      <c r="C7" s="16"/>
      <c r="D7" s="98" t="s">
        <v>101</v>
      </c>
      <c r="E7" s="18"/>
      <c r="F7" s="18"/>
      <c r="G7" s="17"/>
      <c r="H7" s="17"/>
      <c r="I7" s="17"/>
      <c r="J7" s="19"/>
      <c r="K7" s="69"/>
    </row>
    <row r="8" spans="1:11" ht="51.75" customHeight="1" x14ac:dyDescent="0.45">
      <c r="A8" s="256" t="s">
        <v>35</v>
      </c>
      <c r="B8" s="53" t="s">
        <v>24</v>
      </c>
      <c r="C8" s="20"/>
      <c r="D8" s="98" t="s">
        <v>101</v>
      </c>
      <c r="E8" s="18"/>
      <c r="F8" s="21"/>
      <c r="G8" s="17"/>
      <c r="H8" s="17"/>
      <c r="I8" s="22"/>
      <c r="J8" s="19"/>
      <c r="K8" s="69"/>
    </row>
    <row r="9" spans="1:11" ht="51.75" customHeight="1" x14ac:dyDescent="0.45">
      <c r="A9" s="256"/>
      <c r="B9" s="53" t="s">
        <v>25</v>
      </c>
      <c r="C9" s="16"/>
      <c r="D9" s="98" t="s">
        <v>101</v>
      </c>
      <c r="E9" s="18"/>
      <c r="F9" s="18"/>
      <c r="G9" s="17"/>
      <c r="H9" s="17"/>
      <c r="I9" s="17"/>
      <c r="J9" s="19"/>
      <c r="K9" s="70"/>
    </row>
    <row r="10" spans="1:11" ht="51.75" customHeight="1" x14ac:dyDescent="0.45">
      <c r="A10" s="253" t="s">
        <v>36</v>
      </c>
      <c r="B10" s="53" t="s">
        <v>26</v>
      </c>
      <c r="C10" s="20"/>
      <c r="D10" s="98" t="s">
        <v>101</v>
      </c>
      <c r="E10" s="21"/>
      <c r="F10" s="21"/>
      <c r="G10" s="22"/>
      <c r="H10" s="22"/>
      <c r="I10" s="17"/>
      <c r="J10" s="19"/>
      <c r="K10" s="71"/>
    </row>
    <row r="11" spans="1:11" ht="51.75" customHeight="1" x14ac:dyDescent="0.45">
      <c r="A11" s="254"/>
      <c r="B11" s="53" t="s">
        <v>27</v>
      </c>
      <c r="C11" s="20"/>
      <c r="D11" s="98" t="s">
        <v>101</v>
      </c>
      <c r="E11" s="18"/>
      <c r="F11" s="21"/>
      <c r="G11" s="22"/>
      <c r="H11" s="22"/>
      <c r="I11" s="17"/>
      <c r="J11" s="43"/>
      <c r="K11" s="72"/>
    </row>
    <row r="12" spans="1:11" ht="51.75" customHeight="1" x14ac:dyDescent="0.45">
      <c r="A12" s="255"/>
      <c r="B12" s="53" t="s">
        <v>28</v>
      </c>
      <c r="C12" s="16"/>
      <c r="D12" s="98" t="s">
        <v>101</v>
      </c>
      <c r="E12" s="18"/>
      <c r="F12" s="18"/>
      <c r="G12" s="17"/>
      <c r="H12" s="17"/>
      <c r="I12" s="17"/>
      <c r="J12" s="19"/>
      <c r="K12" s="70"/>
    </row>
    <row r="13" spans="1:11" ht="51.75" customHeight="1" x14ac:dyDescent="0.45">
      <c r="A13" s="253" t="s">
        <v>149</v>
      </c>
      <c r="B13" s="53" t="s">
        <v>29</v>
      </c>
      <c r="C13" s="20"/>
      <c r="D13" s="98" t="s">
        <v>101</v>
      </c>
      <c r="E13" s="21"/>
      <c r="F13" s="21"/>
      <c r="G13" s="22"/>
      <c r="H13" s="22"/>
      <c r="I13" s="17"/>
      <c r="J13" s="19"/>
      <c r="K13" s="71"/>
    </row>
    <row r="14" spans="1:11" ht="51.75" customHeight="1" x14ac:dyDescent="0.25">
      <c r="A14" s="254"/>
      <c r="B14" s="250" t="s">
        <v>30</v>
      </c>
      <c r="C14" s="133" t="s">
        <v>127</v>
      </c>
      <c r="D14" s="135" t="s">
        <v>101</v>
      </c>
      <c r="E14" s="139">
        <f>F14/12</f>
        <v>2976.6</v>
      </c>
      <c r="F14" s="134">
        <v>35719.199999999997</v>
      </c>
      <c r="G14" s="138" t="s">
        <v>135</v>
      </c>
      <c r="H14" s="136" t="s">
        <v>143</v>
      </c>
      <c r="I14" s="136" t="s">
        <v>144</v>
      </c>
      <c r="J14" s="136" t="s">
        <v>144</v>
      </c>
      <c r="K14" s="137"/>
    </row>
    <row r="15" spans="1:11" ht="51.75" customHeight="1" x14ac:dyDescent="0.25">
      <c r="A15" s="254"/>
      <c r="B15" s="251"/>
      <c r="C15" s="133" t="s">
        <v>128</v>
      </c>
      <c r="D15" s="135" t="s">
        <v>101</v>
      </c>
      <c r="E15" s="139">
        <f t="shared" ref="E15:E21" si="0">F15/12</f>
        <v>9759.1</v>
      </c>
      <c r="F15" s="134">
        <v>117109.2</v>
      </c>
      <c r="G15" s="138" t="s">
        <v>136</v>
      </c>
      <c r="H15" s="136" t="s">
        <v>143</v>
      </c>
      <c r="I15" s="136" t="s">
        <v>144</v>
      </c>
      <c r="J15" s="136" t="s">
        <v>144</v>
      </c>
      <c r="K15" s="137"/>
    </row>
    <row r="16" spans="1:11" ht="51.75" customHeight="1" x14ac:dyDescent="0.25">
      <c r="A16" s="254"/>
      <c r="B16" s="251"/>
      <c r="C16" s="133" t="s">
        <v>129</v>
      </c>
      <c r="D16" s="135" t="s">
        <v>101</v>
      </c>
      <c r="E16" s="139">
        <f t="shared" si="0"/>
        <v>519.19999999999993</v>
      </c>
      <c r="F16" s="134">
        <v>6230.4</v>
      </c>
      <c r="G16" s="138" t="s">
        <v>137</v>
      </c>
      <c r="H16" s="136" t="s">
        <v>143</v>
      </c>
      <c r="I16" s="136" t="s">
        <v>144</v>
      </c>
      <c r="J16" s="136" t="s">
        <v>144</v>
      </c>
      <c r="K16" s="137"/>
    </row>
    <row r="17" spans="1:11" ht="51.75" customHeight="1" x14ac:dyDescent="0.25">
      <c r="A17" s="254"/>
      <c r="B17" s="251"/>
      <c r="C17" s="133" t="s">
        <v>130</v>
      </c>
      <c r="D17" s="135" t="s">
        <v>101</v>
      </c>
      <c r="E17" s="139">
        <f t="shared" si="0"/>
        <v>1252.3</v>
      </c>
      <c r="F17" s="134">
        <v>15027.6</v>
      </c>
      <c r="G17" s="138" t="s">
        <v>138</v>
      </c>
      <c r="H17" s="136" t="s">
        <v>143</v>
      </c>
      <c r="I17" s="136" t="s">
        <v>144</v>
      </c>
      <c r="J17" s="136" t="s">
        <v>144</v>
      </c>
      <c r="K17" s="137"/>
    </row>
    <row r="18" spans="1:11" ht="108" customHeight="1" x14ac:dyDescent="0.25">
      <c r="A18" s="254"/>
      <c r="B18" s="251"/>
      <c r="C18" s="133" t="s">
        <v>131</v>
      </c>
      <c r="D18" s="135" t="s">
        <v>101</v>
      </c>
      <c r="E18" s="139">
        <f t="shared" si="0"/>
        <v>2326.5333333333333</v>
      </c>
      <c r="F18" s="134">
        <v>27918.400000000001</v>
      </c>
      <c r="G18" s="138" t="s">
        <v>139</v>
      </c>
      <c r="H18" s="136" t="s">
        <v>143</v>
      </c>
      <c r="I18" s="136" t="s">
        <v>144</v>
      </c>
      <c r="J18" s="136" t="s">
        <v>144</v>
      </c>
      <c r="K18" s="137" t="s">
        <v>145</v>
      </c>
    </row>
    <row r="19" spans="1:11" ht="51.75" customHeight="1" x14ac:dyDescent="0.25">
      <c r="A19" s="254"/>
      <c r="B19" s="251"/>
      <c r="C19" s="133" t="s">
        <v>132</v>
      </c>
      <c r="D19" s="135" t="s">
        <v>101</v>
      </c>
      <c r="E19" s="139">
        <f t="shared" si="0"/>
        <v>7408.25</v>
      </c>
      <c r="F19" s="134">
        <v>88899</v>
      </c>
      <c r="G19" s="138" t="s">
        <v>140</v>
      </c>
      <c r="H19" s="136" t="s">
        <v>143</v>
      </c>
      <c r="I19" s="136" t="s">
        <v>144</v>
      </c>
      <c r="J19" s="136" t="s">
        <v>144</v>
      </c>
      <c r="K19" s="137" t="s">
        <v>147</v>
      </c>
    </row>
    <row r="20" spans="1:11" ht="51.75" customHeight="1" x14ac:dyDescent="0.25">
      <c r="A20" s="254"/>
      <c r="B20" s="251"/>
      <c r="C20" s="133" t="s">
        <v>133</v>
      </c>
      <c r="D20" s="135" t="s">
        <v>101</v>
      </c>
      <c r="E20" s="139">
        <f t="shared" si="0"/>
        <v>2190.6</v>
      </c>
      <c r="F20" s="134">
        <v>26287.200000000001</v>
      </c>
      <c r="G20" s="138" t="s">
        <v>141</v>
      </c>
      <c r="H20" s="136" t="s">
        <v>143</v>
      </c>
      <c r="I20" s="136" t="s">
        <v>144</v>
      </c>
      <c r="J20" s="136" t="s">
        <v>144</v>
      </c>
      <c r="K20" s="137" t="s">
        <v>146</v>
      </c>
    </row>
    <row r="21" spans="1:11" ht="51.75" customHeight="1" x14ac:dyDescent="0.25">
      <c r="A21" s="254"/>
      <c r="B21" s="252"/>
      <c r="C21" s="133" t="s">
        <v>134</v>
      </c>
      <c r="D21" s="135" t="s">
        <v>101</v>
      </c>
      <c r="E21" s="139">
        <f t="shared" si="0"/>
        <v>3598.4666666666667</v>
      </c>
      <c r="F21" s="134">
        <v>43181.599999999999</v>
      </c>
      <c r="G21" s="138" t="s">
        <v>142</v>
      </c>
      <c r="H21" s="136" t="s">
        <v>143</v>
      </c>
      <c r="I21" s="136" t="s">
        <v>144</v>
      </c>
      <c r="J21" s="136" t="s">
        <v>144</v>
      </c>
      <c r="K21" s="137" t="s">
        <v>148</v>
      </c>
    </row>
    <row r="22" spans="1:11" ht="51.75" customHeight="1" x14ac:dyDescent="0.45">
      <c r="A22" s="254"/>
      <c r="B22" s="53" t="s">
        <v>31</v>
      </c>
      <c r="C22" s="20"/>
      <c r="D22" s="98" t="s">
        <v>101</v>
      </c>
      <c r="E22" s="18"/>
      <c r="F22" s="21"/>
      <c r="G22" s="22"/>
      <c r="H22" s="22"/>
      <c r="I22" s="17"/>
      <c r="J22" s="23"/>
      <c r="K22" s="72"/>
    </row>
    <row r="23" spans="1:11" ht="51.75" customHeight="1" x14ac:dyDescent="0.45">
      <c r="A23" s="254"/>
      <c r="B23" s="53" t="s">
        <v>100</v>
      </c>
      <c r="C23" s="16"/>
      <c r="D23" s="98" t="s">
        <v>101</v>
      </c>
      <c r="E23" s="18"/>
      <c r="F23" s="18"/>
      <c r="G23" s="17"/>
      <c r="H23" s="17"/>
      <c r="I23" s="17"/>
      <c r="J23" s="40"/>
      <c r="K23" s="69"/>
    </row>
    <row r="24" spans="1:11" ht="51.75" customHeight="1" x14ac:dyDescent="0.45">
      <c r="A24" s="254"/>
      <c r="B24" s="53" t="s">
        <v>32</v>
      </c>
      <c r="C24" s="20"/>
      <c r="D24" s="98" t="s">
        <v>101</v>
      </c>
      <c r="E24" s="21"/>
      <c r="F24" s="21"/>
      <c r="G24" s="22"/>
      <c r="H24" s="17"/>
      <c r="I24" s="22"/>
      <c r="J24" s="41"/>
      <c r="K24" s="69"/>
    </row>
    <row r="25" spans="1:11" ht="51.75" customHeight="1" x14ac:dyDescent="0.45">
      <c r="A25" s="255"/>
      <c r="B25" s="53" t="s">
        <v>33</v>
      </c>
      <c r="C25" s="11"/>
      <c r="D25" s="98" t="s">
        <v>101</v>
      </c>
      <c r="E25" s="24"/>
      <c r="F25" s="13"/>
      <c r="G25" s="8"/>
      <c r="H25" s="8"/>
      <c r="I25" s="12"/>
      <c r="J25" s="42"/>
      <c r="K25" s="73"/>
    </row>
    <row r="26" spans="1:11" x14ac:dyDescent="0.25">
      <c r="A26" s="96"/>
    </row>
  </sheetData>
  <mergeCells count="14">
    <mergeCell ref="B14:B21"/>
    <mergeCell ref="A13:A25"/>
    <mergeCell ref="A6:A7"/>
    <mergeCell ref="A8:A9"/>
    <mergeCell ref="A10:A12"/>
    <mergeCell ref="A1:K1"/>
    <mergeCell ref="A4:B5"/>
    <mergeCell ref="C4:C5"/>
    <mergeCell ref="E4:F4"/>
    <mergeCell ref="H4:I4"/>
    <mergeCell ref="J4:J5"/>
    <mergeCell ref="H3:K3"/>
    <mergeCell ref="D4:D5"/>
    <mergeCell ref="K4:K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① (정보화사업) 1-1. 정보화사업 개요</vt:lpstr>
      <vt:lpstr>① (정보화사업) 1-2. 소요자원 상세내용</vt:lpstr>
      <vt:lpstr>② (경상사업) 2. 경상적인 사업</vt:lpstr>
      <vt:lpstr>③ (일반관리비) 전산 일반관리비 편성요청서</vt:lpstr>
      <vt:lpstr>'① (정보화사업) 1-1. 정보화사업 개요'!Print_Area</vt:lpstr>
      <vt:lpstr>'① (정보화사업) 1-2. 소요자원 상세내용'!Print_Area</vt:lpstr>
      <vt:lpstr>'② (경상사업) 2. 경상적인 사업'!Print_Area</vt:lpstr>
      <vt:lpstr>'③ (일반관리비) 전산 일반관리비 편성요청서'!Print_Area</vt:lpstr>
    </vt:vector>
  </TitlesOfParts>
  <Company>KTF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JungPiloh</dc:creator>
  <cp:lastModifiedBy>KDB_QM</cp:lastModifiedBy>
  <cp:lastPrinted>2025-09-26T07:32:51Z</cp:lastPrinted>
  <dcterms:created xsi:type="dcterms:W3CDTF">2005-05-24T12:23:20Z</dcterms:created>
  <dcterms:modified xsi:type="dcterms:W3CDTF">2025-09-29T01:31:39Z</dcterms:modified>
</cp:coreProperties>
</file>