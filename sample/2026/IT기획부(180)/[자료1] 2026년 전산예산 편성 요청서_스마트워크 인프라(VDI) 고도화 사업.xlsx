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2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Y:\IT인프라팀\203. 전산예산편성요청\2026년도 예산\자본예산_스마트워크 인프라(VDI) 고도화 사업 추진\"/>
    </mc:Choice>
  </mc:AlternateContent>
  <xr:revisionPtr revIDLastSave="0" documentId="14_{39CC0587-2FBA-462B-BD34-031722826502}" xr6:coauthVersionLast="47" xr6:coauthVersionMax="47" xr10:uidLastSave="{00000000-0000-0000-0000-000000000000}"/>
  <bookViews>
    <workbookView xWindow="-110" yWindow="-110" windowWidth="38620" windowHeight="21100" tabRatio="952" xr2:uid="{BFCC6708-81B3-4038-91F3-AF1FA61DE632}"/>
  </bookViews>
  <sheets>
    <sheet name="① (정보화사업) 1-1. 정보화사업 개요" sheetId="16" r:id="rId1"/>
    <sheet name="① (정보화사업) 1-2. 소요자원 상세내용" sheetId="1" r:id="rId2"/>
  </sheets>
  <definedNames>
    <definedName name="_xlnm.Print_Area" localSheetId="0">'① (정보화사업) 1-1. 정보화사업 개요'!$A$1:$J$38</definedName>
    <definedName name="_xlnm.Print_Area" localSheetId="1">'① (정보화사업) 1-2. 소요자원 상세내용'!$A$1:$L$27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16" i="1"/>
  <c r="H18" i="1"/>
  <c r="H15" i="1"/>
  <c r="H12" i="1"/>
  <c r="H13" i="1"/>
  <c r="H14" i="1"/>
  <c r="H19" i="1"/>
  <c r="H20" i="1"/>
  <c r="H11" i="1"/>
  <c r="C37" i="16"/>
  <c r="D37" i="16"/>
  <c r="E37" i="16"/>
  <c r="E38" i="16"/>
  <c r="F37" i="16"/>
  <c r="H37" i="16"/>
  <c r="G37" i="16"/>
  <c r="G36" i="16"/>
  <c r="G35" i="16"/>
  <c r="C38" i="16"/>
  <c r="F38" i="16"/>
  <c r="I36" i="16"/>
  <c r="I35" i="16"/>
  <c r="I31" i="16"/>
  <c r="G31" i="16"/>
  <c r="G32" i="16"/>
  <c r="I32" i="16"/>
  <c r="G33" i="16"/>
  <c r="I33" i="16"/>
  <c r="H34" i="16"/>
  <c r="H38" i="16"/>
  <c r="D34" i="16"/>
  <c r="D38" i="16"/>
  <c r="E34" i="16"/>
  <c r="F34" i="16"/>
  <c r="C34" i="16"/>
  <c r="I37" i="16"/>
  <c r="I34" i="16"/>
  <c r="I38" i="16"/>
  <c r="G34" i="16"/>
  <c r="G38" i="16"/>
</calcChain>
</file>

<file path=xl/sharedStrings.xml><?xml version="1.0" encoding="utf-8"?>
<sst xmlns="http://schemas.openxmlformats.org/spreadsheetml/2006/main" count="185" uniqueCount="116">
  <si>
    <t>사업명</t>
    <phoneticPr fontId="2" type="noConversion"/>
  </si>
  <si>
    <t>사업유형</t>
    <phoneticPr fontId="2" type="noConversion"/>
  </si>
  <si>
    <t>주 사용자</t>
    <phoneticPr fontId="2" type="noConversion"/>
  </si>
  <si>
    <t>시스템(사업)명</t>
  </si>
  <si>
    <t>담당부서</t>
  </si>
  <si>
    <t>연관내용</t>
  </si>
  <si>
    <t>시스템 특성</t>
    <phoneticPr fontId="2" type="noConversion"/>
  </si>
  <si>
    <t>시스템 영역</t>
    <phoneticPr fontId="2" type="noConversion"/>
  </si>
  <si>
    <t>시스템 요건</t>
    <phoneticPr fontId="2" type="noConversion"/>
  </si>
  <si>
    <t>업무구분</t>
    <phoneticPr fontId="2" type="noConversion"/>
  </si>
  <si>
    <t>소요예산</t>
    <phoneticPr fontId="2" type="noConversion"/>
  </si>
  <si>
    <t>연관 시스템
(연관 사업)</t>
    <phoneticPr fontId="2" type="noConversion"/>
  </si>
  <si>
    <t>시작일자
(YY/MM)</t>
    <phoneticPr fontId="2" type="noConversion"/>
  </si>
  <si>
    <t>종료일자
(YY/MM)</t>
    <phoneticPr fontId="2" type="noConversion"/>
  </si>
  <si>
    <t>사업 개요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</si>
  <si>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</si>
  <si>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</si>
  <si>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</si>
  <si>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</si>
  <si>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전체 합계</t>
    <phoneticPr fontId="2" type="noConversion"/>
  </si>
  <si>
    <t>(개요)</t>
    <phoneticPr fontId="2" type="noConversion"/>
  </si>
  <si>
    <t>(현황)</t>
    <phoneticPr fontId="2" type="noConversion"/>
  </si>
  <si>
    <t>(미추진시 
문제점)</t>
    <phoneticPr fontId="2" type="noConversion"/>
  </si>
  <si>
    <t>주관부문/본부</t>
    <phoneticPr fontId="2" type="noConversion"/>
  </si>
  <si>
    <t>개발비</t>
    <phoneticPr fontId="2" type="noConversion"/>
  </si>
  <si>
    <t>기계장치(HW)</t>
    <phoneticPr fontId="2" type="noConversion"/>
  </si>
  <si>
    <t>기타무형자산(SW)</t>
    <phoneticPr fontId="2" type="noConversion"/>
  </si>
  <si>
    <t>사업구분</t>
    <phoneticPr fontId="2" type="noConversion"/>
  </si>
  <si>
    <t>법규상 완료시기</t>
    <phoneticPr fontId="2" type="noConversion"/>
  </si>
  <si>
    <t>정보보호여부</t>
    <phoneticPr fontId="2" type="noConversion"/>
  </si>
  <si>
    <t>비고</t>
    <phoneticPr fontId="2" type="noConversion"/>
  </si>
  <si>
    <t>항목</t>
    <phoneticPr fontId="2" type="noConversion"/>
  </si>
  <si>
    <t>수량</t>
    <phoneticPr fontId="2" type="noConversion"/>
  </si>
  <si>
    <t>통화</t>
    <phoneticPr fontId="2" type="noConversion"/>
  </si>
  <si>
    <t>산정근거</t>
    <phoneticPr fontId="2" type="noConversion"/>
  </si>
  <si>
    <t>도입시기(월)</t>
    <phoneticPr fontId="2" type="noConversion"/>
  </si>
  <si>
    <t>구분</t>
    <phoneticPr fontId="2" type="noConversion"/>
  </si>
  <si>
    <t xml:space="preserve">총 사업금액(전체기간)
</t>
    <phoneticPr fontId="2" type="noConversion"/>
  </si>
  <si>
    <t>추진경과</t>
    <phoneticPr fontId="2" type="noConversion"/>
  </si>
  <si>
    <t>향후계획</t>
    <phoneticPr fontId="2" type="noConversion"/>
  </si>
  <si>
    <t>진행 상황</t>
    <phoneticPr fontId="2" type="noConversion"/>
  </si>
  <si>
    <t>편성 기준</t>
    <phoneticPr fontId="2" type="noConversion"/>
  </si>
  <si>
    <t>관련 조직</t>
    <phoneticPr fontId="2" type="noConversion"/>
  </si>
  <si>
    <t>팀장</t>
    <phoneticPr fontId="2" type="noConversion"/>
  </si>
  <si>
    <t>주관부서/팀</t>
    <phoneticPr fontId="2" type="noConversion"/>
  </si>
  <si>
    <t>추진시기 및 소요예산</t>
    <phoneticPr fontId="2" type="noConversion"/>
  </si>
  <si>
    <t>예산 소요(상세)
(백만원, 부가세포함)</t>
    <phoneticPr fontId="2" type="noConversion"/>
  </si>
  <si>
    <t>실무자(정/부)</t>
    <phoneticPr fontId="2" type="noConversion"/>
  </si>
  <si>
    <t>IT팀장</t>
    <phoneticPr fontId="2" type="noConversion"/>
  </si>
  <si>
    <t>IT실무자(정/부)</t>
    <phoneticPr fontId="2" type="noConversion"/>
  </si>
  <si>
    <t xml:space="preserve">1-1. 정보화사업 개요 </t>
    <phoneticPr fontId="2" type="noConversion"/>
  </si>
  <si>
    <t>중복 여부</t>
    <phoneticPr fontId="2" type="noConversion"/>
  </si>
  <si>
    <t>디지털 기술 유형</t>
    <phoneticPr fontId="2" type="noConversion"/>
  </si>
  <si>
    <t>사업 추진 가능성</t>
    <phoneticPr fontId="2" type="noConversion"/>
  </si>
  <si>
    <t>추진가능성</t>
    <phoneticPr fontId="2" type="noConversion"/>
  </si>
  <si>
    <t>단가</t>
    <phoneticPr fontId="2" type="noConversion"/>
  </si>
  <si>
    <t>사업 범위
(전산 요구사항)</t>
    <phoneticPr fontId="2" type="noConversion"/>
  </si>
  <si>
    <t>보고 상태</t>
    <phoneticPr fontId="2" type="noConversion"/>
  </si>
  <si>
    <t>최종보고</t>
    <phoneticPr fontId="2" type="noConversion"/>
  </si>
  <si>
    <t>전결권자</t>
    <phoneticPr fontId="2" type="noConversion"/>
  </si>
  <si>
    <t>인프라 
통합관리 여부</t>
    <phoneticPr fontId="2" type="noConversion"/>
  </si>
  <si>
    <t>* 견적서 기반 소요예산 근거 등 별첨 필요</t>
    <phoneticPr fontId="2" type="noConversion"/>
  </si>
  <si>
    <t>소요예산
(부가세포함)</t>
    <phoneticPr fontId="2" type="noConversion"/>
  </si>
  <si>
    <t>KRW</t>
    <phoneticPr fontId="2" type="noConversion"/>
  </si>
  <si>
    <t>(기대효과)</t>
    <phoneticPr fontId="2" type="noConversion"/>
  </si>
  <si>
    <t>(필요성)</t>
    <phoneticPr fontId="2" type="noConversion"/>
  </si>
  <si>
    <t>(확인자)</t>
    <phoneticPr fontId="2" type="noConversion"/>
  </si>
  <si>
    <t>(작성자)</t>
    <phoneticPr fontId="2" type="noConversion"/>
  </si>
  <si>
    <t>1-2. 정보화사업  소요자원 상세내용</t>
    <phoneticPr fontId="2" type="noConversion"/>
  </si>
  <si>
    <t>'26년도 합계</t>
    <phoneticPr fontId="2" type="noConversion"/>
  </si>
  <si>
    <t>'26년도 이후</t>
    <phoneticPr fontId="2" type="noConversion"/>
  </si>
  <si>
    <t>‘26년도 필요예산 편성요청</t>
    <phoneticPr fontId="2" type="noConversion"/>
  </si>
  <si>
    <t>자본예산</t>
    <phoneticPr fontId="2" type="noConversion"/>
  </si>
  <si>
    <t>일반관리비</t>
    <phoneticPr fontId="2" type="noConversion"/>
  </si>
  <si>
    <t>전산임차료</t>
    <phoneticPr fontId="2" type="noConversion"/>
  </si>
  <si>
    <t>전산제비</t>
    <phoneticPr fontId="2" type="noConversion"/>
  </si>
  <si>
    <r>
      <t xml:space="preserve"> </t>
    </r>
    <r>
      <rPr>
        <b/>
        <sz val="11"/>
        <color indexed="10"/>
        <rFont val="맑은 고딕"/>
        <family val="3"/>
        <charset val="129"/>
      </rPr>
      <t>* HW(기계장치) 및 SW(기타무형자산, 전산임차료) 소요자원 중 IT인프라 자원 포함 시, IT인프라팀과 사전협의 내용 반영하여 작성</t>
    </r>
    <phoneticPr fontId="2" type="noConversion"/>
  </si>
  <si>
    <t>소 계</t>
    <phoneticPr fontId="2" type="noConversion"/>
  </si>
  <si>
    <t>총 계</t>
    <phoneticPr fontId="2" type="noConversion"/>
  </si>
  <si>
    <t>대금지급주기
(월/분기/년)</t>
    <phoneticPr fontId="2" type="noConversion"/>
  </si>
  <si>
    <t>연간 소요예산
(부가세포함)</t>
    <phoneticPr fontId="2" type="noConversion"/>
  </si>
  <si>
    <t>IT인프라팀</t>
    <phoneticPr fontId="2" type="noConversion"/>
  </si>
  <si>
    <t>VDI 통합운영 스토리지</t>
  </si>
  <si>
    <t>관리 서버</t>
    <phoneticPr fontId="2" type="noConversion"/>
  </si>
  <si>
    <t xml:space="preserve">외부망 RPA
VDI 운영 서버 </t>
    <phoneticPr fontId="2" type="noConversion"/>
  </si>
  <si>
    <t>내부망 RPA
VDI 운영 서버</t>
    <phoneticPr fontId="2" type="noConversion"/>
  </si>
  <si>
    <t>내부망 VDI
운영 서버</t>
    <phoneticPr fontId="2" type="noConversion"/>
  </si>
  <si>
    <t xml:space="preserve"> Hypervisor 설치</t>
    <phoneticPr fontId="2" type="noConversion"/>
  </si>
  <si>
    <t xml:space="preserve"> 마스터 이미지 배포</t>
    <phoneticPr fontId="2" type="noConversion"/>
  </si>
  <si>
    <t>스마트워크 인프라(VDI) 고도화 사업</t>
    <phoneticPr fontId="2" type="noConversion"/>
  </si>
  <si>
    <t>VDI 통합운영 SAN 스위치</t>
  </si>
  <si>
    <t>Rack</t>
  </si>
  <si>
    <t>2,699백만원</t>
    <phoneticPr fontId="2" type="noConversion"/>
  </si>
  <si>
    <t>26/02</t>
    <phoneticPr fontId="2" type="noConversion"/>
  </si>
  <si>
    <t>26/06</t>
    <phoneticPr fontId="2" type="noConversion"/>
  </si>
  <si>
    <t>VDI운영서버용 스위치</t>
    <phoneticPr fontId="2" type="noConversion"/>
  </si>
  <si>
    <t>스마트워크 사용자 디지털 환경 개선을 위한 VDI 서버 노후화 교체</t>
    <phoneticPr fontId="2" type="noConversion"/>
  </si>
  <si>
    <t>업체견적</t>
    <phoneticPr fontId="2" type="noConversion"/>
  </si>
  <si>
    <t>2분기 중</t>
    <phoneticPr fontId="2" type="noConversion"/>
  </si>
  <si>
    <t>O</t>
    <phoneticPr fontId="2" type="noConversion"/>
  </si>
  <si>
    <t>X</t>
  </si>
  <si>
    <t xml:space="preserve"> 송미정 팀장</t>
    <phoneticPr fontId="2" type="noConversion"/>
  </si>
  <si>
    <t>이지영 대리</t>
    <phoneticPr fontId="2" type="noConversion"/>
  </si>
  <si>
    <t>○ VDI 성능개선을 위한 노후화 서버 교체 필요
○ RPA bot 증가에 따른 별도 클러스터 운영 필요</t>
    <phoneticPr fontId="2" type="noConversion"/>
  </si>
  <si>
    <t>○ 로컬PC대비 낮은 성능으로 인한 스마트오피스(스마트워크센터) VDI 이용직원의 불편함 지속</t>
    <phoneticPr fontId="2" type="noConversion"/>
  </si>
  <si>
    <t>○ VDI 성능 개선 및 RPA 운영환경 안정화</t>
    <phoneticPr fontId="2" type="noConversion"/>
  </si>
  <si>
    <t>○ 관리서버 4대 및 운영서버 34대 (총 1,616코어, 메모리 18,124GB) 운영 중</t>
    <phoneticPr fontId="2" type="noConversion"/>
  </si>
  <si>
    <t xml:space="preserve">사업범위 및 구축방안 검토를 위한 내부 요건 확인 중 </t>
  </si>
  <si>
    <t>IT기획부</t>
    <phoneticPr fontId="2" type="noConversion"/>
  </si>
  <si>
    <t>송미정</t>
    <phoneticPr fontId="2" type="noConversion"/>
  </si>
  <si>
    <t>박정현/김범주</t>
    <phoneticPr fontId="2" type="noConversion"/>
  </si>
  <si>
    <t>전무이사</t>
    <phoneticPr fontId="2" type="noConversion"/>
  </si>
  <si>
    <t>이지영/김현정</t>
    <phoneticPr fontId="2" type="noConversion"/>
  </si>
  <si>
    <t>○ ~ '25. 1 : 사업 범위 및 구축방안 검토
○ '25. 2 : 교체 일정 및 테스트 방안 수립
○ '25.3~5 : 사업품의 등 절차 진행
○ '25년 2분기 교체 및 운영</t>
    <phoneticPr fontId="2" type="noConversion"/>
  </si>
  <si>
    <t xml:space="preserve">○ 하남 전선서버실 내 現 운영 장비 교체
○ 디지털전략부(프로세스자동화팀) 요청에 따른 RPA 전용 내,외부망 별로 클러스터 구축 </t>
    <phoneticPr fontId="2" type="noConversion"/>
  </si>
  <si>
    <t>송미정 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</si>
</sst>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63"/>
      <name val="돋움"/>
      <family val="3"/>
      <charset val="129"/>
    </font>
    <font>
      <sz val="16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9"/>
      <name val="굴림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sz val="9"/>
      <name val="굴림"/>
      <family val="3"/>
      <charset val="129"/>
    </font>
    <font>
      <b/>
      <sz val="10"/>
      <color indexed="63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name val="돋움"/>
      <family val="3"/>
      <charset val="129"/>
    </font>
    <font>
      <sz val="11"/>
      <color rgb="FF0000CC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CC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6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5D5D5D"/>
      </left>
      <right/>
      <top style="thin">
        <color rgb="FF000000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indexed="64"/>
      </top>
      <bottom style="thin">
        <color theme="0" tint="-0.34998626667073579"/>
      </bottom>
      <diagonal/>
    </border>
    <border>
      <left style="thin">
        <color rgb="FF5D5D5D"/>
      </left>
      <right style="thin">
        <color rgb="FF5D5D5D"/>
      </right>
      <top/>
      <bottom style="thin">
        <color rgb="FF000000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 style="thin">
        <color rgb="FF5D5D5D"/>
      </bottom>
      <diagonal/>
    </border>
    <border>
      <left/>
      <right style="thin">
        <color rgb="FF000000"/>
      </right>
      <top style="thin">
        <color rgb="FF000000"/>
      </top>
      <bottom style="thin">
        <color rgb="FF5D5D5D"/>
      </bottom>
      <diagonal/>
    </border>
    <border>
      <left/>
      <right style="thin">
        <color rgb="FF000000"/>
      </right>
      <top/>
      <bottom style="thin">
        <color rgb="FF5D5D5D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5D5D5D"/>
      </right>
      <top style="thin">
        <color rgb="FF000000"/>
      </top>
      <bottom style="thin">
        <color rgb="FF5D5D5D"/>
      </bottom>
      <diagonal/>
    </border>
    <border>
      <left/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rgb="FF5D5D5D"/>
      </left>
      <right/>
      <top/>
      <bottom style="thin">
        <color rgb="FF000000"/>
      </bottom>
      <diagonal/>
    </border>
    <border>
      <left/>
      <right style="thin">
        <color rgb="FF5D5D5D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5D5D5D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5D5D5D"/>
      </right>
      <top style="thin">
        <color rgb="FF000000"/>
      </top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5D5D5D"/>
      </top>
      <bottom style="thin">
        <color rgb="FF5D5D5D"/>
      </bottom>
      <diagonal/>
    </border>
    <border>
      <left/>
      <right/>
      <top/>
      <bottom style="thin">
        <color rgb="FF5D5D5D"/>
      </bottom>
      <diagonal/>
    </border>
    <border>
      <left/>
      <right style="thin">
        <color rgb="FF000000"/>
      </right>
      <top style="thin">
        <color rgb="FF5D5D5D"/>
      </top>
      <bottom style="thin">
        <color rgb="FF5D5D5D"/>
      </bottom>
      <diagonal/>
    </border>
    <border>
      <left/>
      <right/>
      <top style="thin">
        <color rgb="FF5D5D5D"/>
      </top>
      <bottom/>
      <diagonal/>
    </border>
    <border>
      <left/>
      <right style="thin">
        <color rgb="FF000000"/>
      </right>
      <top style="thin">
        <color rgb="FF5D5D5D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2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41" fontId="17" fillId="2" borderId="1" xfId="1" applyFont="1" applyFill="1" applyBorder="1" applyAlignment="1">
      <alignment vertical="center"/>
    </xf>
    <xf numFmtId="41" fontId="17" fillId="2" borderId="1" xfId="1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shrinkToFit="1"/>
    </xf>
    <xf numFmtId="0" fontId="19" fillId="4" borderId="16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3" borderId="1" xfId="0" quotePrefix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41" fontId="18" fillId="5" borderId="1" xfId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right" vertical="center" wrapText="1"/>
    </xf>
    <xf numFmtId="0" fontId="20" fillId="6" borderId="0" xfId="0" applyFont="1" applyFill="1" applyBorder="1" applyAlignment="1">
      <alignment horizontal="left" vertical="center" wrapText="1"/>
    </xf>
    <xf numFmtId="0" fontId="20" fillId="6" borderId="0" xfId="0" applyFont="1" applyFill="1" applyBorder="1" applyAlignment="1">
      <alignment horizontal="left" vertical="center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left" vertical="center" shrinkToFit="1"/>
    </xf>
    <xf numFmtId="41" fontId="18" fillId="2" borderId="1" xfId="1" applyFont="1" applyFill="1" applyBorder="1" applyAlignment="1">
      <alignment vertical="center"/>
    </xf>
    <xf numFmtId="0" fontId="19" fillId="7" borderId="26" xfId="0" applyFont="1" applyFill="1" applyBorder="1" applyAlignment="1">
      <alignment horizontal="center" vertical="center" wrapText="1"/>
    </xf>
    <xf numFmtId="0" fontId="22" fillId="3" borderId="1" xfId="0" quotePrefix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23" fillId="0" borderId="27" xfId="0" applyFont="1" applyBorder="1" applyAlignment="1">
      <alignment horizontal="left" vertical="center" wrapText="1"/>
    </xf>
    <xf numFmtId="0" fontId="24" fillId="7" borderId="26" xfId="0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left" vertical="center" wrapText="1"/>
    </xf>
    <xf numFmtId="0" fontId="20" fillId="6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shrinkToFit="1"/>
    </xf>
    <xf numFmtId="0" fontId="25" fillId="3" borderId="2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shrinkToFit="1"/>
    </xf>
    <xf numFmtId="0" fontId="25" fillId="3" borderId="30" xfId="0" applyFont="1" applyFill="1" applyBorder="1" applyAlignment="1">
      <alignment horizontal="center" vertical="center" shrinkToFit="1"/>
    </xf>
    <xf numFmtId="0" fontId="2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41" fontId="17" fillId="5" borderId="1" xfId="1" applyFont="1" applyFill="1" applyBorder="1" applyAlignment="1">
      <alignment horizontal="center" vertical="center"/>
    </xf>
    <xf numFmtId="41" fontId="26" fillId="5" borderId="1" xfId="1" applyFont="1" applyFill="1" applyBorder="1" applyAlignment="1">
      <alignment horizontal="center" vertical="center"/>
    </xf>
    <xf numFmtId="41" fontId="27" fillId="5" borderId="1" xfId="1" applyFont="1" applyFill="1" applyBorder="1" applyAlignment="1">
      <alignment horizontal="center" vertical="center"/>
    </xf>
    <xf numFmtId="3" fontId="15" fillId="0" borderId="19" xfId="0" applyNumberFormat="1" applyFont="1" applyBorder="1" applyAlignment="1">
      <alignment horizontal="center" vertical="center" wrapText="1"/>
    </xf>
    <xf numFmtId="3" fontId="15" fillId="0" borderId="24" xfId="0" applyNumberFormat="1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3" fontId="15" fillId="0" borderId="21" xfId="0" applyNumberFormat="1" applyFont="1" applyBorder="1" applyAlignment="1">
      <alignment horizontal="center" vertical="center" wrapText="1"/>
    </xf>
    <xf numFmtId="3" fontId="15" fillId="0" borderId="34" xfId="0" applyNumberFormat="1" applyFont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19" fillId="7" borderId="36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41" fontId="18" fillId="2" borderId="9" xfId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/>
    </xf>
    <xf numFmtId="0" fontId="15" fillId="2" borderId="6" xfId="0" applyFont="1" applyFill="1" applyBorder="1" applyAlignment="1">
      <alignment horizontal="left" vertical="top"/>
    </xf>
    <xf numFmtId="0" fontId="15" fillId="2" borderId="13" xfId="0" applyFont="1" applyFill="1" applyBorder="1" applyAlignment="1">
      <alignment horizontal="left" vertical="top"/>
    </xf>
    <xf numFmtId="0" fontId="15" fillId="2" borderId="0" xfId="0" applyFont="1" applyFill="1" applyBorder="1" applyAlignment="1">
      <alignment horizontal="left" vertical="top"/>
    </xf>
    <xf numFmtId="0" fontId="15" fillId="2" borderId="10" xfId="0" applyFont="1" applyFill="1" applyBorder="1" applyAlignment="1">
      <alignment horizontal="left" vertical="top"/>
    </xf>
    <xf numFmtId="0" fontId="15" fillId="2" borderId="14" xfId="0" applyFont="1" applyFill="1" applyBorder="1" applyAlignment="1">
      <alignment horizontal="left" vertical="top"/>
    </xf>
    <xf numFmtId="0" fontId="15" fillId="2" borderId="15" xfId="0" applyFont="1" applyFill="1" applyBorder="1" applyAlignment="1">
      <alignment horizontal="left" vertical="top"/>
    </xf>
    <xf numFmtId="0" fontId="15" fillId="2" borderId="11" xfId="0" applyFont="1" applyFill="1" applyBorder="1" applyAlignment="1">
      <alignment horizontal="left" vertical="top"/>
    </xf>
    <xf numFmtId="0" fontId="15" fillId="2" borderId="7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15" fillId="2" borderId="13" xfId="0" applyFont="1" applyFill="1" applyBorder="1" applyAlignment="1">
      <alignment horizontal="left" vertical="top" wrapText="1"/>
    </xf>
    <xf numFmtId="0" fontId="15" fillId="2" borderId="0" xfId="0" applyFont="1" applyFill="1" applyBorder="1" applyAlignment="1">
      <alignment horizontal="left" vertical="top" wrapText="1"/>
    </xf>
    <xf numFmtId="0" fontId="15" fillId="2" borderId="10" xfId="0" applyFont="1" applyFill="1" applyBorder="1" applyAlignment="1">
      <alignment horizontal="left" vertical="top" wrapText="1"/>
    </xf>
    <xf numFmtId="0" fontId="15" fillId="2" borderId="14" xfId="0" applyFont="1" applyFill="1" applyBorder="1" applyAlignment="1">
      <alignment horizontal="left" vertical="top" wrapText="1"/>
    </xf>
    <xf numFmtId="0" fontId="15" fillId="2" borderId="15" xfId="0" applyFont="1" applyFill="1" applyBorder="1" applyAlignment="1">
      <alignment horizontal="left" vertical="top" wrapText="1"/>
    </xf>
    <xf numFmtId="0" fontId="15" fillId="2" borderId="11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41" fontId="18" fillId="5" borderId="3" xfId="1" applyFont="1" applyFill="1" applyBorder="1" applyAlignment="1">
      <alignment horizontal="center" vertical="center"/>
    </xf>
    <xf numFmtId="41" fontId="18" fillId="5" borderId="2" xfId="1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41" fontId="26" fillId="5" borderId="3" xfId="1" applyFont="1" applyFill="1" applyBorder="1" applyAlignment="1">
      <alignment horizontal="center" vertical="center"/>
    </xf>
    <xf numFmtId="41" fontId="26" fillId="5" borderId="2" xfId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28" fillId="8" borderId="41" xfId="0" applyFont="1" applyFill="1" applyBorder="1" applyAlignment="1">
      <alignment horizontal="center" vertical="center" wrapText="1"/>
    </xf>
    <xf numFmtId="0" fontId="28" fillId="8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20" fillId="6" borderId="39" xfId="0" applyFont="1" applyFill="1" applyBorder="1" applyAlignment="1">
      <alignment horizontal="left" vertical="center" wrapText="1"/>
    </xf>
    <xf numFmtId="0" fontId="20" fillId="6" borderId="0" xfId="0" applyFont="1" applyFill="1" applyBorder="1" applyAlignment="1">
      <alignment horizontal="left" vertical="center" wrapText="1"/>
    </xf>
    <xf numFmtId="0" fontId="20" fillId="6" borderId="40" xfId="0" applyFont="1" applyFill="1" applyBorder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 wrapText="1"/>
    </xf>
    <xf numFmtId="49" fontId="15" fillId="2" borderId="8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15" fillId="2" borderId="9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left" vertical="center"/>
    </xf>
    <xf numFmtId="0" fontId="28" fillId="8" borderId="5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12" xfId="0" applyFont="1" applyFill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4" borderId="43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center" vertical="center" wrapText="1"/>
    </xf>
    <xf numFmtId="0" fontId="19" fillId="4" borderId="45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48" xfId="0" applyFont="1" applyFill="1" applyBorder="1" applyAlignment="1">
      <alignment horizontal="center" vertical="center" wrapText="1"/>
    </xf>
    <xf numFmtId="0" fontId="19" fillId="3" borderId="42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</cellXfs>
  <cellStyles count="3">
    <cellStyle name="쉼표 [0]" xfId="1" builtinId="6"/>
    <cellStyle name="쉼표 [0] 2" xfId="2" xr:uid="{C5F6AA03-33EE-452B-9147-E03E959A1F6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933450</xdr:colOff>
          <xdr:row>18</xdr:row>
          <xdr:rowOff>31750</xdr:rowOff>
        </xdr:from>
        <xdr:to>
          <xdr:col>3</xdr:col>
          <xdr:colOff>654050</xdr:colOff>
          <xdr:row>18</xdr:row>
          <xdr:rowOff>234950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F87A83C2-62DD-58EE-8DA1-56E87281D4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18</xdr:row>
          <xdr:rowOff>31750</xdr:rowOff>
        </xdr:from>
        <xdr:to>
          <xdr:col>4</xdr:col>
          <xdr:colOff>768350</xdr:colOff>
          <xdr:row>18</xdr:row>
          <xdr:rowOff>247650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23DC8183-C6A9-2E56-C7FD-CC3929DFF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18</xdr:row>
          <xdr:rowOff>31750</xdr:rowOff>
        </xdr:from>
        <xdr:to>
          <xdr:col>5</xdr:col>
          <xdr:colOff>400050</xdr:colOff>
          <xdr:row>18</xdr:row>
          <xdr:rowOff>234950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BBF2AF49-6F70-9BAE-01A1-91BCD7784E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18</xdr:row>
          <xdr:rowOff>31750</xdr:rowOff>
        </xdr:from>
        <xdr:to>
          <xdr:col>6</xdr:col>
          <xdr:colOff>698500</xdr:colOff>
          <xdr:row>18</xdr:row>
          <xdr:rowOff>247650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FBE2C48A-1951-908C-506B-A36D87ED4D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806450</xdr:colOff>
          <xdr:row>18</xdr:row>
          <xdr:rowOff>31750</xdr:rowOff>
        </xdr:from>
        <xdr:to>
          <xdr:col>7</xdr:col>
          <xdr:colOff>584200</xdr:colOff>
          <xdr:row>18</xdr:row>
          <xdr:rowOff>234950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6C969D67-B9DF-7BF5-8CFA-9D96CE25CF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717550</xdr:colOff>
          <xdr:row>18</xdr:row>
          <xdr:rowOff>31750</xdr:rowOff>
        </xdr:from>
        <xdr:to>
          <xdr:col>8</xdr:col>
          <xdr:colOff>203200</xdr:colOff>
          <xdr:row>18</xdr:row>
          <xdr:rowOff>234950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8A75106B-F95C-6913-4607-6C6A5F374D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825500</xdr:colOff>
          <xdr:row>19</xdr:row>
          <xdr:rowOff>12700</xdr:rowOff>
        </xdr:from>
        <xdr:to>
          <xdr:col>3</xdr:col>
          <xdr:colOff>774700</xdr:colOff>
          <xdr:row>19</xdr:row>
          <xdr:rowOff>228600</xdr:rowOff>
        </xdr:to>
        <xdr:sp macro="" textlink="">
          <xdr:nvSpPr>
            <xdr:cNvPr id="7192" name="Check Box 24" descr="신규 개발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1F2212C8-2141-E07D-759D-07EDAB37C1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19</xdr:row>
          <xdr:rowOff>12700</xdr:rowOff>
        </xdr:from>
        <xdr:to>
          <xdr:col>5</xdr:col>
          <xdr:colOff>368300</xdr:colOff>
          <xdr:row>19</xdr:row>
          <xdr:rowOff>234950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476BF40D-CC26-E70A-0A0E-53C2DEAD31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19</xdr:row>
          <xdr:rowOff>12700</xdr:rowOff>
        </xdr:from>
        <xdr:to>
          <xdr:col>7</xdr:col>
          <xdr:colOff>622300</xdr:colOff>
          <xdr:row>19</xdr:row>
          <xdr:rowOff>228600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9BB1FA9E-70E7-A05F-F9E7-79B179A63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19</xdr:row>
          <xdr:rowOff>31750</xdr:rowOff>
        </xdr:from>
        <xdr:to>
          <xdr:col>6</xdr:col>
          <xdr:colOff>355600</xdr:colOff>
          <xdr:row>19</xdr:row>
          <xdr:rowOff>234950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CE0FBE0F-7FC6-EFD2-ED4C-36E969E66B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12700</xdr:rowOff>
        </xdr:from>
        <xdr:to>
          <xdr:col>3</xdr:col>
          <xdr:colOff>685800</xdr:colOff>
          <xdr:row>21</xdr:row>
          <xdr:rowOff>228600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636BEF74-C0F8-0808-5FF6-6392FB09C5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21</xdr:row>
          <xdr:rowOff>12700</xdr:rowOff>
        </xdr:from>
        <xdr:to>
          <xdr:col>4</xdr:col>
          <xdr:colOff>717550</xdr:colOff>
          <xdr:row>21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E582EBB2-1188-C490-D2AB-F12E3868C5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793750</xdr:colOff>
          <xdr:row>21</xdr:row>
          <xdr:rowOff>12700</xdr:rowOff>
        </xdr:from>
        <xdr:to>
          <xdr:col>5</xdr:col>
          <xdr:colOff>673100</xdr:colOff>
          <xdr:row>21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A6CDF224-698C-322E-4EF8-B066F32879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</xdr:colOff>
          <xdr:row>21</xdr:row>
          <xdr:rowOff>12700</xdr:rowOff>
        </xdr:from>
        <xdr:to>
          <xdr:col>7</xdr:col>
          <xdr:colOff>495300</xdr:colOff>
          <xdr:row>21</xdr:row>
          <xdr:rowOff>228600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ABD08A94-CD8F-50B0-CE03-1994D726C2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12700</xdr:rowOff>
        </xdr:from>
        <xdr:to>
          <xdr:col>4</xdr:col>
          <xdr:colOff>342900</xdr:colOff>
          <xdr:row>26</xdr:row>
          <xdr:rowOff>228600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18D74620-FD4D-36FC-3071-D3DD9E8A22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463550</xdr:colOff>
          <xdr:row>26</xdr:row>
          <xdr:rowOff>12700</xdr:rowOff>
        </xdr:from>
        <xdr:to>
          <xdr:col>9</xdr:col>
          <xdr:colOff>501650</xdr:colOff>
          <xdr:row>26</xdr:row>
          <xdr:rowOff>228600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A0387B1E-6B21-9E74-14DE-8847321946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215900</xdr:colOff>
          <xdr:row>26</xdr:row>
          <xdr:rowOff>12700</xdr:rowOff>
        </xdr:from>
        <xdr:to>
          <xdr:col>7</xdr:col>
          <xdr:colOff>565150</xdr:colOff>
          <xdr:row>26</xdr:row>
          <xdr:rowOff>228600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DA6998B0-A773-3E56-E3E4-242B719800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825500</xdr:colOff>
          <xdr:row>20</xdr:row>
          <xdr:rowOff>31750</xdr:rowOff>
        </xdr:from>
        <xdr:to>
          <xdr:col>3</xdr:col>
          <xdr:colOff>704850</xdr:colOff>
          <xdr:row>20</xdr:row>
          <xdr:rowOff>234950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C0F0DE59-3C74-800A-70B8-2CA039FEB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31750</xdr:colOff>
          <xdr:row>20</xdr:row>
          <xdr:rowOff>31750</xdr:rowOff>
        </xdr:from>
        <xdr:to>
          <xdr:col>4</xdr:col>
          <xdr:colOff>527050</xdr:colOff>
          <xdr:row>20</xdr:row>
          <xdr:rowOff>247650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DF18E329-EEF5-ACFD-B6F9-30C83616B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781050</xdr:colOff>
          <xdr:row>20</xdr:row>
          <xdr:rowOff>31750</xdr:rowOff>
        </xdr:from>
        <xdr:to>
          <xdr:col>5</xdr:col>
          <xdr:colOff>495300</xdr:colOff>
          <xdr:row>20</xdr:row>
          <xdr:rowOff>234950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4314ECD2-8EF5-F3E8-9924-FD473C2F1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12700</xdr:colOff>
          <xdr:row>20</xdr:row>
          <xdr:rowOff>31750</xdr:rowOff>
        </xdr:from>
        <xdr:to>
          <xdr:col>7</xdr:col>
          <xdr:colOff>127000</xdr:colOff>
          <xdr:row>20</xdr:row>
          <xdr:rowOff>234950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600178A0-4DBE-3D5C-501D-70F2985B6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22</xdr:row>
          <xdr:rowOff>25400</xdr:rowOff>
        </xdr:from>
        <xdr:to>
          <xdr:col>4</xdr:col>
          <xdr:colOff>260350</xdr:colOff>
          <xdr:row>22</xdr:row>
          <xdr:rowOff>228600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7934D51-AB1D-3552-812E-01D400FE8D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584200</xdr:colOff>
          <xdr:row>22</xdr:row>
          <xdr:rowOff>25400</xdr:rowOff>
        </xdr:from>
        <xdr:to>
          <xdr:col>5</xdr:col>
          <xdr:colOff>438150</xdr:colOff>
          <xdr:row>22</xdr:row>
          <xdr:rowOff>228600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A6D00452-D2DF-3E82-AD0D-21FEEE6A50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6350</xdr:colOff>
          <xdr:row>22</xdr:row>
          <xdr:rowOff>25400</xdr:rowOff>
        </xdr:from>
        <xdr:to>
          <xdr:col>8</xdr:col>
          <xdr:colOff>101600</xdr:colOff>
          <xdr:row>22</xdr:row>
          <xdr:rowOff>228600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84368284-4D48-0EB2-3479-914A8C5AAD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2026년 이내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22</xdr:row>
          <xdr:rowOff>25400</xdr:rowOff>
        </xdr:from>
        <xdr:to>
          <xdr:col>8</xdr:col>
          <xdr:colOff>908050</xdr:colOff>
          <xdr:row>22</xdr:row>
          <xdr:rowOff>228600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22FB6BF9-5916-CEC7-01FE-4A5F679B52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2026년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20</xdr:row>
          <xdr:rowOff>31750</xdr:rowOff>
        </xdr:from>
        <xdr:to>
          <xdr:col>8</xdr:col>
          <xdr:colOff>203200</xdr:colOff>
          <xdr:row>20</xdr:row>
          <xdr:rowOff>234950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6971467A-517F-EB12-AF7A-094853F64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63500</xdr:colOff>
          <xdr:row>20</xdr:row>
          <xdr:rowOff>31750</xdr:rowOff>
        </xdr:from>
        <xdr:to>
          <xdr:col>9</xdr:col>
          <xdr:colOff>266700</xdr:colOff>
          <xdr:row>20</xdr:row>
          <xdr:rowOff>234950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FF1A9C72-D0BE-2190-1E99-63DA0F0BB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44450</xdr:colOff>
          <xdr:row>20</xdr:row>
          <xdr:rowOff>12700</xdr:rowOff>
        </xdr:from>
        <xdr:to>
          <xdr:col>10</xdr:col>
          <xdr:colOff>158750</xdr:colOff>
          <xdr:row>20</xdr:row>
          <xdr:rowOff>234950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30D3DF10-F0EC-DA88-12F2-12343215D2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19</xdr:row>
          <xdr:rowOff>12700</xdr:rowOff>
        </xdr:from>
        <xdr:to>
          <xdr:col>9</xdr:col>
          <xdr:colOff>793750</xdr:colOff>
          <xdr:row>19</xdr:row>
          <xdr:rowOff>228600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2131398B-BEDD-8045-793B-C3F45E0E4D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501650</xdr:colOff>
          <xdr:row>18</xdr:row>
          <xdr:rowOff>31750</xdr:rowOff>
        </xdr:from>
        <xdr:to>
          <xdr:col>9</xdr:col>
          <xdr:colOff>774700</xdr:colOff>
          <xdr:row>18</xdr:row>
          <xdr:rowOff>234950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9A430718-F499-93EB-D679-4F8ECDBE95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12700</xdr:rowOff>
        </xdr:from>
        <xdr:to>
          <xdr:col>4</xdr:col>
          <xdr:colOff>495300</xdr:colOff>
          <xdr:row>25</xdr:row>
          <xdr:rowOff>228600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D2260E9D-50E6-2CA0-06A8-9F99825B7C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463550</xdr:colOff>
          <xdr:row>25</xdr:row>
          <xdr:rowOff>31750</xdr:rowOff>
        </xdr:from>
        <xdr:to>
          <xdr:col>5</xdr:col>
          <xdr:colOff>533400</xdr:colOff>
          <xdr:row>25</xdr:row>
          <xdr:rowOff>234950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F9FD1FF1-3430-B34C-7AE8-72A924B495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717550</xdr:colOff>
          <xdr:row>25</xdr:row>
          <xdr:rowOff>31750</xdr:rowOff>
        </xdr:from>
        <xdr:to>
          <xdr:col>7</xdr:col>
          <xdr:colOff>381000</xdr:colOff>
          <xdr:row>25</xdr:row>
          <xdr:rowOff>234950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6DFC59DB-79DD-7FFC-DDED-6DC855E35D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22</xdr:row>
          <xdr:rowOff>6350</xdr:rowOff>
        </xdr:from>
        <xdr:to>
          <xdr:col>9</xdr:col>
          <xdr:colOff>882650</xdr:colOff>
          <xdr:row>22</xdr:row>
          <xdr:rowOff>228600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B3D3549C-F121-124C-E3DA-4EFEBB81F6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12700</xdr:rowOff>
        </xdr:from>
        <xdr:to>
          <xdr:col>8</xdr:col>
          <xdr:colOff>730250</xdr:colOff>
          <xdr:row>19</xdr:row>
          <xdr:rowOff>228600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E6D2152F-596F-64CE-E5CF-02DB1C0D6D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654050</xdr:colOff>
          <xdr:row>26</xdr:row>
          <xdr:rowOff>12700</xdr:rowOff>
        </xdr:from>
        <xdr:to>
          <xdr:col>8</xdr:col>
          <xdr:colOff>190500</xdr:colOff>
          <xdr:row>26</xdr:row>
          <xdr:rowOff>228600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9179EF91-26A0-06D9-B197-685B3DDCE6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317500</xdr:colOff>
          <xdr:row>26</xdr:row>
          <xdr:rowOff>12700</xdr:rowOff>
        </xdr:from>
        <xdr:to>
          <xdr:col>8</xdr:col>
          <xdr:colOff>806450</xdr:colOff>
          <xdr:row>26</xdr:row>
          <xdr:rowOff>234950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62109070-FFA8-B69E-50F6-1150E8DF15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6</xdr:row>
          <xdr:rowOff>0</xdr:rowOff>
        </xdr:from>
        <xdr:to>
          <xdr:col>3</xdr:col>
          <xdr:colOff>711200</xdr:colOff>
          <xdr:row>7</xdr:row>
          <xdr:rowOff>38100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2A682192-81D5-8528-9CBA-35B8EE2C0D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</xdr:row>
          <xdr:rowOff>330200</xdr:rowOff>
        </xdr:from>
        <xdr:to>
          <xdr:col>3</xdr:col>
          <xdr:colOff>1409700</xdr:colOff>
          <xdr:row>7</xdr:row>
          <xdr:rowOff>31750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68C73326-DDE6-14C5-91FF-A0C5EB76E2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1568450</xdr:colOff>
          <xdr:row>6</xdr:row>
          <xdr:rowOff>0</xdr:rowOff>
        </xdr:from>
        <xdr:to>
          <xdr:col>3</xdr:col>
          <xdr:colOff>2178050</xdr:colOff>
          <xdr:row>7</xdr:row>
          <xdr:rowOff>38100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68C2C100-D0C2-C417-66A2-7666E8D8FC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6</xdr:row>
          <xdr:rowOff>0</xdr:rowOff>
        </xdr:from>
        <xdr:to>
          <xdr:col>4</xdr:col>
          <xdr:colOff>742950</xdr:colOff>
          <xdr:row>7</xdr:row>
          <xdr:rowOff>38100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F1416EBA-226C-DC06-CA5F-A237E49E2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6</xdr:row>
          <xdr:rowOff>0</xdr:rowOff>
        </xdr:from>
        <xdr:to>
          <xdr:col>5</xdr:col>
          <xdr:colOff>514350</xdr:colOff>
          <xdr:row>7</xdr:row>
          <xdr:rowOff>38100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F7221B9D-B708-23AC-5837-FC0A6DA3B2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6</xdr:row>
          <xdr:rowOff>0</xdr:rowOff>
        </xdr:from>
        <xdr:to>
          <xdr:col>6</xdr:col>
          <xdr:colOff>336550</xdr:colOff>
          <xdr:row>7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E29CDDCE-625E-96FF-530E-13066E8BB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38100</xdr:rowOff>
        </xdr:from>
        <xdr:to>
          <xdr:col>3</xdr:col>
          <xdr:colOff>679450</xdr:colOff>
          <xdr:row>7</xdr:row>
          <xdr:rowOff>355600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47FF9804-2A1A-88DC-C1C5-A6A0D267B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831850</xdr:colOff>
          <xdr:row>7</xdr:row>
          <xdr:rowOff>38100</xdr:rowOff>
        </xdr:from>
        <xdr:to>
          <xdr:col>3</xdr:col>
          <xdr:colOff>1428750</xdr:colOff>
          <xdr:row>7</xdr:row>
          <xdr:rowOff>355600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46110B48-F86F-869C-8E3F-DEDE71A690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1568450</xdr:colOff>
          <xdr:row>7</xdr:row>
          <xdr:rowOff>38100</xdr:rowOff>
        </xdr:from>
        <xdr:to>
          <xdr:col>3</xdr:col>
          <xdr:colOff>2165350</xdr:colOff>
          <xdr:row>7</xdr:row>
          <xdr:rowOff>349250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4D8991B2-623F-AC09-8E6F-52CFEE43FA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63500</xdr:colOff>
          <xdr:row>7</xdr:row>
          <xdr:rowOff>38100</xdr:rowOff>
        </xdr:from>
        <xdr:to>
          <xdr:col>4</xdr:col>
          <xdr:colOff>781050</xdr:colOff>
          <xdr:row>7</xdr:row>
          <xdr:rowOff>355600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F3B555AF-2DBE-923C-0C47-5F81FC97D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7</xdr:row>
          <xdr:rowOff>38100</xdr:rowOff>
        </xdr:from>
        <xdr:to>
          <xdr:col>5</xdr:col>
          <xdr:colOff>673100</xdr:colOff>
          <xdr:row>7</xdr:row>
          <xdr:rowOff>368300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2CD4FA59-CFA6-C55B-72B3-DDE0F999E7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749300</xdr:colOff>
          <xdr:row>7</xdr:row>
          <xdr:rowOff>38100</xdr:rowOff>
        </xdr:from>
        <xdr:to>
          <xdr:col>6</xdr:col>
          <xdr:colOff>666750</xdr:colOff>
          <xdr:row>7</xdr:row>
          <xdr:rowOff>368300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7CFCA6E-A918-63A4-4561-8F94E8260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0B19-4AC6-493C-97C4-3E62D13E37CA}">
  <sheetPr codeName="Sheet1">
    <tabColor theme="4"/>
    <pageSetUpPr fitToPage="1"/>
  </sheetPr>
  <dimension ref="A1:J38"/>
  <sheetViews>
    <sheetView tabSelected="1" view="pageBreakPreview" zoomScaleNormal="100" zoomScaleSheetLayoutView="100" workbookViewId="0">
      <selection activeCell="K8" sqref="K8"/>
    </sheetView>
  </sheetViews>
  <sheetFormatPr defaultColWidth="8.9140625" defaultRowHeight="13"/>
  <cols>
    <col min="1" max="1" width="9.9140625" style="1" customWidth="1"/>
    <col min="2" max="2" width="14.9140625" style="1" customWidth="1"/>
    <col min="3" max="6" width="10.83203125" style="1" customWidth="1"/>
    <col min="7" max="7" width="12" style="1" customWidth="1"/>
    <col min="8" max="8" width="10.83203125" style="1" customWidth="1"/>
    <col min="9" max="9" width="12.9140625" style="1" customWidth="1"/>
    <col min="10" max="10" width="14" style="1" customWidth="1"/>
    <col min="11" max="16384" width="8.9140625" style="1"/>
  </cols>
  <sheetData>
    <row r="1" spans="1:10" s="3" customFormat="1" ht="30" customHeight="1">
      <c r="A1" s="122" t="s">
        <v>50</v>
      </c>
      <c r="B1" s="123"/>
      <c r="C1" s="123"/>
      <c r="D1" s="123"/>
      <c r="E1" s="123"/>
      <c r="F1" s="123"/>
      <c r="G1" s="123"/>
      <c r="H1" s="123"/>
      <c r="I1" s="123"/>
      <c r="J1" s="124"/>
    </row>
    <row r="2" spans="1:10" s="3" customFormat="1" ht="17.25" customHeight="1">
      <c r="A2" s="28"/>
      <c r="B2" s="38"/>
      <c r="C2" s="28"/>
      <c r="D2" s="28"/>
      <c r="E2" s="28"/>
      <c r="F2" s="28"/>
      <c r="G2" s="30" t="s">
        <v>66</v>
      </c>
      <c r="H2" s="31" t="s">
        <v>115</v>
      </c>
      <c r="I2" s="30" t="s">
        <v>67</v>
      </c>
      <c r="J2" s="31" t="s">
        <v>102</v>
      </c>
    </row>
    <row r="3" spans="1:10" s="2" customFormat="1" ht="41.25" customHeight="1">
      <c r="A3" s="111" t="s">
        <v>0</v>
      </c>
      <c r="B3" s="112"/>
      <c r="C3" s="72" t="s">
        <v>89</v>
      </c>
      <c r="D3" s="73"/>
      <c r="E3" s="73"/>
      <c r="F3" s="73"/>
      <c r="G3" s="73"/>
      <c r="H3" s="73"/>
      <c r="I3" s="73"/>
      <c r="J3" s="74"/>
    </row>
    <row r="4" spans="1:10" s="2" customFormat="1" ht="23.25" customHeight="1">
      <c r="A4" s="67" t="s">
        <v>14</v>
      </c>
      <c r="B4" s="67"/>
      <c r="C4" s="40" t="s">
        <v>20</v>
      </c>
      <c r="D4" s="113" t="s">
        <v>96</v>
      </c>
      <c r="E4" s="114"/>
      <c r="F4" s="114"/>
      <c r="G4" s="114"/>
      <c r="H4" s="114"/>
      <c r="I4" s="114"/>
      <c r="J4" s="115"/>
    </row>
    <row r="5" spans="1:10" ht="50.25" customHeight="1">
      <c r="A5" s="67"/>
      <c r="B5" s="67"/>
      <c r="C5" s="41" t="s">
        <v>21</v>
      </c>
      <c r="D5" s="116" t="s">
        <v>106</v>
      </c>
      <c r="E5" s="117"/>
      <c r="F5" s="117"/>
      <c r="G5" s="117"/>
      <c r="H5" s="117"/>
      <c r="I5" s="117"/>
      <c r="J5" s="118"/>
    </row>
    <row r="6" spans="1:10" ht="54.75" customHeight="1">
      <c r="A6" s="67"/>
      <c r="B6" s="67"/>
      <c r="C6" s="41" t="s">
        <v>65</v>
      </c>
      <c r="D6" s="72" t="s">
        <v>103</v>
      </c>
      <c r="E6" s="114"/>
      <c r="F6" s="114"/>
      <c r="G6" s="114"/>
      <c r="H6" s="114"/>
      <c r="I6" s="114"/>
      <c r="J6" s="115"/>
    </row>
    <row r="7" spans="1:10" ht="48" customHeight="1">
      <c r="A7" s="67"/>
      <c r="B7" s="67"/>
      <c r="C7" s="41" t="s">
        <v>64</v>
      </c>
      <c r="D7" s="72" t="s">
        <v>105</v>
      </c>
      <c r="E7" s="73"/>
      <c r="F7" s="73"/>
      <c r="G7" s="73"/>
      <c r="H7" s="73"/>
      <c r="I7" s="73"/>
      <c r="J7" s="74"/>
    </row>
    <row r="8" spans="1:10" ht="40.5" customHeight="1">
      <c r="A8" s="67"/>
      <c r="B8" s="67"/>
      <c r="C8" s="40" t="s">
        <v>22</v>
      </c>
      <c r="D8" s="113" t="s">
        <v>104</v>
      </c>
      <c r="E8" s="114"/>
      <c r="F8" s="114"/>
      <c r="G8" s="114"/>
      <c r="H8" s="114"/>
      <c r="I8" s="114"/>
      <c r="J8" s="115"/>
    </row>
    <row r="9" spans="1:10" ht="20.149999999999999" customHeight="1">
      <c r="A9" s="67" t="s">
        <v>56</v>
      </c>
      <c r="B9" s="67"/>
      <c r="C9" s="75" t="s">
        <v>114</v>
      </c>
      <c r="D9" s="76"/>
      <c r="E9" s="76"/>
      <c r="F9" s="76"/>
      <c r="G9" s="76"/>
      <c r="H9" s="76"/>
      <c r="I9" s="76"/>
      <c r="J9" s="77"/>
    </row>
    <row r="10" spans="1:10" ht="20.149999999999999" customHeight="1">
      <c r="A10" s="67"/>
      <c r="B10" s="67"/>
      <c r="C10" s="78"/>
      <c r="D10" s="79"/>
      <c r="E10" s="79"/>
      <c r="F10" s="79"/>
      <c r="G10" s="79"/>
      <c r="H10" s="79"/>
      <c r="I10" s="79"/>
      <c r="J10" s="80"/>
    </row>
    <row r="11" spans="1:10" ht="20.149999999999999" customHeight="1">
      <c r="A11" s="67"/>
      <c r="B11" s="67"/>
      <c r="C11" s="78"/>
      <c r="D11" s="79"/>
      <c r="E11" s="79"/>
      <c r="F11" s="79"/>
      <c r="G11" s="79"/>
      <c r="H11" s="79"/>
      <c r="I11" s="79"/>
      <c r="J11" s="80"/>
    </row>
    <row r="12" spans="1:10" ht="20.149999999999999" customHeight="1">
      <c r="A12" s="67"/>
      <c r="B12" s="67"/>
      <c r="C12" s="78"/>
      <c r="D12" s="79"/>
      <c r="E12" s="79"/>
      <c r="F12" s="79"/>
      <c r="G12" s="79"/>
      <c r="H12" s="79"/>
      <c r="I12" s="79"/>
      <c r="J12" s="80"/>
    </row>
    <row r="13" spans="1:10" ht="20.149999999999999" customHeight="1">
      <c r="A13" s="67"/>
      <c r="B13" s="67"/>
      <c r="C13" s="78"/>
      <c r="D13" s="79"/>
      <c r="E13" s="79"/>
      <c r="F13" s="79"/>
      <c r="G13" s="79"/>
      <c r="H13" s="79"/>
      <c r="I13" s="79"/>
      <c r="J13" s="80"/>
    </row>
    <row r="14" spans="1:10" ht="20.149999999999999" customHeight="1">
      <c r="A14" s="67"/>
      <c r="B14" s="67"/>
      <c r="C14" s="78"/>
      <c r="D14" s="79"/>
      <c r="E14" s="79"/>
      <c r="F14" s="79"/>
      <c r="G14" s="79"/>
      <c r="H14" s="79"/>
      <c r="I14" s="79"/>
      <c r="J14" s="80"/>
    </row>
    <row r="15" spans="1:10" ht="27" customHeight="1">
      <c r="A15" s="67"/>
      <c r="B15" s="67"/>
      <c r="C15" s="81"/>
      <c r="D15" s="82"/>
      <c r="E15" s="82"/>
      <c r="F15" s="82"/>
      <c r="G15" s="82"/>
      <c r="H15" s="82"/>
      <c r="I15" s="82"/>
      <c r="J15" s="83"/>
    </row>
    <row r="16" spans="1:10" ht="27" customHeight="1">
      <c r="A16" s="139" t="s">
        <v>40</v>
      </c>
      <c r="B16" s="139"/>
      <c r="C16" s="140" t="s">
        <v>38</v>
      </c>
      <c r="D16" s="75" t="s">
        <v>107</v>
      </c>
      <c r="E16" s="84"/>
      <c r="F16" s="85"/>
      <c r="G16" s="119" t="s">
        <v>39</v>
      </c>
      <c r="H16" s="92" t="s">
        <v>113</v>
      </c>
      <c r="I16" s="93"/>
      <c r="J16" s="94"/>
    </row>
    <row r="17" spans="1:10" ht="27" customHeight="1">
      <c r="A17" s="139"/>
      <c r="B17" s="139"/>
      <c r="C17" s="141"/>
      <c r="D17" s="86"/>
      <c r="E17" s="87"/>
      <c r="F17" s="88"/>
      <c r="G17" s="120"/>
      <c r="H17" s="95"/>
      <c r="I17" s="96"/>
      <c r="J17" s="97"/>
    </row>
    <row r="18" spans="1:10" ht="22.5" customHeight="1">
      <c r="A18" s="139"/>
      <c r="B18" s="139"/>
      <c r="C18" s="142"/>
      <c r="D18" s="89"/>
      <c r="E18" s="90"/>
      <c r="F18" s="91"/>
      <c r="G18" s="121"/>
      <c r="H18" s="98"/>
      <c r="I18" s="99"/>
      <c r="J18" s="100"/>
    </row>
    <row r="19" spans="1:10" ht="20.149999999999999" customHeight="1">
      <c r="A19" s="67" t="s">
        <v>27</v>
      </c>
      <c r="B19" s="67"/>
      <c r="C19" s="42" t="s">
        <v>9</v>
      </c>
      <c r="D19" s="127"/>
      <c r="E19" s="128"/>
      <c r="F19" s="128"/>
      <c r="G19" s="128"/>
      <c r="H19" s="128"/>
      <c r="I19" s="128"/>
      <c r="J19" s="129"/>
    </row>
    <row r="20" spans="1:10" ht="20.149999999999999" customHeight="1">
      <c r="A20" s="67"/>
      <c r="B20" s="67"/>
      <c r="C20" s="42" t="s">
        <v>1</v>
      </c>
      <c r="D20" s="127"/>
      <c r="E20" s="128"/>
      <c r="F20" s="128"/>
      <c r="G20" s="128"/>
      <c r="H20" s="128"/>
      <c r="I20" s="128"/>
      <c r="J20" s="129"/>
    </row>
    <row r="21" spans="1:10" ht="20.149999999999999" customHeight="1">
      <c r="A21" s="67"/>
      <c r="B21" s="67"/>
      <c r="C21" s="43" t="s">
        <v>52</v>
      </c>
      <c r="D21" s="6"/>
      <c r="E21" s="6"/>
      <c r="F21" s="6"/>
      <c r="G21" s="6"/>
      <c r="H21" s="6"/>
      <c r="I21" s="6"/>
      <c r="J21" s="7"/>
    </row>
    <row r="22" spans="1:10" ht="20.149999999999999" customHeight="1">
      <c r="A22" s="67"/>
      <c r="B22" s="67"/>
      <c r="C22" s="44" t="s">
        <v>2</v>
      </c>
      <c r="D22" s="138"/>
      <c r="E22" s="128"/>
      <c r="F22" s="128"/>
      <c r="G22" s="128"/>
      <c r="H22" s="128"/>
      <c r="I22" s="128"/>
      <c r="J22" s="129"/>
    </row>
    <row r="23" spans="1:10" ht="19.5" customHeight="1">
      <c r="A23" s="67" t="s">
        <v>41</v>
      </c>
      <c r="B23" s="67"/>
      <c r="C23" s="45" t="s">
        <v>51</v>
      </c>
      <c r="D23" s="131"/>
      <c r="E23" s="132"/>
      <c r="F23" s="133"/>
      <c r="G23" s="13" t="s">
        <v>28</v>
      </c>
      <c r="H23" s="131"/>
      <c r="I23" s="132"/>
      <c r="J23" s="133"/>
    </row>
    <row r="24" spans="1:10" ht="20.149999999999999" customHeight="1">
      <c r="A24" s="67" t="s">
        <v>42</v>
      </c>
      <c r="B24" s="67"/>
      <c r="C24" s="46" t="s">
        <v>23</v>
      </c>
      <c r="D24" s="134" t="s">
        <v>108</v>
      </c>
      <c r="E24" s="135"/>
      <c r="F24" s="17" t="s">
        <v>43</v>
      </c>
      <c r="G24" s="125" t="s">
        <v>109</v>
      </c>
      <c r="H24" s="126"/>
      <c r="I24" s="4" t="s">
        <v>48</v>
      </c>
      <c r="J24" s="63" t="s">
        <v>109</v>
      </c>
    </row>
    <row r="25" spans="1:10" ht="20.149999999999999" customHeight="1">
      <c r="A25" s="67"/>
      <c r="B25" s="67"/>
      <c r="C25" s="47" t="s">
        <v>44</v>
      </c>
      <c r="D25" s="152" t="s">
        <v>81</v>
      </c>
      <c r="E25" s="126"/>
      <c r="F25" s="4" t="s">
        <v>47</v>
      </c>
      <c r="G25" s="125" t="s">
        <v>112</v>
      </c>
      <c r="H25" s="126"/>
      <c r="I25" s="11" t="s">
        <v>49</v>
      </c>
      <c r="J25" s="66" t="s">
        <v>110</v>
      </c>
    </row>
    <row r="26" spans="1:10" ht="20.149999999999999" customHeight="1">
      <c r="A26" s="67" t="s">
        <v>57</v>
      </c>
      <c r="B26" s="67"/>
      <c r="C26" s="47" t="s">
        <v>58</v>
      </c>
      <c r="D26" s="152"/>
      <c r="E26" s="153"/>
      <c r="F26" s="153"/>
      <c r="G26" s="153"/>
      <c r="H26" s="126"/>
      <c r="I26" s="11" t="s">
        <v>59</v>
      </c>
      <c r="J26" s="5" t="s">
        <v>111</v>
      </c>
    </row>
    <row r="27" spans="1:10" ht="20.149999999999999" customHeight="1">
      <c r="A27" s="67" t="s">
        <v>53</v>
      </c>
      <c r="B27" s="67"/>
      <c r="C27" s="47" t="s">
        <v>54</v>
      </c>
      <c r="D27" s="152"/>
      <c r="E27" s="153"/>
      <c r="F27" s="153"/>
      <c r="G27" s="153"/>
      <c r="H27" s="153"/>
      <c r="I27" s="153"/>
      <c r="J27" s="126"/>
    </row>
    <row r="28" spans="1:10" ht="20.149999999999999" customHeight="1">
      <c r="A28" s="67" t="s">
        <v>45</v>
      </c>
      <c r="B28" s="67"/>
      <c r="C28" s="136" t="s">
        <v>12</v>
      </c>
      <c r="D28" s="146" t="s">
        <v>93</v>
      </c>
      <c r="E28" s="143" t="s">
        <v>13</v>
      </c>
      <c r="F28" s="146" t="s">
        <v>94</v>
      </c>
      <c r="G28" s="70" t="s">
        <v>10</v>
      </c>
      <c r="H28" s="150" t="s">
        <v>37</v>
      </c>
      <c r="I28" s="151"/>
      <c r="J28" s="27" t="s">
        <v>92</v>
      </c>
    </row>
    <row r="29" spans="1:10" ht="20.149999999999999" customHeight="1">
      <c r="A29" s="67"/>
      <c r="B29" s="67"/>
      <c r="C29" s="137"/>
      <c r="D29" s="147"/>
      <c r="E29" s="144"/>
      <c r="F29" s="147"/>
      <c r="G29" s="71"/>
      <c r="H29" s="148" t="s">
        <v>71</v>
      </c>
      <c r="I29" s="149"/>
      <c r="J29" s="27" t="s">
        <v>92</v>
      </c>
    </row>
    <row r="30" spans="1:10" ht="37.5" customHeight="1">
      <c r="A30" s="67" t="s">
        <v>46</v>
      </c>
      <c r="B30" s="67"/>
      <c r="C30" s="48" t="s">
        <v>15</v>
      </c>
      <c r="D30" s="8" t="s">
        <v>16</v>
      </c>
      <c r="E30" s="8" t="s">
        <v>17</v>
      </c>
      <c r="F30" s="8" t="s">
        <v>18</v>
      </c>
      <c r="G30" s="34" t="s">
        <v>69</v>
      </c>
      <c r="H30" s="16" t="s">
        <v>70</v>
      </c>
      <c r="I30" s="145" t="s">
        <v>19</v>
      </c>
      <c r="J30" s="145"/>
    </row>
    <row r="31" spans="1:10" ht="19.5" customHeight="1">
      <c r="A31" s="107" t="s">
        <v>72</v>
      </c>
      <c r="B31" s="12" t="s">
        <v>24</v>
      </c>
      <c r="C31" s="9"/>
      <c r="D31" s="9"/>
      <c r="E31" s="9"/>
      <c r="F31" s="10"/>
      <c r="G31" s="32">
        <f>SUM(C31:F31)</f>
        <v>0</v>
      </c>
      <c r="H31" s="9"/>
      <c r="I31" s="68">
        <f>SUM(G31:H31)</f>
        <v>0</v>
      </c>
      <c r="J31" s="69"/>
    </row>
    <row r="32" spans="1:10" ht="19.5" customHeight="1">
      <c r="A32" s="130"/>
      <c r="B32" s="12" t="s">
        <v>25</v>
      </c>
      <c r="C32" s="9"/>
      <c r="D32" s="9">
        <v>2637</v>
      </c>
      <c r="E32" s="9"/>
      <c r="F32" s="10"/>
      <c r="G32" s="32">
        <f>SUM(C32:F32)</f>
        <v>2637</v>
      </c>
      <c r="H32" s="9"/>
      <c r="I32" s="68">
        <f>SUM(G32:H32)</f>
        <v>2637</v>
      </c>
      <c r="J32" s="69"/>
    </row>
    <row r="33" spans="1:10" ht="19.5" customHeight="1">
      <c r="A33" s="108"/>
      <c r="B33" s="12" t="s">
        <v>26</v>
      </c>
      <c r="C33" s="9"/>
      <c r="D33" s="9">
        <v>62</v>
      </c>
      <c r="E33" s="9"/>
      <c r="F33" s="10"/>
      <c r="G33" s="32">
        <f>SUM(C33:F33)</f>
        <v>62</v>
      </c>
      <c r="H33" s="9"/>
      <c r="I33" s="68">
        <f>SUM(G33:H33)</f>
        <v>62</v>
      </c>
      <c r="J33" s="69"/>
    </row>
    <row r="34" spans="1:10" ht="19.5" customHeight="1">
      <c r="A34" s="109" t="s">
        <v>77</v>
      </c>
      <c r="B34" s="110"/>
      <c r="C34" s="52">
        <f t="shared" ref="C34:H34" si="0">SUM(C31:C33)</f>
        <v>0</v>
      </c>
      <c r="D34" s="52">
        <f>SUM(D31:D33)</f>
        <v>2699</v>
      </c>
      <c r="E34" s="52">
        <f t="shared" si="0"/>
        <v>0</v>
      </c>
      <c r="F34" s="52">
        <f t="shared" si="0"/>
        <v>0</v>
      </c>
      <c r="G34" s="52">
        <f t="shared" si="0"/>
        <v>2699</v>
      </c>
      <c r="H34" s="53">
        <f t="shared" si="0"/>
        <v>0</v>
      </c>
      <c r="I34" s="105">
        <f>SUM(I31:J33)</f>
        <v>2699</v>
      </c>
      <c r="J34" s="106"/>
    </row>
    <row r="35" spans="1:10" ht="19.5" customHeight="1">
      <c r="A35" s="107" t="s">
        <v>73</v>
      </c>
      <c r="B35" s="12" t="s">
        <v>74</v>
      </c>
      <c r="C35" s="9"/>
      <c r="D35" s="9"/>
      <c r="E35" s="9"/>
      <c r="F35" s="10"/>
      <c r="G35" s="32">
        <f>SUM(C35:F35)</f>
        <v>0</v>
      </c>
      <c r="H35" s="9"/>
      <c r="I35" s="68">
        <f>SUM(G35:H35)</f>
        <v>0</v>
      </c>
      <c r="J35" s="69"/>
    </row>
    <row r="36" spans="1:10" ht="19.5" customHeight="1">
      <c r="A36" s="108"/>
      <c r="B36" s="12" t="s">
        <v>75</v>
      </c>
      <c r="C36" s="9"/>
      <c r="D36" s="9"/>
      <c r="E36" s="9"/>
      <c r="F36" s="10"/>
      <c r="G36" s="32">
        <f>SUM(C36:F36)</f>
        <v>0</v>
      </c>
      <c r="H36" s="9"/>
      <c r="I36" s="68">
        <f>SUM(G36:H36)</f>
        <v>0</v>
      </c>
      <c r="J36" s="69"/>
    </row>
    <row r="37" spans="1:10" ht="19.5" customHeight="1">
      <c r="A37" s="103" t="s">
        <v>77</v>
      </c>
      <c r="B37" s="104"/>
      <c r="C37" s="26">
        <f t="shared" ref="C37:H37" si="1">SUM(C35:C36)</f>
        <v>0</v>
      </c>
      <c r="D37" s="26">
        <f t="shared" si="1"/>
        <v>0</v>
      </c>
      <c r="E37" s="26">
        <f t="shared" si="1"/>
        <v>0</v>
      </c>
      <c r="F37" s="26">
        <f t="shared" si="1"/>
        <v>0</v>
      </c>
      <c r="G37" s="26">
        <f t="shared" si="1"/>
        <v>0</v>
      </c>
      <c r="H37" s="51">
        <f t="shared" si="1"/>
        <v>0</v>
      </c>
      <c r="I37" s="101">
        <f>SUM(I35:J36)</f>
        <v>0</v>
      </c>
      <c r="J37" s="102"/>
    </row>
    <row r="38" spans="1:10" ht="19.5" customHeight="1">
      <c r="A38" s="103" t="s">
        <v>78</v>
      </c>
      <c r="B38" s="104"/>
      <c r="C38" s="26">
        <f t="shared" ref="C38:I38" si="2">C34+C37</f>
        <v>0</v>
      </c>
      <c r="D38" s="26">
        <f t="shared" si="2"/>
        <v>2699</v>
      </c>
      <c r="E38" s="26">
        <f t="shared" si="2"/>
        <v>0</v>
      </c>
      <c r="F38" s="26">
        <f t="shared" si="2"/>
        <v>0</v>
      </c>
      <c r="G38" s="26">
        <f t="shared" si="2"/>
        <v>2699</v>
      </c>
      <c r="H38" s="51">
        <f t="shared" si="2"/>
        <v>0</v>
      </c>
      <c r="I38" s="101">
        <f t="shared" si="2"/>
        <v>2699</v>
      </c>
      <c r="J38" s="102"/>
    </row>
  </sheetData>
  <mergeCells count="55">
    <mergeCell ref="A24:B25"/>
    <mergeCell ref="A28:B29"/>
    <mergeCell ref="H23:J23"/>
    <mergeCell ref="D27:J27"/>
    <mergeCell ref="A23:B23"/>
    <mergeCell ref="D26:H26"/>
    <mergeCell ref="A26:B26"/>
    <mergeCell ref="A27:B27"/>
    <mergeCell ref="D20:J20"/>
    <mergeCell ref="E28:E29"/>
    <mergeCell ref="I30:J30"/>
    <mergeCell ref="D28:D29"/>
    <mergeCell ref="H29:I29"/>
    <mergeCell ref="H28:I28"/>
    <mergeCell ref="F28:F29"/>
    <mergeCell ref="D25:E25"/>
    <mergeCell ref="A1:J1"/>
    <mergeCell ref="C3:J3"/>
    <mergeCell ref="G24:H24"/>
    <mergeCell ref="G25:H25"/>
    <mergeCell ref="D19:J19"/>
    <mergeCell ref="A31:A33"/>
    <mergeCell ref="D23:F23"/>
    <mergeCell ref="D24:E24"/>
    <mergeCell ref="C28:C29"/>
    <mergeCell ref="D22:J22"/>
    <mergeCell ref="A3:B3"/>
    <mergeCell ref="D4:J4"/>
    <mergeCell ref="D6:J6"/>
    <mergeCell ref="D8:J8"/>
    <mergeCell ref="A19:B22"/>
    <mergeCell ref="D5:J5"/>
    <mergeCell ref="G16:G18"/>
    <mergeCell ref="A4:B8"/>
    <mergeCell ref="A9:B15"/>
    <mergeCell ref="A16:B18"/>
    <mergeCell ref="I38:J38"/>
    <mergeCell ref="A38:B38"/>
    <mergeCell ref="I35:J35"/>
    <mergeCell ref="I34:J34"/>
    <mergeCell ref="A35:A36"/>
    <mergeCell ref="I36:J36"/>
    <mergeCell ref="I37:J37"/>
    <mergeCell ref="A34:B34"/>
    <mergeCell ref="A37:B37"/>
    <mergeCell ref="A30:B30"/>
    <mergeCell ref="I31:J31"/>
    <mergeCell ref="I33:J33"/>
    <mergeCell ref="G28:G29"/>
    <mergeCell ref="D7:J7"/>
    <mergeCell ref="C9:J15"/>
    <mergeCell ref="D16:F18"/>
    <mergeCell ref="H16:J18"/>
    <mergeCell ref="C16:C18"/>
    <mergeCell ref="I32:J32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7" fitToHeight="0" orientation="portrait" r:id="rId1"/>
  <headerFooter alignWithMargins="0">
    <oddFooter>&amp;C&amp;"굴림,보통"&amp;8 1/7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4" r:id="rId4" name="Check Box 16">
              <controlPr defaultSize="0" autoFill="0" autoLine="0" autoPict="0">
                <anchor moveWithCells="1">
                  <from>
                    <xdr:col>2</xdr:col>
                    <xdr:colOff>933450</xdr:colOff>
                    <xdr:row>18</xdr:row>
                    <xdr:rowOff>31750</xdr:rowOff>
                  </from>
                  <to>
                    <xdr:col>3</xdr:col>
                    <xdr:colOff>654050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5" name="Check Box 19">
              <controlPr defaultSize="0" autoFill="0" autoLine="0" autoPict="0">
                <anchor moveWithCells="1">
                  <from>
                    <xdr:col>4</xdr:col>
                    <xdr:colOff>31750</xdr:colOff>
                    <xdr:row>18</xdr:row>
                    <xdr:rowOff>31750</xdr:rowOff>
                  </from>
                  <to>
                    <xdr:col>4</xdr:col>
                    <xdr:colOff>768350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" name="Check Box 20">
              <controlPr defaultSize="0" autoFill="0" autoLine="0" autoPict="0">
                <anchor moveWithCells="1">
                  <from>
                    <xdr:col>4</xdr:col>
                    <xdr:colOff>812800</xdr:colOff>
                    <xdr:row>18</xdr:row>
                    <xdr:rowOff>31750</xdr:rowOff>
                  </from>
                  <to>
                    <xdr:col>5</xdr:col>
                    <xdr:colOff>400050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>
                <anchor moveWithCells="1">
                  <from>
                    <xdr:col>6</xdr:col>
                    <xdr:colOff>12700</xdr:colOff>
                    <xdr:row>18</xdr:row>
                    <xdr:rowOff>31750</xdr:rowOff>
                  </from>
                  <to>
                    <xdr:col>6</xdr:col>
                    <xdr:colOff>698500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>
                <anchor moveWithCells="1">
                  <from>
                    <xdr:col>6</xdr:col>
                    <xdr:colOff>806450</xdr:colOff>
                    <xdr:row>18</xdr:row>
                    <xdr:rowOff>31750</xdr:rowOff>
                  </from>
                  <to>
                    <xdr:col>7</xdr:col>
                    <xdr:colOff>584200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>
                <anchor moveWithCells="1">
                  <from>
                    <xdr:col>7</xdr:col>
                    <xdr:colOff>717550</xdr:colOff>
                    <xdr:row>18</xdr:row>
                    <xdr:rowOff>31750</xdr:rowOff>
                  </from>
                  <to>
                    <xdr:col>8</xdr:col>
                    <xdr:colOff>203200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신규 개발">
                <anchor moveWithCells="1">
                  <from>
                    <xdr:col>2</xdr:col>
                    <xdr:colOff>825500</xdr:colOff>
                    <xdr:row>19</xdr:row>
                    <xdr:rowOff>12700</xdr:rowOff>
                  </from>
                  <to>
                    <xdr:col>3</xdr:col>
                    <xdr:colOff>774700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>
                <anchor moveWithCells="1">
                  <from>
                    <xdr:col>4</xdr:col>
                    <xdr:colOff>31750</xdr:colOff>
                    <xdr:row>19</xdr:row>
                    <xdr:rowOff>12700</xdr:rowOff>
                  </from>
                  <to>
                    <xdr:col>5</xdr:col>
                    <xdr:colOff>368300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>
                <anchor moveWithCells="1">
                  <from>
                    <xdr:col>6</xdr:col>
                    <xdr:colOff>527050</xdr:colOff>
                    <xdr:row>19</xdr:row>
                    <xdr:rowOff>12700</xdr:rowOff>
                  </from>
                  <to>
                    <xdr:col>7</xdr:col>
                    <xdr:colOff>622300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3" name="Check Box 28">
              <controlPr defaultSize="0" autoFill="0" autoLine="0" autoPict="0">
                <anchor moveWithCells="1">
                  <from>
                    <xdr:col>5</xdr:col>
                    <xdr:colOff>120650</xdr:colOff>
                    <xdr:row>19</xdr:row>
                    <xdr:rowOff>31750</xdr:rowOff>
                  </from>
                  <to>
                    <xdr:col>6</xdr:col>
                    <xdr:colOff>355600</xdr:colOff>
                    <xdr:row>19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12700</xdr:rowOff>
                  </from>
                  <to>
                    <xdr:col>3</xdr:col>
                    <xdr:colOff>685800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15" name="Check Box 39">
              <controlPr defaultSize="0" autoFill="0" autoLine="0" autoPict="0">
                <anchor moveWithCells="1">
                  <from>
                    <xdr:col>4</xdr:col>
                    <xdr:colOff>31750</xdr:colOff>
                    <xdr:row>21</xdr:row>
                    <xdr:rowOff>12700</xdr:rowOff>
                  </from>
                  <to>
                    <xdr:col>4</xdr:col>
                    <xdr:colOff>717550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6" name="Check Box 40">
              <controlPr defaultSize="0" autoFill="0" autoLine="0" autoPict="0">
                <anchor moveWithCells="1">
                  <from>
                    <xdr:col>4</xdr:col>
                    <xdr:colOff>793750</xdr:colOff>
                    <xdr:row>21</xdr:row>
                    <xdr:rowOff>12700</xdr:rowOff>
                  </from>
                  <to>
                    <xdr:col>5</xdr:col>
                    <xdr:colOff>673100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7" name="Check Box 41">
              <controlPr defaultSize="0" autoFill="0" autoLine="0" autoPict="0">
                <anchor moveWithCells="1">
                  <from>
                    <xdr:col>6</xdr:col>
                    <xdr:colOff>6350</xdr:colOff>
                    <xdr:row>21</xdr:row>
                    <xdr:rowOff>12700</xdr:rowOff>
                  </from>
                  <to>
                    <xdr:col>7</xdr:col>
                    <xdr:colOff>495300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8" name="Check Box 43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12700</xdr:rowOff>
                  </from>
                  <to>
                    <xdr:col>4</xdr:col>
                    <xdr:colOff>342900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9" name="Check Box 44">
              <controlPr defaultSize="0" autoFill="0" autoLine="0" autoPict="0">
                <anchor moveWithCells="1">
                  <from>
                    <xdr:col>4</xdr:col>
                    <xdr:colOff>463550</xdr:colOff>
                    <xdr:row>26</xdr:row>
                    <xdr:rowOff>12700</xdr:rowOff>
                  </from>
                  <to>
                    <xdr:col>9</xdr:col>
                    <xdr:colOff>501650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0" name="Check Box 45">
              <controlPr defaultSize="0" autoFill="0" autoLine="0" autoPict="0">
                <anchor moveWithCells="1">
                  <from>
                    <xdr:col>7</xdr:col>
                    <xdr:colOff>215900</xdr:colOff>
                    <xdr:row>26</xdr:row>
                    <xdr:rowOff>12700</xdr:rowOff>
                  </from>
                  <to>
                    <xdr:col>7</xdr:col>
                    <xdr:colOff>565150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1" name="Check Box 56">
              <controlPr defaultSize="0" autoFill="0" autoLine="0" autoPict="0">
                <anchor moveWithCells="1" sizeWithCells="1">
                  <from>
                    <xdr:col>2</xdr:col>
                    <xdr:colOff>825500</xdr:colOff>
                    <xdr:row>20</xdr:row>
                    <xdr:rowOff>31750</xdr:rowOff>
                  </from>
                  <to>
                    <xdr:col>3</xdr:col>
                    <xdr:colOff>704850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2" name="Check Box 57">
              <controlPr defaultSize="0" autoFill="0" autoLine="0" autoPict="0">
                <anchor moveWithCells="1" sizeWithCells="1">
                  <from>
                    <xdr:col>4</xdr:col>
                    <xdr:colOff>31750</xdr:colOff>
                    <xdr:row>20</xdr:row>
                    <xdr:rowOff>31750</xdr:rowOff>
                  </from>
                  <to>
                    <xdr:col>4</xdr:col>
                    <xdr:colOff>527050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3" name="Check Box 58">
              <controlPr defaultSize="0" autoFill="0" autoLine="0" autoPict="0">
                <anchor moveWithCells="1" sizeWithCells="1">
                  <from>
                    <xdr:col>4</xdr:col>
                    <xdr:colOff>781050</xdr:colOff>
                    <xdr:row>20</xdr:row>
                    <xdr:rowOff>31750</xdr:rowOff>
                  </from>
                  <to>
                    <xdr:col>5</xdr:col>
                    <xdr:colOff>495300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4" name="Check Box 59">
              <controlPr defaultSize="0" autoFill="0" autoLine="0" autoPict="0">
                <anchor moveWithCells="1" sizeWithCells="1">
                  <from>
                    <xdr:col>6</xdr:col>
                    <xdr:colOff>12700</xdr:colOff>
                    <xdr:row>20</xdr:row>
                    <xdr:rowOff>31750</xdr:rowOff>
                  </from>
                  <to>
                    <xdr:col>7</xdr:col>
                    <xdr:colOff>127000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25" name="Check Box 68">
              <controlPr defaultSize="0" autoFill="0" autoLine="0" autoPict="0">
                <anchor moveWithCells="1">
                  <from>
                    <xdr:col>3</xdr:col>
                    <xdr:colOff>406400</xdr:colOff>
                    <xdr:row>22</xdr:row>
                    <xdr:rowOff>25400</xdr:rowOff>
                  </from>
                  <to>
                    <xdr:col>4</xdr:col>
                    <xdr:colOff>260350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26" name="Check Box 69">
              <controlPr defaultSize="0" autoFill="0" autoLine="0" autoPict="0">
                <anchor moveWithCells="1">
                  <from>
                    <xdr:col>4</xdr:col>
                    <xdr:colOff>584200</xdr:colOff>
                    <xdr:row>22</xdr:row>
                    <xdr:rowOff>25400</xdr:rowOff>
                  </from>
                  <to>
                    <xdr:col>5</xdr:col>
                    <xdr:colOff>438150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7" name="Check Box 72">
              <controlPr defaultSize="0" autoFill="0" autoLine="0" autoPict="0">
                <anchor moveWithCells="1">
                  <from>
                    <xdr:col>7</xdr:col>
                    <xdr:colOff>6350</xdr:colOff>
                    <xdr:row>22</xdr:row>
                    <xdr:rowOff>25400</xdr:rowOff>
                  </from>
                  <to>
                    <xdr:col>8</xdr:col>
                    <xdr:colOff>101600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8" name="Check Box 73">
              <controlPr defaultSize="0" autoFill="0" autoLine="0" autoPict="0">
                <anchor moveWithCells="1">
                  <from>
                    <xdr:col>8</xdr:col>
                    <xdr:colOff>76200</xdr:colOff>
                    <xdr:row>22</xdr:row>
                    <xdr:rowOff>25400</xdr:rowOff>
                  </from>
                  <to>
                    <xdr:col>8</xdr:col>
                    <xdr:colOff>908050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9" name="Check Box 74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20</xdr:row>
                    <xdr:rowOff>31750</xdr:rowOff>
                  </from>
                  <to>
                    <xdr:col>8</xdr:col>
                    <xdr:colOff>203200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30" name="Check Box 75">
              <controlPr defaultSize="0" autoFill="0" autoLine="0" autoPict="0">
                <anchor moveWithCells="1" sizeWithCells="1">
                  <from>
                    <xdr:col>8</xdr:col>
                    <xdr:colOff>63500</xdr:colOff>
                    <xdr:row>20</xdr:row>
                    <xdr:rowOff>31750</xdr:rowOff>
                  </from>
                  <to>
                    <xdr:col>9</xdr:col>
                    <xdr:colOff>266700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31" name="Check Box 76">
              <controlPr defaultSize="0" autoFill="0" autoLine="0" autoPict="0">
                <anchor moveWithCells="1" sizeWithCells="1">
                  <from>
                    <xdr:col>9</xdr:col>
                    <xdr:colOff>44450</xdr:colOff>
                    <xdr:row>20</xdr:row>
                    <xdr:rowOff>12700</xdr:rowOff>
                  </from>
                  <to>
                    <xdr:col>10</xdr:col>
                    <xdr:colOff>158750</xdr:colOff>
                    <xdr:row>20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32" name="Check Box 78">
              <controlPr defaultSize="0" autoFill="0" autoLine="0" autoPict="0">
                <anchor moveWithCells="1">
                  <from>
                    <xdr:col>8</xdr:col>
                    <xdr:colOff>514350</xdr:colOff>
                    <xdr:row>19</xdr:row>
                    <xdr:rowOff>12700</xdr:rowOff>
                  </from>
                  <to>
                    <xdr:col>9</xdr:col>
                    <xdr:colOff>793750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33" name="Check Box 79">
              <controlPr defaultSize="0" autoFill="0" autoLine="0" autoPict="0">
                <anchor moveWithCells="1">
                  <from>
                    <xdr:col>8</xdr:col>
                    <xdr:colOff>501650</xdr:colOff>
                    <xdr:row>18</xdr:row>
                    <xdr:rowOff>31750</xdr:rowOff>
                  </from>
                  <to>
                    <xdr:col>9</xdr:col>
                    <xdr:colOff>774700</xdr:colOff>
                    <xdr:row>18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4" name="Check Box 8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12700</xdr:rowOff>
                  </from>
                  <to>
                    <xdr:col>4</xdr:col>
                    <xdr:colOff>495300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35" name="Check Box 90">
              <controlPr defaultSize="0" autoFill="0" autoLine="0" autoPict="0">
                <anchor moveWithCells="1">
                  <from>
                    <xdr:col>4</xdr:col>
                    <xdr:colOff>463550</xdr:colOff>
                    <xdr:row>25</xdr:row>
                    <xdr:rowOff>31750</xdr:rowOff>
                  </from>
                  <to>
                    <xdr:col>5</xdr:col>
                    <xdr:colOff>533400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36" name="Check Box 92">
              <controlPr defaultSize="0" autoFill="0" autoLine="0" autoPict="0">
                <anchor moveWithCells="1">
                  <from>
                    <xdr:col>5</xdr:col>
                    <xdr:colOff>717550</xdr:colOff>
                    <xdr:row>25</xdr:row>
                    <xdr:rowOff>31750</xdr:rowOff>
                  </from>
                  <to>
                    <xdr:col>7</xdr:col>
                    <xdr:colOff>381000</xdr:colOff>
                    <xdr:row>25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37" name="Check Box 96">
              <controlPr defaultSize="0" autoFill="0" autoLine="0" autoPict="0">
                <anchor moveWithCells="1">
                  <from>
                    <xdr:col>9</xdr:col>
                    <xdr:colOff>50800</xdr:colOff>
                    <xdr:row>22</xdr:row>
                    <xdr:rowOff>6350</xdr:rowOff>
                  </from>
                  <to>
                    <xdr:col>9</xdr:col>
                    <xdr:colOff>882650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8" name="Check Box 97">
              <controlPr defaultSize="0" autoFill="0" autoLine="0" autoPict="0">
                <anchor moveWithCells="1">
                  <from>
                    <xdr:col>7</xdr:col>
                    <xdr:colOff>552450</xdr:colOff>
                    <xdr:row>19</xdr:row>
                    <xdr:rowOff>12700</xdr:rowOff>
                  </from>
                  <to>
                    <xdr:col>8</xdr:col>
                    <xdr:colOff>730250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9" name="Check Box 99">
              <controlPr defaultSize="0" autoFill="0" autoLine="0" autoPict="0">
                <anchor moveWithCells="1">
                  <from>
                    <xdr:col>7</xdr:col>
                    <xdr:colOff>654050</xdr:colOff>
                    <xdr:row>26</xdr:row>
                    <xdr:rowOff>12700</xdr:rowOff>
                  </from>
                  <to>
                    <xdr:col>8</xdr:col>
                    <xdr:colOff>190500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40" name="Check Box 100">
              <controlPr defaultSize="0" autoFill="0" autoLine="0" autoPict="0">
                <anchor moveWithCells="1">
                  <from>
                    <xdr:col>8</xdr:col>
                    <xdr:colOff>317500</xdr:colOff>
                    <xdr:row>26</xdr:row>
                    <xdr:rowOff>12700</xdr:rowOff>
                  </from>
                  <to>
                    <xdr:col>8</xdr:col>
                    <xdr:colOff>806450</xdr:colOff>
                    <xdr:row>26</xdr:row>
                    <xdr:rowOff>234950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7ECB-DA21-4158-9FD4-5840B7A64B25}">
  <sheetPr>
    <tabColor theme="4"/>
    <pageSetUpPr fitToPage="1"/>
  </sheetPr>
  <dimension ref="A1:L27"/>
  <sheetViews>
    <sheetView view="pageBreakPreview" zoomScale="85" zoomScaleNormal="100" zoomScaleSheetLayoutView="85" workbookViewId="0">
      <selection activeCell="J13" sqref="J13"/>
    </sheetView>
  </sheetViews>
  <sheetFormatPr defaultColWidth="8.9140625" defaultRowHeight="13"/>
  <cols>
    <col min="1" max="1" width="16" style="1" customWidth="1"/>
    <col min="2" max="2" width="10.4140625" style="1" customWidth="1"/>
    <col min="3" max="3" width="14.08203125" style="1" customWidth="1"/>
    <col min="4" max="4" width="37.25" style="1" customWidth="1"/>
    <col min="5" max="6" width="12.83203125" style="1" customWidth="1"/>
    <col min="7" max="7" width="14.1640625" style="1" customWidth="1"/>
    <col min="8" max="8" width="15.83203125" style="1" customWidth="1"/>
    <col min="9" max="9" width="18.25" style="1" customWidth="1"/>
    <col min="10" max="11" width="12.83203125" style="1" customWidth="1"/>
    <col min="12" max="12" width="19.9140625" style="1" customWidth="1"/>
    <col min="13" max="14" width="18.9140625" style="1" customWidth="1"/>
    <col min="15" max="16384" width="8.9140625" style="1"/>
  </cols>
  <sheetData>
    <row r="1" spans="1:12" ht="30" customHeight="1">
      <c r="A1" s="154" t="s">
        <v>68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2" spans="1:12" ht="30" customHeight="1">
      <c r="A2" s="29"/>
      <c r="B2" s="39"/>
      <c r="C2" s="29"/>
      <c r="D2" s="29"/>
      <c r="E2" s="29"/>
      <c r="F2" s="29"/>
      <c r="G2" s="29"/>
      <c r="H2" s="29"/>
      <c r="I2" s="30" t="s">
        <v>66</v>
      </c>
      <c r="J2" s="31" t="s">
        <v>101</v>
      </c>
      <c r="K2" s="30" t="s">
        <v>67</v>
      </c>
      <c r="L2" s="31" t="s">
        <v>102</v>
      </c>
    </row>
    <row r="3" spans="1:12" ht="31.5" customHeight="1">
      <c r="A3" s="155" t="s">
        <v>6</v>
      </c>
      <c r="B3" s="166" t="s">
        <v>11</v>
      </c>
      <c r="C3" s="166"/>
      <c r="D3" s="49" t="s">
        <v>3</v>
      </c>
      <c r="E3" s="14" t="s">
        <v>4</v>
      </c>
      <c r="F3" s="170" t="s">
        <v>5</v>
      </c>
      <c r="G3" s="171"/>
      <c r="H3" s="171"/>
      <c r="I3" s="171"/>
      <c r="J3" s="171"/>
      <c r="K3" s="172"/>
      <c r="L3" s="14" t="s">
        <v>30</v>
      </c>
    </row>
    <row r="4" spans="1:12" ht="26.25" customHeight="1">
      <c r="A4" s="156"/>
      <c r="B4" s="166"/>
      <c r="C4" s="166"/>
      <c r="D4" s="50" t="s">
        <v>89</v>
      </c>
      <c r="E4" s="15" t="s">
        <v>81</v>
      </c>
      <c r="F4" s="163" t="s">
        <v>96</v>
      </c>
      <c r="G4" s="164"/>
      <c r="H4" s="164"/>
      <c r="I4" s="164"/>
      <c r="J4" s="164"/>
      <c r="K4" s="165"/>
      <c r="L4" s="36"/>
    </row>
    <row r="5" spans="1:12" ht="26.25" customHeight="1">
      <c r="A5" s="156"/>
      <c r="B5" s="166"/>
      <c r="C5" s="166"/>
      <c r="D5" s="50"/>
      <c r="E5" s="15"/>
      <c r="F5" s="163"/>
      <c r="G5" s="164"/>
      <c r="H5" s="164"/>
      <c r="I5" s="164"/>
      <c r="J5" s="164"/>
      <c r="K5" s="165"/>
      <c r="L5" s="36"/>
    </row>
    <row r="6" spans="1:12" ht="26.25" customHeight="1">
      <c r="A6" s="156"/>
      <c r="B6" s="166"/>
      <c r="C6" s="166"/>
      <c r="D6" s="50"/>
      <c r="E6" s="15"/>
      <c r="F6" s="163"/>
      <c r="G6" s="164"/>
      <c r="H6" s="164"/>
      <c r="I6" s="164"/>
      <c r="J6" s="164"/>
      <c r="K6" s="165"/>
      <c r="L6" s="36"/>
    </row>
    <row r="7" spans="1:12" ht="31.5" customHeight="1">
      <c r="A7" s="156"/>
      <c r="B7" s="166" t="s">
        <v>7</v>
      </c>
      <c r="C7" s="166"/>
      <c r="D7" s="158"/>
      <c r="E7" s="158"/>
      <c r="F7" s="159"/>
      <c r="G7" s="159"/>
      <c r="H7" s="159"/>
      <c r="I7" s="159"/>
      <c r="J7" s="159"/>
      <c r="K7" s="159"/>
      <c r="L7" s="160"/>
    </row>
    <row r="8" spans="1:12" ht="31.5" customHeight="1">
      <c r="A8" s="157"/>
      <c r="B8" s="166" t="s">
        <v>8</v>
      </c>
      <c r="C8" s="166"/>
      <c r="D8" s="161"/>
      <c r="E8" s="161"/>
      <c r="F8" s="161"/>
      <c r="G8" s="161"/>
      <c r="H8" s="161"/>
      <c r="I8" s="161"/>
      <c r="J8" s="161"/>
      <c r="K8" s="161"/>
      <c r="L8" s="162"/>
    </row>
    <row r="9" spans="1:12" ht="31.5" customHeight="1">
      <c r="A9" s="67" t="s">
        <v>10</v>
      </c>
      <c r="B9" s="179" t="s">
        <v>76</v>
      </c>
      <c r="C9" s="180"/>
      <c r="D9" s="180"/>
      <c r="E9" s="180"/>
      <c r="F9" s="180"/>
      <c r="G9" s="180"/>
      <c r="H9" s="180"/>
      <c r="I9" s="180"/>
      <c r="J9" s="180"/>
      <c r="K9" s="180"/>
      <c r="L9" s="181"/>
    </row>
    <row r="10" spans="1:12" ht="44.25" customHeight="1">
      <c r="A10" s="67"/>
      <c r="B10" s="173" t="s">
        <v>36</v>
      </c>
      <c r="C10" s="174"/>
      <c r="D10" s="33" t="s">
        <v>31</v>
      </c>
      <c r="E10" s="33" t="s">
        <v>32</v>
      </c>
      <c r="F10" s="33" t="s">
        <v>55</v>
      </c>
      <c r="G10" s="33" t="s">
        <v>33</v>
      </c>
      <c r="H10" s="33" t="s">
        <v>62</v>
      </c>
      <c r="I10" s="33" t="s">
        <v>34</v>
      </c>
      <c r="J10" s="33" t="s">
        <v>35</v>
      </c>
      <c r="K10" s="33" t="s">
        <v>29</v>
      </c>
      <c r="L10" s="37" t="s">
        <v>60</v>
      </c>
    </row>
    <row r="11" spans="1:12" ht="44.25" customHeight="1">
      <c r="A11" s="67"/>
      <c r="B11" s="167" t="s">
        <v>72</v>
      </c>
      <c r="C11" s="167" t="s">
        <v>25</v>
      </c>
      <c r="D11" s="18" t="s">
        <v>86</v>
      </c>
      <c r="E11" s="19">
        <v>23</v>
      </c>
      <c r="F11" s="54">
        <v>60000000</v>
      </c>
      <c r="G11" s="19" t="s">
        <v>63</v>
      </c>
      <c r="H11" s="54">
        <f>(F11*E11)*1.1</f>
        <v>1518000000.0000002</v>
      </c>
      <c r="I11" s="19" t="s">
        <v>97</v>
      </c>
      <c r="J11" s="19" t="s">
        <v>98</v>
      </c>
      <c r="K11" s="19" t="s">
        <v>99</v>
      </c>
      <c r="L11" s="65" t="s">
        <v>100</v>
      </c>
    </row>
    <row r="12" spans="1:12" ht="44.25" customHeight="1">
      <c r="A12" s="67"/>
      <c r="B12" s="168"/>
      <c r="C12" s="168"/>
      <c r="D12" s="56" t="s">
        <v>85</v>
      </c>
      <c r="E12" s="57">
        <v>3</v>
      </c>
      <c r="F12" s="59">
        <v>60000000</v>
      </c>
      <c r="G12" s="64" t="s">
        <v>63</v>
      </c>
      <c r="H12" s="54">
        <f t="shared" ref="H12:H20" si="0">(F12*E12)*1.1</f>
        <v>198000000.00000003</v>
      </c>
      <c r="I12" s="64" t="s">
        <v>97</v>
      </c>
      <c r="J12" s="64" t="s">
        <v>98</v>
      </c>
      <c r="K12" s="64" t="s">
        <v>99</v>
      </c>
      <c r="L12" s="65" t="s">
        <v>100</v>
      </c>
    </row>
    <row r="13" spans="1:12" ht="44.25" customHeight="1">
      <c r="A13" s="67"/>
      <c r="B13" s="168"/>
      <c r="C13" s="168"/>
      <c r="D13" s="23" t="s">
        <v>84</v>
      </c>
      <c r="E13" s="24">
        <v>2</v>
      </c>
      <c r="F13" s="55">
        <v>41700000</v>
      </c>
      <c r="G13" s="19" t="s">
        <v>63</v>
      </c>
      <c r="H13" s="54">
        <f t="shared" si="0"/>
        <v>91740000</v>
      </c>
      <c r="I13" s="19" t="s">
        <v>97</v>
      </c>
      <c r="J13" s="64" t="s">
        <v>98</v>
      </c>
      <c r="K13" s="19" t="s">
        <v>99</v>
      </c>
      <c r="L13" s="65" t="s">
        <v>100</v>
      </c>
    </row>
    <row r="14" spans="1:12" ht="44.25" customHeight="1">
      <c r="A14" s="67"/>
      <c r="B14" s="168"/>
      <c r="C14" s="168"/>
      <c r="D14" s="56" t="s">
        <v>83</v>
      </c>
      <c r="E14" s="57">
        <v>2</v>
      </c>
      <c r="F14" s="59">
        <v>40000000</v>
      </c>
      <c r="G14" s="19" t="s">
        <v>63</v>
      </c>
      <c r="H14" s="54">
        <f t="shared" si="0"/>
        <v>88000000</v>
      </c>
      <c r="I14" s="19" t="s">
        <v>97</v>
      </c>
      <c r="J14" s="64" t="s">
        <v>98</v>
      </c>
      <c r="K14" s="19" t="s">
        <v>99</v>
      </c>
      <c r="L14" s="65" t="s">
        <v>100</v>
      </c>
    </row>
    <row r="15" spans="1:12" ht="44.25" customHeight="1">
      <c r="A15" s="67"/>
      <c r="B15" s="168"/>
      <c r="C15" s="168"/>
      <c r="D15" s="20" t="s">
        <v>82</v>
      </c>
      <c r="E15" s="21">
        <v>1</v>
      </c>
      <c r="F15" s="58">
        <v>430000000</v>
      </c>
      <c r="G15" s="19" t="s">
        <v>63</v>
      </c>
      <c r="H15" s="54">
        <f>(F15*E15)*1.1</f>
        <v>473000000.00000006</v>
      </c>
      <c r="I15" s="19" t="s">
        <v>97</v>
      </c>
      <c r="J15" s="64" t="s">
        <v>98</v>
      </c>
      <c r="K15" s="19" t="s">
        <v>99</v>
      </c>
      <c r="L15" s="65" t="s">
        <v>100</v>
      </c>
    </row>
    <row r="16" spans="1:12" ht="44.25" customHeight="1">
      <c r="A16" s="67"/>
      <c r="B16" s="168"/>
      <c r="C16" s="168"/>
      <c r="D16" s="56" t="s">
        <v>90</v>
      </c>
      <c r="E16" s="57">
        <v>2</v>
      </c>
      <c r="F16" s="59">
        <v>75000000</v>
      </c>
      <c r="G16" s="19" t="s">
        <v>63</v>
      </c>
      <c r="H16" s="54">
        <f>(F16*E16)*1.1</f>
        <v>165000000</v>
      </c>
      <c r="I16" s="19" t="s">
        <v>97</v>
      </c>
      <c r="J16" s="64" t="s">
        <v>98</v>
      </c>
      <c r="K16" s="19" t="s">
        <v>99</v>
      </c>
      <c r="L16" s="65" t="s">
        <v>100</v>
      </c>
    </row>
    <row r="17" spans="1:12" ht="44.25" customHeight="1">
      <c r="A17" s="67"/>
      <c r="B17" s="168"/>
      <c r="C17" s="168"/>
      <c r="D17" s="56" t="s">
        <v>95</v>
      </c>
      <c r="E17" s="57">
        <v>2</v>
      </c>
      <c r="F17" s="59">
        <v>41000000</v>
      </c>
      <c r="G17" s="19" t="s">
        <v>63</v>
      </c>
      <c r="H17" s="54">
        <f>(F17*E17)*1.1</f>
        <v>90200000</v>
      </c>
      <c r="I17" s="19" t="s">
        <v>97</v>
      </c>
      <c r="J17" s="64" t="s">
        <v>98</v>
      </c>
      <c r="K17" s="19" t="s">
        <v>99</v>
      </c>
      <c r="L17" s="65" t="s">
        <v>100</v>
      </c>
    </row>
    <row r="18" spans="1:12" ht="44.25" customHeight="1">
      <c r="A18" s="67"/>
      <c r="B18" s="168"/>
      <c r="C18" s="169"/>
      <c r="D18" s="56" t="s">
        <v>91</v>
      </c>
      <c r="E18" s="21">
        <v>2</v>
      </c>
      <c r="F18" s="58">
        <v>6000000</v>
      </c>
      <c r="G18" s="19" t="s">
        <v>63</v>
      </c>
      <c r="H18" s="54">
        <f t="shared" si="0"/>
        <v>13200000.000000002</v>
      </c>
      <c r="I18" s="19" t="s">
        <v>97</v>
      </c>
      <c r="J18" s="64" t="s">
        <v>98</v>
      </c>
      <c r="K18" s="19" t="s">
        <v>99</v>
      </c>
      <c r="L18" s="65" t="s">
        <v>100</v>
      </c>
    </row>
    <row r="19" spans="1:12" ht="44.25" customHeight="1">
      <c r="A19" s="67"/>
      <c r="B19" s="168"/>
      <c r="C19" s="176" t="s">
        <v>26</v>
      </c>
      <c r="D19" s="23" t="s">
        <v>87</v>
      </c>
      <c r="E19" s="24">
        <v>30</v>
      </c>
      <c r="F19" s="55">
        <v>1200000</v>
      </c>
      <c r="G19" s="19" t="s">
        <v>63</v>
      </c>
      <c r="H19" s="54">
        <f t="shared" si="0"/>
        <v>39600000</v>
      </c>
      <c r="I19" s="19" t="s">
        <v>97</v>
      </c>
      <c r="J19" s="64" t="s">
        <v>98</v>
      </c>
      <c r="K19" s="19" t="s">
        <v>99</v>
      </c>
      <c r="L19" s="65" t="s">
        <v>100</v>
      </c>
    </row>
    <row r="20" spans="1:12" ht="44.25" customHeight="1">
      <c r="A20" s="67"/>
      <c r="B20" s="168"/>
      <c r="C20" s="176"/>
      <c r="D20" s="56" t="s">
        <v>88</v>
      </c>
      <c r="E20" s="57">
        <v>67</v>
      </c>
      <c r="F20" s="59">
        <v>300000</v>
      </c>
      <c r="G20" s="19" t="s">
        <v>63</v>
      </c>
      <c r="H20" s="54">
        <f t="shared" si="0"/>
        <v>22110000</v>
      </c>
      <c r="I20" s="19" t="s">
        <v>97</v>
      </c>
      <c r="J20" s="64" t="s">
        <v>98</v>
      </c>
      <c r="K20" s="19" t="s">
        <v>99</v>
      </c>
      <c r="L20" s="65" t="s">
        <v>100</v>
      </c>
    </row>
    <row r="21" spans="1:12" ht="44.25" customHeight="1">
      <c r="A21" s="67"/>
      <c r="B21" s="178"/>
      <c r="C21" s="177"/>
      <c r="D21" s="20"/>
      <c r="E21" s="21"/>
      <c r="F21" s="58"/>
      <c r="G21" s="57"/>
      <c r="H21" s="58"/>
      <c r="I21" s="21"/>
      <c r="J21" s="21"/>
      <c r="K21" s="21"/>
      <c r="L21" s="22"/>
    </row>
    <row r="22" spans="1:12" ht="44.25" customHeight="1">
      <c r="A22" s="67"/>
      <c r="B22" s="173" t="s">
        <v>36</v>
      </c>
      <c r="C22" s="174"/>
      <c r="D22" s="33" t="s">
        <v>31</v>
      </c>
      <c r="E22" s="33" t="s">
        <v>32</v>
      </c>
      <c r="F22" s="60" t="s">
        <v>55</v>
      </c>
      <c r="G22" s="62" t="s">
        <v>33</v>
      </c>
      <c r="H22" s="61" t="s">
        <v>80</v>
      </c>
      <c r="I22" s="33" t="s">
        <v>34</v>
      </c>
      <c r="J22" s="33" t="s">
        <v>79</v>
      </c>
      <c r="K22" s="33" t="s">
        <v>29</v>
      </c>
      <c r="L22" s="37" t="s">
        <v>60</v>
      </c>
    </row>
    <row r="23" spans="1:12" ht="43.5" customHeight="1">
      <c r="A23" s="67"/>
      <c r="B23" s="175" t="s">
        <v>73</v>
      </c>
      <c r="C23" s="176" t="s">
        <v>74</v>
      </c>
      <c r="D23" s="23"/>
      <c r="E23" s="24"/>
      <c r="F23" s="55"/>
      <c r="G23" s="24"/>
      <c r="H23" s="55"/>
      <c r="I23" s="24"/>
      <c r="J23" s="24"/>
      <c r="K23" s="24"/>
      <c r="L23" s="25"/>
    </row>
    <row r="24" spans="1:12" ht="43.5" customHeight="1">
      <c r="A24" s="67"/>
      <c r="B24" s="168"/>
      <c r="C24" s="177"/>
      <c r="D24" s="20"/>
      <c r="E24" s="21"/>
      <c r="F24" s="21"/>
      <c r="G24" s="21"/>
      <c r="H24" s="21"/>
      <c r="I24" s="21"/>
      <c r="J24" s="21"/>
      <c r="K24" s="21"/>
      <c r="L24" s="22"/>
    </row>
    <row r="25" spans="1:12" ht="43.5" customHeight="1">
      <c r="A25" s="67"/>
      <c r="B25" s="168"/>
      <c r="C25" s="175" t="s">
        <v>75</v>
      </c>
      <c r="D25" s="23"/>
      <c r="E25" s="24"/>
      <c r="F25" s="55"/>
      <c r="G25" s="24"/>
      <c r="H25" s="55"/>
      <c r="I25" s="24"/>
      <c r="J25" s="24"/>
      <c r="K25" s="24"/>
      <c r="L25" s="25"/>
    </row>
    <row r="26" spans="1:12" ht="43.5" customHeight="1">
      <c r="A26" s="67"/>
      <c r="B26" s="169"/>
      <c r="C26" s="169"/>
      <c r="D26" s="20"/>
      <c r="E26" s="21"/>
      <c r="F26" s="21"/>
      <c r="G26" s="21"/>
      <c r="H26" s="21"/>
      <c r="I26" s="21"/>
      <c r="J26" s="21"/>
      <c r="K26" s="21"/>
      <c r="L26" s="22"/>
    </row>
    <row r="27" spans="1:12" ht="16" customHeight="1">
      <c r="A27" s="35" t="s">
        <v>61</v>
      </c>
    </row>
  </sheetData>
  <mergeCells count="21">
    <mergeCell ref="B9:L9"/>
    <mergeCell ref="A9:A26"/>
    <mergeCell ref="B23:B26"/>
    <mergeCell ref="C11:C18"/>
    <mergeCell ref="F3:K3"/>
    <mergeCell ref="F4:K4"/>
    <mergeCell ref="B22:C22"/>
    <mergeCell ref="C25:C26"/>
    <mergeCell ref="B7:C7"/>
    <mergeCell ref="C19:C21"/>
    <mergeCell ref="B11:B21"/>
    <mergeCell ref="B10:C10"/>
    <mergeCell ref="C23:C24"/>
    <mergeCell ref="A1:L1"/>
    <mergeCell ref="A3:A8"/>
    <mergeCell ref="D7:L7"/>
    <mergeCell ref="D8:L8"/>
    <mergeCell ref="F5:K5"/>
    <mergeCell ref="F6:K6"/>
    <mergeCell ref="B3:C6"/>
    <mergeCell ref="B8:C8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40" orientation="portrait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3</xdr:col>
                    <xdr:colOff>101600</xdr:colOff>
                    <xdr:row>6</xdr:row>
                    <xdr:rowOff>0</xdr:rowOff>
                  </from>
                  <to>
                    <xdr:col>3</xdr:col>
                    <xdr:colOff>711200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3</xdr:col>
                    <xdr:colOff>838200</xdr:colOff>
                    <xdr:row>5</xdr:row>
                    <xdr:rowOff>330200</xdr:rowOff>
                  </from>
                  <to>
                    <xdr:col>3</xdr:col>
                    <xdr:colOff>1409700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3</xdr:col>
                    <xdr:colOff>1568450</xdr:colOff>
                    <xdr:row>6</xdr:row>
                    <xdr:rowOff>0</xdr:rowOff>
                  </from>
                  <to>
                    <xdr:col>3</xdr:col>
                    <xdr:colOff>2178050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Check Box 6">
              <controlPr defaultSize="0" autoFill="0" autoLine="0" autoPict="0">
                <anchor moveWithCells="1">
                  <from>
                    <xdr:col>4</xdr:col>
                    <xdr:colOff>63500</xdr:colOff>
                    <xdr:row>6</xdr:row>
                    <xdr:rowOff>0</xdr:rowOff>
                  </from>
                  <to>
                    <xdr:col>4</xdr:col>
                    <xdr:colOff>742950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8" name="Check Box 7">
              <controlPr defaultSize="0" autoFill="0" autoLine="0" autoPict="0">
                <anchor moveWithCells="1">
                  <from>
                    <xdr:col>4</xdr:col>
                    <xdr:colOff>889000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9" name="Check Box 8">
              <controlPr defaultSize="0" autoFill="0" autoLine="0" autoPict="0">
                <anchor moveWithCells="1">
                  <from>
                    <xdr:col>5</xdr:col>
                    <xdr:colOff>590550</xdr:colOff>
                    <xdr:row>6</xdr:row>
                    <xdr:rowOff>0</xdr:rowOff>
                  </from>
                  <to>
                    <xdr:col>6</xdr:col>
                    <xdr:colOff>336550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0" name="Check Box 9">
              <controlPr defaultSize="0" autoFill="0" autoLine="0" autoPict="0">
                <anchor moveWithCells="1">
                  <from>
                    <xdr:col>3</xdr:col>
                    <xdr:colOff>95250</xdr:colOff>
                    <xdr:row>7</xdr:row>
                    <xdr:rowOff>38100</xdr:rowOff>
                  </from>
                  <to>
                    <xdr:col>3</xdr:col>
                    <xdr:colOff>679450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1" name="Check Box 10">
              <controlPr defaultSize="0" autoFill="0" autoLine="0" autoPict="0">
                <anchor moveWithCells="1">
                  <from>
                    <xdr:col>3</xdr:col>
                    <xdr:colOff>831850</xdr:colOff>
                    <xdr:row>7</xdr:row>
                    <xdr:rowOff>38100</xdr:rowOff>
                  </from>
                  <to>
                    <xdr:col>3</xdr:col>
                    <xdr:colOff>1428750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2" name="Check Box 11">
              <controlPr defaultSize="0" autoFill="0" autoLine="0" autoPict="0">
                <anchor moveWithCells="1">
                  <from>
                    <xdr:col>3</xdr:col>
                    <xdr:colOff>1568450</xdr:colOff>
                    <xdr:row>7</xdr:row>
                    <xdr:rowOff>38100</xdr:rowOff>
                  </from>
                  <to>
                    <xdr:col>3</xdr:col>
                    <xdr:colOff>2165350</xdr:colOff>
                    <xdr:row>7</xdr:row>
                    <xdr:rowOff>349250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3" name="Check Box 12">
              <controlPr defaultSize="0" autoFill="0" autoLine="0" autoPict="0">
                <anchor moveWithCells="1">
                  <from>
                    <xdr:col>4</xdr:col>
                    <xdr:colOff>63500</xdr:colOff>
                    <xdr:row>7</xdr:row>
                    <xdr:rowOff>38100</xdr:rowOff>
                  </from>
                  <to>
                    <xdr:col>4</xdr:col>
                    <xdr:colOff>781050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4" name="Check Box 13">
              <controlPr defaultSize="0" autoFill="0" autoLine="0" autoPict="0">
                <anchor moveWithCells="1">
                  <from>
                    <xdr:col>4</xdr:col>
                    <xdr:colOff>889000</xdr:colOff>
                    <xdr:row>7</xdr:row>
                    <xdr:rowOff>38100</xdr:rowOff>
                  </from>
                  <to>
                    <xdr:col>5</xdr:col>
                    <xdr:colOff>673100</xdr:colOff>
                    <xdr:row>7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5" name="Check Box 14">
              <controlPr defaultSize="0" autoFill="0" autoLine="0" autoPict="0">
                <anchor moveWithCells="1">
                  <from>
                    <xdr:col>5</xdr:col>
                    <xdr:colOff>749300</xdr:colOff>
                    <xdr:row>7</xdr:row>
                    <xdr:rowOff>38100</xdr:rowOff>
                  </from>
                  <to>
                    <xdr:col>6</xdr:col>
                    <xdr:colOff>666750</xdr:colOff>
                    <xdr:row>7</xdr:row>
                    <xdr:rowOff>368300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① (정보화사업) 1-1. 정보화사업 개요</vt:lpstr>
      <vt:lpstr>① (정보화사업) 1-2. 소요자원 상세내용</vt:lpstr>
      <vt:lpstr>'① (정보화사업) 1-1. 정보화사업 개요'!Print_Area</vt:lpstr>
      <vt:lpstr>'① (정보화사업) 1-2. 소요자원 상세내용'!Print_Area</vt:lpstr>
    </vt:vector>
  </TitlesOfParts>
  <Company>KTF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JungPiloh</dc:creator>
  <cp:lastModifiedBy>KDB</cp:lastModifiedBy>
  <cp:lastPrinted>2025-09-09T06:16:55Z</cp:lastPrinted>
  <dcterms:created xsi:type="dcterms:W3CDTF">2005-05-24T12:23:20Z</dcterms:created>
  <dcterms:modified xsi:type="dcterms:W3CDTF">2025-09-26T07:24:26Z</dcterms:modified>
</cp:coreProperties>
</file>