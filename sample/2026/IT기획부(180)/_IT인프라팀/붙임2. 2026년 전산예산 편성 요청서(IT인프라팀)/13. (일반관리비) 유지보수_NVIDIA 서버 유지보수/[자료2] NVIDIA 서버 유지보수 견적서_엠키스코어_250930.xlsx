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현재_통합_문서" defaultThemeVersion="166925"/>
  <xr:revisionPtr revIDLastSave="0" documentId="8_{21487E67-188D-418E-87FA-94014324A8BF}" xr6:coauthVersionLast="47" xr6:coauthVersionMax="47" xr10:uidLastSave="{00000000-0000-0000-0000-000000000000}"/>
  <bookViews>
    <workbookView xWindow="760" yWindow="80" windowWidth="33170" windowHeight="20920" tabRatio="485" xr2:uid="{C345E39D-CE42-4CA4-B4F0-3809F0E098C7}"/>
  </bookViews>
  <sheets>
    <sheet name="Main" sheetId="12" r:id="rId1"/>
    <sheet name="유지보수내역_36M" sheetId="10" r:id="rId2"/>
  </sheets>
  <definedNames>
    <definedName name="_xlnm._FilterDatabase" localSheetId="0" hidden="1">Main!$B$17:$L$17</definedName>
    <definedName name="_xlnm._FilterDatabase" localSheetId="1" hidden="1">유지보수내역_36M!$B$2:$L$6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2" l="1"/>
  <c r="H19" i="12"/>
  <c r="I18" i="12"/>
  <c r="H18" i="12"/>
  <c r="H20" i="12" s="1"/>
  <c r="G18" i="12"/>
  <c r="D9" i="12"/>
  <c r="J8" i="10"/>
  <c r="K4" i="10"/>
  <c r="K8" i="10" l="1"/>
  <c r="K10" i="10" l="1"/>
  <c r="D13" i="12" s="1"/>
</calcChain>
</file>

<file path=xl/sharedStrings.xml><?xml version="1.0" encoding="utf-8"?>
<sst xmlns="http://schemas.openxmlformats.org/spreadsheetml/2006/main" count="69" uniqueCount="64">
  <si>
    <t>(단위 : 원)</t>
  </si>
  <si>
    <t>NO</t>
    <phoneticPr fontId="2" type="noConversion"/>
  </si>
  <si>
    <t>합    계</t>
    <phoneticPr fontId="2" type="noConversion"/>
  </si>
  <si>
    <t>제안 단가(1개월)</t>
    <phoneticPr fontId="2" type="noConversion"/>
  </si>
  <si>
    <t>제조사</t>
  </si>
  <si>
    <t>계약기간</t>
  </si>
  <si>
    <t>제조번호</t>
  </si>
  <si>
    <t>Product description</t>
  </si>
  <si>
    <t>Start date</t>
  </si>
  <si>
    <t>End date</t>
  </si>
  <si>
    <t>Month</t>
  </si>
  <si>
    <t>비고</t>
    <phoneticPr fontId="2" type="noConversion"/>
  </si>
  <si>
    <t>견    적    서</t>
    <phoneticPr fontId="2" type="noConversion"/>
  </si>
  <si>
    <t xml:space="preserve"> </t>
  </si>
  <si>
    <t>수        신</t>
    <phoneticPr fontId="2" type="noConversion"/>
  </si>
  <si>
    <t>등 록 번 호</t>
    <phoneticPr fontId="2" type="noConversion"/>
  </si>
  <si>
    <t>118-81-22721</t>
    <phoneticPr fontId="2" type="noConversion"/>
  </si>
  <si>
    <t>상   호   명</t>
    <phoneticPr fontId="2" type="noConversion"/>
  </si>
  <si>
    <t>주식회사 엠키스코어</t>
    <phoneticPr fontId="2" type="noConversion"/>
  </si>
  <si>
    <t>대    표    자</t>
    <phoneticPr fontId="2" type="noConversion"/>
  </si>
  <si>
    <t xml:space="preserve">  정  문  기</t>
    <phoneticPr fontId="2" type="noConversion"/>
  </si>
  <si>
    <t>참         조</t>
    <phoneticPr fontId="2" type="noConversion"/>
  </si>
  <si>
    <t>주         소</t>
    <phoneticPr fontId="2" type="noConversion"/>
  </si>
  <si>
    <t>서울 송파구 올림픽로 203 2층 215호</t>
    <phoneticPr fontId="2" type="noConversion"/>
  </si>
  <si>
    <t>견   적   일</t>
    <phoneticPr fontId="2" type="noConversion"/>
  </si>
  <si>
    <t>업         태</t>
    <phoneticPr fontId="2" type="noConversion"/>
  </si>
  <si>
    <t>도소매</t>
    <phoneticPr fontId="2" type="noConversion"/>
  </si>
  <si>
    <t>종          목</t>
    <phoneticPr fontId="2" type="noConversion"/>
  </si>
  <si>
    <t>컴퓨터 및 주변장치
 전자 상거래</t>
    <phoneticPr fontId="2" type="noConversion"/>
  </si>
  <si>
    <t>기         간</t>
    <phoneticPr fontId="2" type="noConversion"/>
  </si>
  <si>
    <t>담   당   자</t>
    <phoneticPr fontId="2" type="noConversion"/>
  </si>
  <si>
    <t>박한식 / 010-8978-0401</t>
  </si>
  <si>
    <t>E-mail</t>
    <phoneticPr fontId="2" type="noConversion"/>
  </si>
  <si>
    <t>han-sik.park@mkiscore.com</t>
    <phoneticPr fontId="58" type="noConversion"/>
  </si>
  <si>
    <t>프로젝트명</t>
    <phoneticPr fontId="2" type="noConversion"/>
  </si>
  <si>
    <t>견적 금액 :</t>
    <phoneticPr fontId="2" type="noConversion"/>
  </si>
  <si>
    <t>구분</t>
    <phoneticPr fontId="2" type="noConversion"/>
  </si>
  <si>
    <t>수량(식)</t>
  </si>
  <si>
    <t>(월)단가</t>
  </si>
  <si>
    <t>제안 합계</t>
    <phoneticPr fontId="2" type="noConversion"/>
  </si>
  <si>
    <t>유지보수 기간</t>
  </si>
  <si>
    <t>비고</t>
  </si>
  <si>
    <t xml:space="preserve">유 효 일 자 </t>
    <phoneticPr fontId="2" type="noConversion"/>
  </si>
  <si>
    <t>결 제 조 건</t>
    <phoneticPr fontId="2" type="noConversion"/>
  </si>
  <si>
    <t xml:space="preserve">비         고 </t>
    <phoneticPr fontId="2" type="noConversion"/>
  </si>
  <si>
    <t>양사협의</t>
    <phoneticPr fontId="2" type="noConversion"/>
  </si>
  <si>
    <t>유지보수 개월</t>
    <phoneticPr fontId="2" type="noConversion"/>
  </si>
  <si>
    <t>NVIDIA DGX A100 40G</t>
    <phoneticPr fontId="2" type="noConversion"/>
  </si>
  <si>
    <t>NVIDIA InfiniBand QM8700</t>
    <phoneticPr fontId="2" type="noConversion"/>
  </si>
  <si>
    <t>MT2023X09026</t>
    <phoneticPr fontId="2" type="noConversion"/>
  </si>
  <si>
    <t>2026.01.01~2028.12.31</t>
    <phoneticPr fontId="2" type="noConversion"/>
  </si>
  <si>
    <t>NVIDIA</t>
    <phoneticPr fontId="2" type="noConversion"/>
  </si>
  <si>
    <t>제안 단가(36개월)</t>
    <phoneticPr fontId="2" type="noConversion"/>
  </si>
  <si>
    <t>한국산업은행 NVIDIA DGX-A100외 IB스위치 유지보수 건</t>
    <phoneticPr fontId="2" type="noConversion"/>
  </si>
  <si>
    <t>손지훈 대리님</t>
    <phoneticPr fontId="2" type="noConversion"/>
  </si>
  <si>
    <t>한국산업은행</t>
    <phoneticPr fontId="2" type="noConversion"/>
  </si>
  <si>
    <t>1) 유지보수 대상장비 일반조건 :  Support, Renew, 3Years
2) 계약기간 : 유지보수 기간으로 확인</t>
    <phoneticPr fontId="2" type="noConversion"/>
  </si>
  <si>
    <t>(VAT 포함)</t>
    <phoneticPr fontId="2" type="noConversion"/>
  </si>
  <si>
    <t>NVIDIA DGX, IB Switch 유지보수 3Y</t>
    <phoneticPr fontId="2" type="noConversion"/>
  </si>
  <si>
    <t>**  2026 ~ 2028년 유지보수 계약 : Support, Renew / 36Month 유지보수</t>
    <phoneticPr fontId="2" type="noConversion"/>
  </si>
  <si>
    <t>**  2026 ~ 2028년 유지보수 계약 : Support, Renew / 36Month 유지보수
대상장비 : NVIDIA DGX A100 40G * 2ea, NVIDIA InfiniBand QM8700 * 1ea</t>
    <phoneticPr fontId="2" type="noConversion"/>
  </si>
  <si>
    <t>제공 서비스 정보</t>
    <phoneticPr fontId="2" type="noConversion"/>
  </si>
  <si>
    <t>TOTAL (1년 기준 금액)</t>
    <phoneticPr fontId="2" type="noConversion"/>
  </si>
  <si>
    <t>TOTAL (3년 기준 총 견적금액)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</si>
</sst>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2">
    <numFmt numFmtId="5" formatCode="&quot;₩&quot;#,##0;\-&quot;₩&quot;#,##0"/>
    <numFmt numFmtId="6" formatCode="&quot;₩&quot;#,##0;[Red]\-&quot;₩&quot;#,##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_ "/>
    <numFmt numFmtId="178" formatCode="_ * #,##0_ ;_ * \-#,##0_ ;_ * &quot;-&quot;_ ;_ @_ "/>
    <numFmt numFmtId="179" formatCode="0.0%;[Red]&quot;△&quot;0.0%"/>
    <numFmt numFmtId="180" formatCode="_-* #,##0&quot;₩&quot;\ _D_M_-;&quot;₩&quot;\-* #,##0&quot;₩&quot;\ _D_M_-;_-* &quot;-&quot;&quot;₩&quot;\ _D_M_-;_-@_-"/>
    <numFmt numFmtId="181" formatCode="* #,##0.0"/>
    <numFmt numFmtId="182" formatCode="#,##0.00000"/>
    <numFmt numFmtId="183" formatCode="_ * #,##0_ ;_ * &quot;₩&quot;\-#,##0_ ;_ * &quot;-&quot;??_ ;_ @_ "/>
    <numFmt numFmtId="184" formatCode="0.00000000"/>
    <numFmt numFmtId="185" formatCode="&quot;$&quot;#,##0.00000_);\(&quot;$&quot;#,##0.00000\)"/>
    <numFmt numFmtId="186" formatCode="_ * #,##0.00_ ;_ * \-#,##0.00_ ;_ * &quot;-&quot;??_ ;_ @_ "/>
    <numFmt numFmtId="187" formatCode="####"/>
    <numFmt numFmtId="188" formatCode="0.00\K"/>
    <numFmt numFmtId="189" formatCode="\,##"/>
    <numFmt numFmtId="190" formatCode="_-* #,##0\ _D_M_-;\-* #,##0\ _D_M_-;_-* &quot;-&quot;\ _D_M_-;_-@_-"/>
    <numFmt numFmtId="191" formatCode="_-* #,##0.00\ _D_M_-;\-* #,##0.00\ _D_M_-;_-* &quot;-&quot;??\ _D_M_-;_-@_-"/>
    <numFmt numFmtId="192" formatCode="0.0%_);\(0.0%\)"/>
    <numFmt numFmtId="193" formatCode="#.00"/>
    <numFmt numFmtId="194" formatCode="##"/>
    <numFmt numFmtId="195" formatCode="###,###,"/>
    <numFmt numFmtId="196" formatCode="0.00_)"/>
    <numFmt numFmtId="197" formatCode="###"/>
    <numFmt numFmtId="198" formatCode="0.00000%"/>
    <numFmt numFmtId="199" formatCode="_ &quot;₩&quot;* #,##0.0000000_ ;_ &quot;₩&quot;* &quot;₩&quot;\-#,##0.0000000_ ;_ &quot;₩&quot;* &quot;-&quot;??_ ;_ @_ "/>
    <numFmt numFmtId="200" formatCode="&quot;$&quot;#,##0_);\(&quot;$&quot;#,##0\)"/>
    <numFmt numFmtId="201" formatCode="#,##0;[Red]&quot;△&quot;#,##0"/>
    <numFmt numFmtId="202" formatCode="_ * #,##0.000000_ ;_ * &quot;₩&quot;\-#,##0.000000_ ;_ * &quot;-&quot;??_ ;_ @_ "/>
    <numFmt numFmtId="203" formatCode="#,##0.0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0.0_);[Red]\(0.0\)"/>
    <numFmt numFmtId="207" formatCode="yyyy&quot;년&quot;\ m&quot;월&quot;\ d&quot;일&quot;;@"/>
    <numFmt numFmtId="208" formatCode="##&quot; 개월&quot;"/>
    <numFmt numFmtId="209" formatCode="0.000%"/>
    <numFmt numFmtId="210" formatCode="0_);[Red]\(0\)"/>
    <numFmt numFmtId="211" formatCode="&quot;견적일로부터 90일 (&quot;yyyy/mm/dd&quot;)&quot;"/>
  </numFmts>
  <fonts count="6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바탕체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10"/>
      <name val="Helv"/>
      <family val="2"/>
    </font>
    <font>
      <u/>
      <sz val="11"/>
      <color indexed="12"/>
      <name val="돋움"/>
      <family val="3"/>
      <charset val="129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8"/>
      <color indexed="12"/>
      <name val="Times New Roman"/>
      <family val="1"/>
    </font>
    <font>
      <b/>
      <sz val="11"/>
      <name val="Helv"/>
      <family val="2"/>
    </font>
    <font>
      <b/>
      <i/>
      <sz val="16"/>
      <name val="Helv"/>
      <family val="2"/>
    </font>
    <font>
      <sz val="10"/>
      <color indexed="8"/>
      <name val="MS Sans Serif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19"/>
      <name val="맑은 고딕"/>
      <family val="3"/>
      <charset val="129"/>
    </font>
    <font>
      <sz val="12"/>
      <name val="宋体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Arial Narrow"/>
      <family val="2"/>
    </font>
    <font>
      <sz val="11"/>
      <color indexed="8"/>
      <name val="ＭＳ Ｐゴシック"/>
      <family val="2"/>
      <charset val="128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</font>
    <font>
      <sz val="11"/>
      <color indexed="8"/>
      <name val="맑은 고딕"/>
      <family val="2"/>
      <scheme val="minor"/>
    </font>
    <font>
      <u/>
      <sz val="11"/>
      <color theme="10"/>
      <name val="맑은 고딕"/>
      <family val="2"/>
      <charset val="129"/>
      <scheme val="minor"/>
    </font>
    <font>
      <b/>
      <u val="double"/>
      <sz val="24"/>
      <color rgb="FF464646"/>
      <name val="맑은 고딕"/>
      <family val="3"/>
      <charset val="129"/>
      <scheme val="minor"/>
    </font>
    <font>
      <u/>
      <sz val="12"/>
      <color rgb="FF46464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rgb="FF464646"/>
      <name val="맑은 고딕"/>
      <family val="3"/>
      <charset val="129"/>
      <scheme val="minor"/>
    </font>
    <font>
      <b/>
      <sz val="12"/>
      <color rgb="FF464646"/>
      <name val="맑은 고딕"/>
      <family val="3"/>
      <charset val="129"/>
      <scheme val="minor"/>
    </font>
    <font>
      <sz val="10"/>
      <color rgb="FF464646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5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5" fillId="0" borderId="0"/>
    <xf numFmtId="43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41" fontId="5" fillId="0" borderId="0" applyFont="0" applyFill="0" applyBorder="0" applyAlignment="0" applyProtection="0"/>
    <xf numFmtId="0" fontId="1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5" fillId="0" borderId="0" applyNumberForma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179" fontId="5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179" fontId="5" fillId="0" borderId="0" applyFill="0" applyBorder="0" applyAlignment="0"/>
    <xf numFmtId="184" fontId="5" fillId="0" borderId="0" applyFill="0" applyBorder="0" applyAlignment="0"/>
    <xf numFmtId="180" fontId="5" fillId="0" borderId="0" applyFill="0" applyBorder="0" applyAlignment="0"/>
    <xf numFmtId="0" fontId="20" fillId="0" borderId="0"/>
    <xf numFmtId="4" fontId="21" fillId="0" borderId="0">
      <protection locked="0"/>
    </xf>
    <xf numFmtId="41" fontId="4" fillId="0" borderId="0" applyFont="0" applyFill="0" applyBorder="0" applyAlignment="0" applyProtection="0">
      <alignment vertical="center"/>
    </xf>
    <xf numFmtId="5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9" fontId="5" fillId="0" borderId="0" applyFont="0" applyFill="0" applyBorder="0" applyAlignment="0" applyProtection="0"/>
    <xf numFmtId="185" fontId="5" fillId="0" borderId="0"/>
    <xf numFmtId="186" fontId="7" fillId="0" borderId="0" applyFont="0" applyFill="0" applyBorder="0" applyAlignment="0" applyProtection="0"/>
    <xf numFmtId="187" fontId="7" fillId="0" borderId="0">
      <protection locked="0"/>
    </xf>
    <xf numFmtId="0" fontId="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7" fillId="0" borderId="0" applyFont="0" applyFill="0" applyBorder="0" applyAlignment="0" applyProtection="0"/>
    <xf numFmtId="188" fontId="5" fillId="0" borderId="0"/>
    <xf numFmtId="189" fontId="7" fillId="0" borderId="0">
      <protection locked="0"/>
    </xf>
    <xf numFmtId="14" fontId="17" fillId="0" borderId="0" applyFill="0" applyBorder="0" applyAlignment="0"/>
    <xf numFmtId="190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7" fontId="15" fillId="0" borderId="0" applyNumberFormat="0" applyFont="0" applyFill="0" applyBorder="0" applyAlignment="0" applyProtection="0">
      <alignment horizontal="right"/>
    </xf>
    <xf numFmtId="192" fontId="5" fillId="0" borderId="0"/>
    <xf numFmtId="179" fontId="5" fillId="0" borderId="0" applyFill="0" applyBorder="0" applyAlignment="0"/>
    <xf numFmtId="180" fontId="5" fillId="0" borderId="0" applyFill="0" applyBorder="0" applyAlignment="0"/>
    <xf numFmtId="179" fontId="5" fillId="0" borderId="0" applyFill="0" applyBorder="0" applyAlignment="0"/>
    <xf numFmtId="184" fontId="5" fillId="0" borderId="0" applyFill="0" applyBorder="0" applyAlignment="0"/>
    <xf numFmtId="180" fontId="5" fillId="0" borderId="0" applyFill="0" applyBorder="0" applyAlignment="0"/>
    <xf numFmtId="193" fontId="21" fillId="0" borderId="0">
      <protection locked="0"/>
    </xf>
    <xf numFmtId="38" fontId="22" fillId="3" borderId="0" applyNumberFormat="0" applyBorder="0" applyAlignment="0" applyProtection="0"/>
    <xf numFmtId="0" fontId="23" fillId="0" borderId="0">
      <alignment horizontal="left"/>
    </xf>
    <xf numFmtId="0" fontId="24" fillId="0" borderId="4" applyNumberFormat="0" applyAlignment="0" applyProtection="0">
      <alignment horizontal="left" vertical="center"/>
    </xf>
    <xf numFmtId="0" fontId="24" fillId="0" borderId="3">
      <alignment horizontal="left" vertical="center"/>
    </xf>
    <xf numFmtId="194" fontId="7" fillId="0" borderId="0">
      <protection locked="0"/>
    </xf>
    <xf numFmtId="194" fontId="7" fillId="0" borderId="0"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10" fontId="22" fillId="13" borderId="1" applyNumberFormat="0" applyBorder="0" applyAlignment="0" applyProtection="0"/>
    <xf numFmtId="195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9" fontId="5" fillId="0" borderId="0" applyFill="0" applyBorder="0" applyAlignment="0"/>
    <xf numFmtId="180" fontId="5" fillId="0" borderId="0" applyFill="0" applyBorder="0" applyAlignment="0"/>
    <xf numFmtId="179" fontId="5" fillId="0" borderId="0" applyFill="0" applyBorder="0" applyAlignment="0"/>
    <xf numFmtId="184" fontId="5" fillId="0" borderId="0" applyFill="0" applyBorder="0" applyAlignment="0"/>
    <xf numFmtId="180" fontId="5" fillId="0" borderId="0" applyFill="0" applyBorder="0" applyAlignment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6" fillId="0" borderId="5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6" fontId="27" fillId="0" borderId="0"/>
    <xf numFmtId="0" fontId="4" fillId="0" borderId="0"/>
    <xf numFmtId="0" fontId="4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7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97" fontId="7" fillId="0" borderId="0">
      <protection locked="0"/>
    </xf>
    <xf numFmtId="183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99" fontId="5" fillId="0" borderId="0" applyFont="0" applyFill="0" applyBorder="0" applyAlignment="0" applyProtection="0"/>
    <xf numFmtId="179" fontId="5" fillId="0" borderId="0" applyFill="0" applyBorder="0" applyAlignment="0"/>
    <xf numFmtId="180" fontId="5" fillId="0" borderId="0" applyFill="0" applyBorder="0" applyAlignment="0"/>
    <xf numFmtId="179" fontId="5" fillId="0" borderId="0" applyFill="0" applyBorder="0" applyAlignment="0"/>
    <xf numFmtId="184" fontId="5" fillId="0" borderId="0" applyFill="0" applyBorder="0" applyAlignment="0"/>
    <xf numFmtId="180" fontId="5" fillId="0" borderId="0" applyFill="0" applyBorder="0" applyAlignment="0"/>
    <xf numFmtId="200" fontId="15" fillId="0" borderId="0">
      <alignment horizontal="right"/>
    </xf>
    <xf numFmtId="9" fontId="28" fillId="0" borderId="0" applyFont="0" applyFill="0" applyProtection="0"/>
    <xf numFmtId="0" fontId="28" fillId="0" borderId="0"/>
    <xf numFmtId="0" fontId="7" fillId="0" borderId="0"/>
    <xf numFmtId="0" fontId="26" fillId="0" borderId="0"/>
    <xf numFmtId="49" fontId="17" fillId="0" borderId="0" applyFill="0" applyBorder="0" applyAlignment="0"/>
    <xf numFmtId="199" fontId="5" fillId="0" borderId="0" applyFill="0" applyBorder="0" applyAlignment="0"/>
    <xf numFmtId="201" fontId="5" fillId="0" borderId="0" applyFill="0" applyBorder="0" applyAlignment="0"/>
    <xf numFmtId="194" fontId="7" fillId="0" borderId="6">
      <protection locked="0"/>
    </xf>
    <xf numFmtId="202" fontId="5" fillId="0" borderId="0" applyFont="0" applyFill="0" applyBorder="0" applyAlignment="0" applyProtection="0"/>
    <xf numFmtId="203" fontId="5" fillId="0" borderId="0" applyFont="0" applyFill="0" applyBorder="0" applyAlignment="0" applyProtection="0"/>
    <xf numFmtId="204" fontId="7" fillId="0" borderId="0" applyFont="0" applyFill="0" applyBorder="0" applyAlignment="0" applyProtection="0"/>
    <xf numFmtId="205" fontId="7" fillId="0" borderId="0" applyFont="0" applyFill="0" applyBorder="0" applyAlignment="0" applyProtection="0"/>
    <xf numFmtId="0" fontId="19" fillId="14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2" applyNumberFormat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5" fillId="6" borderId="7" applyNumberFormat="0" applyFont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7" fillId="0" borderId="0"/>
    <xf numFmtId="0" fontId="33" fillId="0" borderId="0"/>
    <xf numFmtId="0" fontId="34" fillId="0" borderId="0" applyNumberFormat="0" applyFill="0" applyBorder="0" applyAlignment="0" applyProtection="0">
      <alignment vertical="center"/>
    </xf>
    <xf numFmtId="0" fontId="35" fillId="20" borderId="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5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37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0" fontId="36" fillId="0" borderId="9"/>
    <xf numFmtId="0" fontId="29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9" borderId="2" applyNumberFormat="0" applyAlignment="0" applyProtection="0">
      <alignment vertical="center"/>
    </xf>
    <xf numFmtId="0" fontId="39" fillId="0" borderId="12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18" borderId="15" applyNumberFormat="0" applyAlignment="0" applyProtection="0">
      <alignment vertical="center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>
      <alignment wrapText="1"/>
    </xf>
    <xf numFmtId="0" fontId="4" fillId="0" borderId="0">
      <alignment vertical="center"/>
    </xf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/>
    <xf numFmtId="0" fontId="4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7" fillId="0" borderId="0"/>
    <xf numFmtId="0" fontId="46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78" fontId="4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5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5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6" fontId="7" fillId="0" borderId="0" applyFont="0" applyFill="0" applyBorder="0" applyAlignment="0" applyProtection="0"/>
    <xf numFmtId="8" fontId="7" fillId="0" borderId="0" applyFont="0" applyFill="0" applyBorder="0" applyAlignment="0" applyProtection="0"/>
    <xf numFmtId="0" fontId="50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7" fillId="0" borderId="0"/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41" fontId="12" fillId="0" borderId="1" xfId="1" applyFont="1" applyBorder="1" applyAlignment="1">
      <alignment vertical="center" wrapText="1"/>
    </xf>
    <xf numFmtId="41" fontId="0" fillId="0" borderId="0" xfId="1" applyFont="1">
      <alignment vertical="center"/>
    </xf>
    <xf numFmtId="41" fontId="6" fillId="0" borderId="1" xfId="1" applyFont="1" applyBorder="1">
      <alignment vertical="center"/>
    </xf>
    <xf numFmtId="178" fontId="3" fillId="0" borderId="1" xfId="6" applyFont="1" applyBorder="1" applyAlignment="1">
      <alignment horizontal="left" vertical="center" indent="1"/>
    </xf>
    <xf numFmtId="41" fontId="8" fillId="0" borderId="1" xfId="1" applyFont="1" applyBorder="1" applyAlignment="1">
      <alignment horizontal="left" vertical="center" indent="1"/>
    </xf>
    <xf numFmtId="41" fontId="8" fillId="0" borderId="1" xfId="1" applyFont="1" applyBorder="1" applyAlignment="1">
      <alignment horizontal="center" vertical="center"/>
    </xf>
    <xf numFmtId="41" fontId="11" fillId="2" borderId="1" xfId="1" applyFont="1" applyFill="1" applyBorder="1" applyAlignment="1">
      <alignment horizontal="left" vertical="center"/>
    </xf>
    <xf numFmtId="14" fontId="8" fillId="0" borderId="1" xfId="1" applyNumberFormat="1" applyFont="1" applyBorder="1" applyAlignment="1">
      <alignment horizontal="center" vertical="center"/>
    </xf>
    <xf numFmtId="206" fontId="8" fillId="0" borderId="1" xfId="1" applyNumberFormat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0" fillId="0" borderId="0" xfId="0" applyNumberFormat="1">
      <alignment vertical="center"/>
    </xf>
    <xf numFmtId="41" fontId="6" fillId="0" borderId="1" xfId="1" applyFont="1" applyBorder="1" applyAlignment="1">
      <alignment horizontal="center" vertical="center"/>
    </xf>
    <xf numFmtId="14" fontId="8" fillId="0" borderId="1" xfId="1" quotePrefix="1" applyNumberFormat="1" applyFont="1" applyBorder="1" applyAlignment="1">
      <alignment horizontal="left" vertical="center"/>
    </xf>
    <xf numFmtId="0" fontId="52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0" fontId="53" fillId="0" borderId="0" xfId="0" applyFont="1" applyAlignment="1">
      <alignment horizontal="right" vertical="center"/>
    </xf>
    <xf numFmtId="0" fontId="54" fillId="2" borderId="1" xfId="0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3" fillId="0" borderId="1" xfId="0" applyFont="1" applyBorder="1" applyAlignment="1">
      <alignment horizontal="left" vertical="center"/>
    </xf>
    <xf numFmtId="0" fontId="54" fillId="2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left" vertical="center" indent="1"/>
    </xf>
    <xf numFmtId="0" fontId="51" fillId="0" borderId="1" xfId="251" applyBorder="1" applyAlignment="1">
      <alignment horizontal="left" vertical="center" indent="1"/>
    </xf>
    <xf numFmtId="0" fontId="3" fillId="21" borderId="0" xfId="0" applyFont="1" applyFill="1" applyAlignment="1">
      <alignment horizontal="center" vertical="center"/>
    </xf>
    <xf numFmtId="42" fontId="59" fillId="21" borderId="0" xfId="1" applyNumberFormat="1" applyFont="1" applyFill="1" applyAlignment="1">
      <alignment horizontal="left" vertical="center"/>
    </xf>
    <xf numFmtId="0" fontId="4" fillId="21" borderId="0" xfId="0" applyFont="1" applyFill="1">
      <alignment vertical="center"/>
    </xf>
    <xf numFmtId="0" fontId="60" fillId="21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1" fontId="63" fillId="21" borderId="23" xfId="252" quotePrefix="1" applyNumberFormat="1" applyFont="1" applyFill="1" applyBorder="1" applyAlignment="1" applyProtection="1">
      <alignment horizontal="left" vertical="center" wrapText="1" indent="1"/>
      <protection locked="0"/>
    </xf>
    <xf numFmtId="41" fontId="63" fillId="21" borderId="1" xfId="252" quotePrefix="1" applyNumberFormat="1" applyFont="1" applyFill="1" applyBorder="1" applyAlignment="1" applyProtection="1">
      <alignment horizontal="left" vertical="center" wrapText="1" indent="1"/>
      <protection locked="0"/>
    </xf>
    <xf numFmtId="41" fontId="65" fillId="0" borderId="1" xfId="1" applyFont="1" applyBorder="1" applyAlignment="1">
      <alignment horizontal="center" vertical="center"/>
    </xf>
    <xf numFmtId="41" fontId="65" fillId="0" borderId="1" xfId="1" applyFont="1" applyFill="1" applyBorder="1" applyAlignment="1">
      <alignment horizontal="center" vertical="center"/>
    </xf>
    <xf numFmtId="41" fontId="8" fillId="0" borderId="0" xfId="1" applyFont="1">
      <alignment vertical="center"/>
    </xf>
    <xf numFmtId="41" fontId="51" fillId="0" borderId="16" xfId="251" quotePrefix="1" applyNumberFormat="1" applyBorder="1" applyAlignment="1">
      <alignment horizontal="center" vertical="center" wrapText="1"/>
    </xf>
    <xf numFmtId="41" fontId="66" fillId="22" borderId="1" xfId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209" fontId="0" fillId="0" borderId="0" xfId="250" applyNumberFormat="1" applyFont="1">
      <alignment vertical="center"/>
    </xf>
    <xf numFmtId="208" fontId="64" fillId="0" borderId="1" xfId="1" applyNumberFormat="1" applyFont="1" applyBorder="1" applyAlignment="1">
      <alignment horizontal="right" vertical="center"/>
    </xf>
    <xf numFmtId="41" fontId="8" fillId="0" borderId="1" xfId="1" applyFont="1" applyFill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43" fontId="10" fillId="2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210" fontId="8" fillId="0" borderId="1" xfId="1" applyNumberFormat="1" applyFont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0" fontId="3" fillId="0" borderId="22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52" fillId="0" borderId="0" xfId="0" applyFont="1" applyAlignment="1">
      <alignment horizontal="center" vertical="center"/>
    </xf>
    <xf numFmtId="0" fontId="55" fillId="0" borderId="17" xfId="0" applyFont="1" applyBorder="1" applyAlignment="1">
      <alignment horizontal="center" vertical="center"/>
    </xf>
    <xf numFmtId="0" fontId="55" fillId="0" borderId="18" xfId="0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0" fontId="55" fillId="0" borderId="20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207" fontId="3" fillId="0" borderId="21" xfId="0" applyNumberFormat="1" applyFont="1" applyBorder="1" applyAlignment="1">
      <alignment horizontal="left" vertical="center" wrapText="1" indent="1"/>
    </xf>
    <xf numFmtId="207" fontId="3" fillId="0" borderId="22" xfId="0" applyNumberFormat="1" applyFont="1" applyBorder="1" applyAlignment="1">
      <alignment horizontal="left" vertical="center" wrapText="1" indent="1"/>
    </xf>
    <xf numFmtId="0" fontId="3" fillId="0" borderId="21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14" fontId="3" fillId="0" borderId="21" xfId="0" applyNumberFormat="1" applyFont="1" applyBorder="1" applyAlignment="1">
      <alignment horizontal="left" vertical="center" wrapText="1" indent="1"/>
    </xf>
    <xf numFmtId="0" fontId="3" fillId="0" borderId="22" xfId="0" applyFont="1" applyBorder="1" applyAlignment="1">
      <alignment horizontal="left" vertical="center" wrapText="1" indent="1"/>
    </xf>
    <xf numFmtId="0" fontId="3" fillId="0" borderId="21" xfId="2" applyFont="1" applyBorder="1" applyAlignment="1">
      <alignment horizontal="left" vertical="center" indent="1"/>
    </xf>
    <xf numFmtId="0" fontId="3" fillId="0" borderId="22" xfId="2" applyFont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42" fontId="59" fillId="0" borderId="1" xfId="1" applyNumberFormat="1" applyFont="1" applyBorder="1" applyAlignment="1">
      <alignment horizontal="left" vertical="center" wrapText="1" indent="1"/>
    </xf>
    <xf numFmtId="42" fontId="59" fillId="0" borderId="1" xfId="1" applyNumberFormat="1" applyFont="1" applyBorder="1" applyAlignment="1">
      <alignment horizontal="left" vertical="center" indent="1"/>
    </xf>
    <xf numFmtId="0" fontId="61" fillId="0" borderId="1" xfId="0" applyFont="1" applyBorder="1" applyAlignment="1">
      <alignment horizontal="center" vertical="center"/>
    </xf>
    <xf numFmtId="42" fontId="62" fillId="0" borderId="1" xfId="1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left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41" fontId="8" fillId="0" borderId="17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60" fillId="22" borderId="21" xfId="0" applyFont="1" applyFill="1" applyBorder="1" applyAlignment="1">
      <alignment horizontal="center" vertical="center"/>
    </xf>
    <xf numFmtId="0" fontId="60" fillId="22" borderId="3" xfId="0" applyFont="1" applyFill="1" applyBorder="1" applyAlignment="1">
      <alignment horizontal="center" vertical="center"/>
    </xf>
    <xf numFmtId="0" fontId="60" fillId="22" borderId="22" xfId="0" applyFont="1" applyFill="1" applyBorder="1" applyAlignment="1">
      <alignment horizontal="center" vertical="center"/>
    </xf>
    <xf numFmtId="177" fontId="4" fillId="0" borderId="21" xfId="0" applyNumberFormat="1" applyFont="1" applyBorder="1" applyAlignment="1">
      <alignment horizontal="center" vertical="center" wrapText="1"/>
    </xf>
    <xf numFmtId="177" fontId="4" fillId="0" borderId="22" xfId="0" applyNumberFormat="1" applyFont="1" applyBorder="1" applyAlignment="1">
      <alignment horizontal="center" vertical="center" wrapText="1"/>
    </xf>
    <xf numFmtId="211" fontId="54" fillId="0" borderId="21" xfId="0" applyNumberFormat="1" applyFont="1" applyBorder="1" applyAlignment="1">
      <alignment horizontal="left" vertical="center" wrapText="1" indent="1"/>
    </xf>
    <xf numFmtId="211" fontId="54" fillId="0" borderId="3" xfId="0" applyNumberFormat="1" applyFont="1" applyBorder="1" applyAlignment="1">
      <alignment horizontal="left" vertical="center" wrapText="1" indent="1"/>
    </xf>
    <xf numFmtId="211" fontId="54" fillId="0" borderId="22" xfId="0" applyNumberFormat="1" applyFont="1" applyBorder="1" applyAlignment="1">
      <alignment horizontal="left" vertical="center" wrapText="1" indent="1"/>
    </xf>
    <xf numFmtId="177" fontId="4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indent="1"/>
    </xf>
    <xf numFmtId="41" fontId="12" fillId="3" borderId="1" xfId="5" applyFont="1" applyFill="1" applyBorder="1" applyAlignment="1">
      <alignment horizontal="left" vertical="center" wrapText="1" indent="9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41" fontId="8" fillId="0" borderId="23" xfId="1" applyFont="1" applyBorder="1" applyAlignment="1">
      <alignment horizontal="center" vertical="center"/>
    </xf>
    <xf numFmtId="41" fontId="8" fillId="0" borderId="24" xfId="1" applyFont="1" applyBorder="1" applyAlignment="1">
      <alignment horizontal="center" vertical="center"/>
    </xf>
    <xf numFmtId="41" fontId="8" fillId="0" borderId="23" xfId="1" applyFont="1" applyFill="1" applyBorder="1" applyAlignment="1">
      <alignment horizontal="center" vertical="center" wrapText="1"/>
    </xf>
    <xf numFmtId="41" fontId="8" fillId="0" borderId="24" xfId="1" applyFont="1" applyFill="1" applyBorder="1" applyAlignment="1">
      <alignment horizontal="center" vertical="center" wrapText="1"/>
    </xf>
    <xf numFmtId="14" fontId="8" fillId="0" borderId="23" xfId="1" applyNumberFormat="1" applyFont="1" applyBorder="1" applyAlignment="1">
      <alignment vertical="center"/>
    </xf>
    <xf numFmtId="14" fontId="8" fillId="0" borderId="16" xfId="1" applyNumberFormat="1" applyFont="1" applyBorder="1" applyAlignment="1">
      <alignment vertical="center"/>
    </xf>
  </cellXfs>
  <cellStyles count="253">
    <cellStyle name="_CPQRC_Storage_Dec05" xfId="16" xr:uid="{A4C87731-D215-4EF9-85BD-3EAD1ACB0277}"/>
    <cellStyle name="_ProCurve Quick Reference Card - December 2005" xfId="17" xr:uid="{E4835559-4FA1-4D45-B02E-942F92F57CF3}"/>
    <cellStyle name="_ProCurve Quick Reference Card - January 2006" xfId="18" xr:uid="{3F61B6DD-C0BF-4357-BE3C-E335C081F3B9}"/>
    <cellStyle name="_ProCurve Quick Reference Card - July 1 2005" xfId="19" xr:uid="{0A04D65F-C2FA-41E5-8725-21549199807B}"/>
    <cellStyle name="_ProCurve Quick Reference Card - July 1 2005_Book1" xfId="20" xr:uid="{33967C53-31A2-4EE2-9D36-4DA321C65218}"/>
    <cellStyle name="_ProCurve Quick Reference Card - July 1 2005_HP_Care_Pack_Aug05" xfId="21" xr:uid="{BCE3D1A8-E885-40E6-A3FA-3E4CE7CFCE0F}"/>
    <cellStyle name="_ProCurve Quick Reference Card - July 1 2005_HP_Care_Pack_July05" xfId="22" xr:uid="{CBD3CA6D-CE02-4FD9-BE84-2B406F03D37D}"/>
    <cellStyle name="_ProCurve Quick Reference Card - October 1  2005" xfId="23" xr:uid="{A0FAE825-1677-4E82-8E50-6E74160A169C}"/>
    <cellStyle name="_ProCurve Quick Reference Card - October 2005 v2" xfId="24" xr:uid="{4ECD6588-CED0-40CE-AC06-5C26CB823E50}"/>
    <cellStyle name="_R8_CPQRC Storage 7-29-05" xfId="25" xr:uid="{CCED4A5F-4388-4924-85AA-2FB238B0DC59}"/>
    <cellStyle name="_기본견적(2003년 01월)" xfId="26" xr:uid="{18962F4A-B7A3-4E79-A6D6-3456158A7A58}"/>
    <cellStyle name="=C:\WINNT\SYSTEM32\COMMAND.COM" xfId="27" xr:uid="{29548BF4-8AB3-4A91-88A5-E1A91BF61FC1}"/>
    <cellStyle name="20% - 강조색1 2" xfId="28" xr:uid="{9DA0C7E0-000E-476A-9ACE-6EEF7DF5BC20}"/>
    <cellStyle name="20% - 강조색2 2" xfId="29" xr:uid="{07224DCC-6435-4ED1-B115-2E0C5E882A5B}"/>
    <cellStyle name="20% - 강조색3 2" xfId="30" xr:uid="{23A59E17-C662-4968-A170-24F09C622715}"/>
    <cellStyle name="20% - 강조색4 2" xfId="31" xr:uid="{4CF0A8E4-B246-4059-B7B6-8230BA1CCF3A}"/>
    <cellStyle name="20% - 강조색5 2" xfId="32" xr:uid="{6FD2A5B3-6639-4BB2-9D64-EB1B9DDE7127}"/>
    <cellStyle name="20% - 강조색6 2" xfId="33" xr:uid="{710E96E3-B889-44CF-BE7B-BFC452291360}"/>
    <cellStyle name="40% - 강조색1 2" xfId="34" xr:uid="{EB0FF988-913D-4145-86BF-E2DAC81C28E5}"/>
    <cellStyle name="40% - 강조색2 2" xfId="35" xr:uid="{92B954C3-C629-4B96-BE4D-EB59F9F2F860}"/>
    <cellStyle name="40% - 강조색3 2" xfId="36" xr:uid="{646DE1DA-5635-4758-821B-BF4B79EEF75E}"/>
    <cellStyle name="40% - 강조색4 2" xfId="37" xr:uid="{005F4A84-7713-4BB9-A001-834B2E93C349}"/>
    <cellStyle name="40% - 강조색5 2" xfId="38" xr:uid="{F994E928-F578-4DBA-A203-6F034186E7E8}"/>
    <cellStyle name="40% - 강조색6 2" xfId="39" xr:uid="{73BB1D80-9316-4A62-BAFC-4C1327011971}"/>
    <cellStyle name="60% - 강조색1 2" xfId="40" xr:uid="{213A9211-2F7D-45EF-ADBD-CA94BE2409D6}"/>
    <cellStyle name="60% - 강조색2 2" xfId="41" xr:uid="{18A52B48-8A00-4AF2-8EBF-85596A64F32E}"/>
    <cellStyle name="60% - 강조색3 2" xfId="42" xr:uid="{FB5BBA14-0331-4CC5-A068-D75024BEF764}"/>
    <cellStyle name="60% - 강조색4 2" xfId="43" xr:uid="{36DFA6C5-F17A-493F-92C5-009E69111D4D}"/>
    <cellStyle name="60% - 강조색5 2" xfId="44" xr:uid="{ED29B992-8451-4424-BC17-DBEA5C9F297B}"/>
    <cellStyle name="60% - 강조색6 2" xfId="45" xr:uid="{27103778-D693-4482-BF3D-9A1B7F471B16}"/>
    <cellStyle name="Calc Currency (0)" xfId="46" xr:uid="{0A0B199D-5493-470C-9EFA-70F10DE55AB9}"/>
    <cellStyle name="Calc Currency (2)" xfId="47" xr:uid="{43A94F3C-9845-456B-9E60-63487ED62A14}"/>
    <cellStyle name="Calc Percent (0)" xfId="48" xr:uid="{386E5B90-7935-4FB2-90F9-48BC8A401E97}"/>
    <cellStyle name="Calc Percent (1)" xfId="49" xr:uid="{5E00FC1B-209E-4589-AC76-24E31FDF0940}"/>
    <cellStyle name="Calc Percent (2)" xfId="50" xr:uid="{985A6680-534B-4CDB-B330-1FA3E3398593}"/>
    <cellStyle name="Calc Units (0)" xfId="51" xr:uid="{188232C3-6140-48ED-81D3-CAF4B6958AD0}"/>
    <cellStyle name="Calc Units (1)" xfId="52" xr:uid="{016B9D93-3D89-4914-8FE6-0D0B9390D782}"/>
    <cellStyle name="Calc Units (2)" xfId="53" xr:uid="{72D45E98-44E4-4A8B-9140-B6560753BA60}"/>
    <cellStyle name="category" xfId="54" xr:uid="{EEED8290-A3BB-4B26-A528-D65DE3C2DDFC}"/>
    <cellStyle name="Comma" xfId="55" xr:uid="{00E30409-68F3-46CA-AE4F-B61A244DA4E9}"/>
    <cellStyle name="Comma [0] 2 13" xfId="56" xr:uid="{D1DE447F-229E-417E-A1B2-15AEDE080DAC}"/>
    <cellStyle name="Comma [0] 2 13 2" xfId="235" xr:uid="{5A5F62AA-3B91-4E5D-B7BB-8875F4E82174}"/>
    <cellStyle name="Comma [0] 26" xfId="57" xr:uid="{F985B55D-1F2D-43A8-AD28-7067FC7E44AD}"/>
    <cellStyle name="Comma [0] 26 2" xfId="236" xr:uid="{070DA06C-DBF1-4FDF-8FFD-E14B1D38E859}"/>
    <cellStyle name="Comma [0] 4" xfId="232" xr:uid="{75631167-5BCC-4FAA-8ABF-EF6E53F87234}"/>
    <cellStyle name="Comma [0] 4 2" xfId="248" xr:uid="{6259BFF3-F9BA-425A-A415-0AE96C3050FA}"/>
    <cellStyle name="Comma [0] 6" xfId="233" xr:uid="{E075C3B3-FF8B-482B-BBC4-8A7AC92B658A}"/>
    <cellStyle name="Comma [0] 6 2" xfId="249" xr:uid="{706CF29E-EDDA-4B11-8C0F-98616EFCE57F}"/>
    <cellStyle name="Comma [0]_ SG&amp;A Bridge " xfId="58" xr:uid="{16D4E28A-66ED-4E08-8004-AF2734E1673F}"/>
    <cellStyle name="Comma [00]" xfId="59" xr:uid="{5330BA2A-D0BF-40CD-A499-1C78CADAF3B3}"/>
    <cellStyle name="comma zerodec" xfId="60" xr:uid="{7BCB8FCB-8FFB-4F0D-9143-191C861B5F0C}"/>
    <cellStyle name="Comma_ SG&amp;A Bridge " xfId="61" xr:uid="{AB55DFB5-B919-4BFB-8835-7B79187233C8}"/>
    <cellStyle name="Currency" xfId="62" xr:uid="{187E547C-8D76-4C05-94BF-A953ACC15E9D}"/>
    <cellStyle name="Currency [0]_ SG&amp;A Bridge " xfId="63" xr:uid="{F4F66E04-83A7-477B-8F82-C638915F8203}"/>
    <cellStyle name="Currency [00]" xfId="64" xr:uid="{CA3CB557-047F-49E2-AB3B-F44164DC27AB}"/>
    <cellStyle name="Currency_ SG&amp;A Bridge " xfId="65" xr:uid="{B97526F0-E52F-4244-A8C6-0E7FEBA30E08}"/>
    <cellStyle name="Currency1" xfId="66" xr:uid="{13887AA9-3EF7-4B51-B289-377251084DC7}"/>
    <cellStyle name="Date" xfId="67" xr:uid="{4D49F7B9-BFC6-475B-817A-A42522335E40}"/>
    <cellStyle name="Date Short" xfId="68" xr:uid="{9B1C72D2-793E-4A7A-832C-1E82B62273CF}"/>
    <cellStyle name="Dezimal [0]_laroux" xfId="69" xr:uid="{82B480BF-F7A4-459D-A86D-29F25DBD23DF}"/>
    <cellStyle name="Dezimal_laroux" xfId="70" xr:uid="{A20901DD-5C4D-4FA7-9C63-5EFAC65F6ED3}"/>
    <cellStyle name="discount" xfId="71" xr:uid="{717089EC-7211-453E-AA6B-43990A54778D}"/>
    <cellStyle name="Dollar (zero dec)" xfId="72" xr:uid="{5C9B0AF7-E71D-42C8-A529-8AA19815F499}"/>
    <cellStyle name="Enter Currency (0)" xfId="73" xr:uid="{B9A061A6-98DF-433E-973D-00BECD6E5659}"/>
    <cellStyle name="Enter Currency (2)" xfId="74" xr:uid="{5E9709F9-C1D4-49CC-8139-FBC20BBF3CBD}"/>
    <cellStyle name="Enter Units (0)" xfId="75" xr:uid="{2E4FB444-65CA-4685-AF73-A3314663D717}"/>
    <cellStyle name="Enter Units (1)" xfId="76" xr:uid="{7595BB89-398A-4834-8CA7-4742E0DDEADC}"/>
    <cellStyle name="Enter Units (2)" xfId="77" xr:uid="{D8E0DDB5-8A8C-4D92-9CF3-5305A7E3C97B}"/>
    <cellStyle name="Fixed" xfId="78" xr:uid="{B8B0B75F-E181-4715-A259-9FEEE0751A2A}"/>
    <cellStyle name="Grey" xfId="79" xr:uid="{73848C9C-4CE6-4590-8C64-4E59DD00BEA7}"/>
    <cellStyle name="HEADER" xfId="80" xr:uid="{E0DC0F13-7525-4841-B715-589DD8C3B268}"/>
    <cellStyle name="Header1" xfId="81" xr:uid="{8C31FDC9-5858-4644-AC2C-0D912330A35E}"/>
    <cellStyle name="Header2" xfId="82" xr:uid="{CDFAF09E-6D6A-4776-99EC-03B63C091FFA}"/>
    <cellStyle name="Heading1" xfId="83" xr:uid="{594CA68F-A9EB-46F0-9662-B6819AEAF814}"/>
    <cellStyle name="Heading2" xfId="84" xr:uid="{C51D6FBB-F5B3-46AA-BD79-0D25C411BCED}"/>
    <cellStyle name="Hyperlink" xfId="85" xr:uid="{F3905948-AC9F-4681-A735-C89A1E91EB1F}"/>
    <cellStyle name="Input [yellow]" xfId="86" xr:uid="{BE1EC5D4-0095-4CF0-A14D-A0C4343CB94E}"/>
    <cellStyle name="Komma [0]_BINV" xfId="87" xr:uid="{9FA45DEA-19CB-42F6-A095-4472AFB78051}"/>
    <cellStyle name="Komma_BINV" xfId="88" xr:uid="{790F4067-FD81-4CE7-8FE1-FFEE39101331}"/>
    <cellStyle name="Link Currency (0)" xfId="89" xr:uid="{63663B82-28BB-4B75-BDDF-76E93ED8AFE4}"/>
    <cellStyle name="Link Currency (2)" xfId="90" xr:uid="{8DA4D57E-FF22-4B6C-8571-598F87A1C6DB}"/>
    <cellStyle name="Link Units (0)" xfId="91" xr:uid="{7BD74CC0-C889-4382-BBCB-9D7F7C2EAF24}"/>
    <cellStyle name="Link Units (1)" xfId="92" xr:uid="{99BC076E-0FDF-4E97-9C5D-56BD08632F8E}"/>
    <cellStyle name="Link Units (2)" xfId="93" xr:uid="{22E3C79C-BA67-4947-BC76-C8CEE7CC4135}"/>
    <cellStyle name="Milliers [0]_Arabian Spec" xfId="94" xr:uid="{CF37E0EA-4EA3-44E9-A8E4-64AF0AB94901}"/>
    <cellStyle name="Milliers_Arabian Spec" xfId="95" xr:uid="{443D9A06-8F52-482E-8874-728593B63A33}"/>
    <cellStyle name="Model" xfId="96" xr:uid="{45CC9E24-F175-4C99-A362-AA7422478142}"/>
    <cellStyle name="Mon?aire [0]_Arabian Spec" xfId="97" xr:uid="{7565148B-5B77-4AA0-A4D8-1110F46590F9}"/>
    <cellStyle name="Mon?aire_Arabian Spec" xfId="98" xr:uid="{0DFAF35F-7089-462E-BB13-20F34814C907}"/>
    <cellStyle name="Normal - Style1" xfId="99" xr:uid="{AE34503A-BBC5-4D0D-92D4-8D635D741958}"/>
    <cellStyle name="Normal 11 8" xfId="100" xr:uid="{4F107E8B-F4B0-42DC-94EC-C8684BB51EF6}"/>
    <cellStyle name="Normal 17" xfId="101" xr:uid="{B36D8230-5573-419E-A22A-826A0C2F84D5}"/>
    <cellStyle name="Normal 2" xfId="102" xr:uid="{29BFE051-65FE-4D05-BF17-3ED53BD66DF1}"/>
    <cellStyle name="Normal 2 10" xfId="103" xr:uid="{6CC08C72-C6F9-4752-A311-534DD70DCEF7}"/>
    <cellStyle name="Normal 2 12" xfId="104" xr:uid="{16011BE7-8A1C-4D74-91F4-EA02D96C779E}"/>
    <cellStyle name="Normal 2 13" xfId="105" xr:uid="{41972CAA-AC21-4651-B3C8-8C898C332F94}"/>
    <cellStyle name="Normal 2 15" xfId="106" xr:uid="{CCC98573-AB6B-47F9-A1EF-2A65423ABB45}"/>
    <cellStyle name="Normal 2 17" xfId="107" xr:uid="{0722EED6-DA6E-49AD-9678-6856ABD148D8}"/>
    <cellStyle name="Normal 2 19" xfId="108" xr:uid="{943ABE99-2D40-4ADA-8A78-30879C56092F}"/>
    <cellStyle name="Normal 2 21" xfId="109" xr:uid="{E836DAA1-E443-4367-AA95-BF535FC78728}"/>
    <cellStyle name="Normal 2 22" xfId="110" xr:uid="{2EB8617E-8A7A-41B2-ADCC-C08F2C1A0DB9}"/>
    <cellStyle name="Normal 2 25" xfId="111" xr:uid="{648E1A8E-C5A0-475E-9655-F57786918757}"/>
    <cellStyle name="Normal 2 29" xfId="112" xr:uid="{26D5A022-5911-4684-8467-99C56FE361C7}"/>
    <cellStyle name="Normal 2 31" xfId="113" xr:uid="{3CE390AA-378B-4416-8C58-D2EE9D87A47C}"/>
    <cellStyle name="Normal 2 33" xfId="114" xr:uid="{F7E90363-1B6D-4433-873E-89E9427091F2}"/>
    <cellStyle name="Normal 2 34" xfId="115" xr:uid="{4737AA23-C4EF-40ED-8B72-8BE24AF1030D}"/>
    <cellStyle name="Normal 2 35" xfId="116" xr:uid="{5B29F5F3-C5BA-4775-A659-12BFF6670F41}"/>
    <cellStyle name="Normal 2 36" xfId="117" xr:uid="{3509A3E6-EA75-40EE-880D-BB72805372F0}"/>
    <cellStyle name="Normal 2 37" xfId="118" xr:uid="{C8F6F075-B8A4-49E2-89D6-3315203D629C}"/>
    <cellStyle name="Normal 2 40" xfId="119" xr:uid="{3D21A225-72BC-4BBB-B497-BFD9C28A8F63}"/>
    <cellStyle name="Normal 2 41" xfId="120" xr:uid="{5B701E19-B456-4B32-9D6A-C3478185AE59}"/>
    <cellStyle name="Normal 2 47" xfId="121" xr:uid="{DCC04DF0-D8A1-40E1-BCEC-D509C7FA0A42}"/>
    <cellStyle name="Normal 2 56" xfId="122" xr:uid="{3C7F831B-7BCA-4D49-8C20-945B1314CCCA}"/>
    <cellStyle name="Normal 20 3" xfId="123" xr:uid="{729985C7-D404-436F-A25E-292BCA90249D}"/>
    <cellStyle name="Normal 23 8" xfId="124" xr:uid="{64E85BE8-0C3B-4FDF-818E-EB09A918930E}"/>
    <cellStyle name="Normal 24 3" xfId="125" xr:uid="{71777531-291A-4518-837B-4E36C8B80E47}"/>
    <cellStyle name="Normal 25 3" xfId="126" xr:uid="{DAA8503D-8D28-42F6-BDAE-5FC39F92122D}"/>
    <cellStyle name="Normal 26 8" xfId="127" xr:uid="{B8078D4E-B071-4885-924B-A06529E66612}"/>
    <cellStyle name="Normal 27 3" xfId="128" xr:uid="{6756A91D-11C3-442F-A9C4-B543ED56FD08}"/>
    <cellStyle name="Normal 28 8" xfId="129" xr:uid="{50B1DF45-827B-49BD-93AB-3DF2CB25A4C8}"/>
    <cellStyle name="Normal 29 3" xfId="130" xr:uid="{85540F8F-5088-473A-9C07-15455E1D2F56}"/>
    <cellStyle name="Normal 32" xfId="131" xr:uid="{E3453071-F077-41D7-9E3E-88E71760D294}"/>
    <cellStyle name="Normal 4 18" xfId="132" xr:uid="{0A7478A7-7077-4C49-999A-7A55BADF1EA7}"/>
    <cellStyle name="Normal 4 2 21" xfId="133" xr:uid="{15FA9B7E-486B-4B1E-99C8-5907242541B2}"/>
    <cellStyle name="Normal 8 8" xfId="134" xr:uid="{33E066DF-41DE-4E44-A5BE-82CC0A07B82B}"/>
    <cellStyle name="Normal_ SG&amp;A Bridge " xfId="135" xr:uid="{27557E02-2F5A-4DED-9C53-921860541893}"/>
    <cellStyle name="Œ…‹æØ‚è [0.00]_laroux" xfId="136" xr:uid="{9126F1E8-0D6D-45D2-A5A0-B545AD12EC5A}"/>
    <cellStyle name="Œ…‹æØ‚è_laroux" xfId="137" xr:uid="{946C9FAB-0EBB-46F0-9C77-BA4C02C0202B}"/>
    <cellStyle name="Percent" xfId="138" xr:uid="{4BB90B27-83F8-46C2-A571-5D2CD59315DE}"/>
    <cellStyle name="Percent [0]" xfId="139" xr:uid="{CC71B661-2EFA-4103-A5F3-9373FE553818}"/>
    <cellStyle name="Percent [00]" xfId="140" xr:uid="{D2AF20A6-3CB3-448E-94C2-9A2629C2A35E}"/>
    <cellStyle name="Percent [2]" xfId="141" xr:uid="{44BFF453-4844-4E9A-94B1-3A2C496CBE47}"/>
    <cellStyle name="Percent 3" xfId="142" xr:uid="{360661CA-3FD2-4428-A750-65F6A00A8A8D}"/>
    <cellStyle name="Percent 3 2 8" xfId="143" xr:uid="{B138896A-317C-4508-8D24-842B33856263}"/>
    <cellStyle name="Percent_#6 Temps &amp; Contractors" xfId="144" xr:uid="{6A6FD3FD-433C-406E-9109-50841C479CED}"/>
    <cellStyle name="PrePop Currency (0)" xfId="145" xr:uid="{1017D433-D9FD-405A-BEC9-0B76C8E3A663}"/>
    <cellStyle name="PrePop Currency (2)" xfId="146" xr:uid="{D34FD3C6-7464-4238-B020-62F8B2D7E2BE}"/>
    <cellStyle name="PrePop Units (0)" xfId="147" xr:uid="{C4EB0C05-62A3-4783-B0AB-C7482F76C8FE}"/>
    <cellStyle name="PrePop Units (1)" xfId="148" xr:uid="{A8C97EE6-2F3E-4F70-BCAC-D4D56A75BE3B}"/>
    <cellStyle name="PrePop Units (2)" xfId="149" xr:uid="{E260F28A-6463-40C8-B438-BD11F3220CB8}"/>
    <cellStyle name="Prices" xfId="150" xr:uid="{21F55559-3907-4C56-8E58-65E124B6C169}"/>
    <cellStyle name="Procent_BINV" xfId="151" xr:uid="{3AE66B6D-3E2C-438D-B4D2-1E1F41A49804}"/>
    <cellStyle name="Standaard_BINV" xfId="152" xr:uid="{472C29CF-2160-44DB-8EB9-F2D5B8D36B9C}"/>
    <cellStyle name="Standard_laroux" xfId="153" xr:uid="{6FCDB9BC-03F7-4F18-9D69-0FE73E9B166A}"/>
    <cellStyle name="subhead" xfId="154" xr:uid="{556D58F2-8C6A-4143-BA8C-6EAF89CCFEA7}"/>
    <cellStyle name="Text Indent A" xfId="155" xr:uid="{D0BC996F-C442-4F64-80B1-0AC9B588E348}"/>
    <cellStyle name="Text Indent B" xfId="156" xr:uid="{E176F48D-BE65-4307-B3C7-78738ACA780C}"/>
    <cellStyle name="Text Indent C" xfId="157" xr:uid="{7540F6A4-9114-440A-A18B-20BD8ED9F2BC}"/>
    <cellStyle name="Total" xfId="158" xr:uid="{214300DE-D9D5-4B3F-8BCA-59B3A665ED9B}"/>
    <cellStyle name="Valuta [0]_BINV" xfId="159" xr:uid="{B0109D9A-29C7-4B5B-9FA5-9BD38F646EE0}"/>
    <cellStyle name="Valuta_BINV" xfId="160" xr:uid="{260CC9C6-1BB4-4079-B187-B5B4ABD2B303}"/>
    <cellStyle name="W?rung [0]_laroux" xfId="161" xr:uid="{729DBD3A-EC4A-421D-8CB4-36FE3F683C72}"/>
    <cellStyle name="W?rung_laroux" xfId="162" xr:uid="{A657D1B1-89B3-4875-89B9-A751D1D8D94E}"/>
    <cellStyle name="강조색1 2" xfId="163" xr:uid="{1346CE78-EC69-4E3E-92F1-77CD70B8C063}"/>
    <cellStyle name="강조색2 2" xfId="164" xr:uid="{9C196968-BDAF-49B4-B561-157EFE85580A}"/>
    <cellStyle name="강조색3 2" xfId="165" xr:uid="{C8AF43FA-CB6A-466F-BA26-9E4F6587B5CF}"/>
    <cellStyle name="강조색4 2" xfId="166" xr:uid="{0CA980C7-E555-4CC6-B3E8-7B78C122AA44}"/>
    <cellStyle name="강조색5 2" xfId="167" xr:uid="{8B248B52-84E6-4DF2-B8F9-8E51EAE3F45E}"/>
    <cellStyle name="강조색6 2" xfId="168" xr:uid="{5655D9C9-60F4-4330-8248-03F8BD31A419}"/>
    <cellStyle name="경고문 2" xfId="169" xr:uid="{901D93BE-7CE8-4F05-878E-15DBA677692B}"/>
    <cellStyle name="계산 2" xfId="170" xr:uid="{5F241DAB-08F7-42D7-9776-FEF7D89D2E62}"/>
    <cellStyle name="나쁨 2" xfId="171" xr:uid="{691B3CA1-9DC7-49F8-BD56-38BF46FA5992}"/>
    <cellStyle name="메모 2" xfId="172" xr:uid="{99A4E1FB-06E0-4D5D-AB59-FCD5F4280D8F}"/>
    <cellStyle name="백분율" xfId="250" builtinId="5"/>
    <cellStyle name="백분율 10" xfId="173" xr:uid="{955ADD5D-A6B6-414E-9F38-153391592042}"/>
    <cellStyle name="백분율 2" xfId="10" xr:uid="{130082F9-B15E-42AF-94E7-20909C96AFA6}"/>
    <cellStyle name="백분율 2 10 2" xfId="175" xr:uid="{3E9485A4-7353-4F9A-9740-29BB4C9459A2}"/>
    <cellStyle name="백분율 2 2" xfId="174" xr:uid="{17005BD5-F1F5-4966-8E8F-5047A3253E4B}"/>
    <cellStyle name="백분율 3" xfId="176" xr:uid="{012943E0-04A4-4691-99A4-66101B0633D4}"/>
    <cellStyle name="백분율 4" xfId="177" xr:uid="{12D5F5A2-EC70-4401-96B0-8DAE093E6DA6}"/>
    <cellStyle name="보통 2" xfId="178" xr:uid="{1CF328B4-F670-4719-AEF2-3905F1C0E701}"/>
    <cellStyle name="뷭?_laroux" xfId="179" xr:uid="{4FA83295-1544-4162-A8AB-D0615A244023}"/>
    <cellStyle name="常规_OPTION_9910" xfId="180" xr:uid="{720BF93A-AF12-4EA2-8E6A-67B799C770CE}"/>
    <cellStyle name="설명 텍스트 2" xfId="181" xr:uid="{0D7A8114-1C3C-4BDC-B87F-13F4CBDAEC13}"/>
    <cellStyle name="셀 확인 2" xfId="182" xr:uid="{FBEE2DF6-6FFC-4244-A5AA-0F2A08AC23EF}"/>
    <cellStyle name="쉼표 [0]" xfId="1" builtinId="6"/>
    <cellStyle name="쉼표 [0] 10" xfId="4" xr:uid="{BF341265-D913-4C5C-98E1-F49745BF2E1C}"/>
    <cellStyle name="쉼표 [0] 10 2" xfId="183" xr:uid="{6BF02163-1028-4CE3-8F09-D4110F97499A}"/>
    <cellStyle name="쉼표 [0] 10 3" xfId="237" xr:uid="{164A7201-F70D-49D6-AE70-08D86ADAB39B}"/>
    <cellStyle name="쉼표 [0] 2" xfId="5" xr:uid="{A0C1F714-8D74-47BB-8F40-C51474842067}"/>
    <cellStyle name="쉼표 [0] 2 2" xfId="9" xr:uid="{9C41CCD7-479B-4C53-A7BB-32D1BFA6FB0F}"/>
    <cellStyle name="쉼표 [0] 2 2 2" xfId="185" xr:uid="{427A45D0-EB38-400B-8849-1B5E4FA50B6E}"/>
    <cellStyle name="쉼표 [0] 2 2 3" xfId="239" xr:uid="{467E44FA-85D2-4016-BCFB-4BAD1F210AFA}"/>
    <cellStyle name="쉼표 [0] 2 3" xfId="184" xr:uid="{FD2613E1-7993-450A-902A-4BE7287A0610}"/>
    <cellStyle name="쉼표 [0] 2 4" xfId="238" xr:uid="{D6E35C1E-4513-4028-9E95-91DC363F51B6}"/>
    <cellStyle name="쉼표 [0] 3" xfId="6" xr:uid="{7595F5EA-EE72-4920-8213-410E4D96CF4E}"/>
    <cellStyle name="쉼표 [0] 3 2" xfId="12" xr:uid="{6701EC60-EECF-45F5-9AAA-3E7D02B50BB6}"/>
    <cellStyle name="쉼표 [0] 3 3" xfId="186" xr:uid="{FB36FB0D-48CB-4A73-AFAD-C2344681F55D}"/>
    <cellStyle name="쉼표 [0] 3 4" xfId="240" xr:uid="{EC121A93-F7C9-4AF0-A736-E04AB903BBA7}"/>
    <cellStyle name="쉼표 [0] 4" xfId="11" xr:uid="{6C4A4BC0-1F32-4F57-A317-48D1499A1825}"/>
    <cellStyle name="쉼표 [0] 4 2" xfId="187" xr:uid="{864C7C18-4362-4F37-8D18-F04F09886A34}"/>
    <cellStyle name="쉼표 [0] 4 2 3" xfId="231" xr:uid="{A88E2BD4-C5BA-48E3-A5AC-09902395F6BD}"/>
    <cellStyle name="쉼표 [0] 4 3" xfId="241" xr:uid="{FF013CBE-5677-4E7A-9778-42244D61E6E4}"/>
    <cellStyle name="쉼표 [0] 5" xfId="14" xr:uid="{0E4059BD-1889-4732-AA3A-1F4C58346432}"/>
    <cellStyle name="쉼표 [0] 6" xfId="234" xr:uid="{87DBA3F2-B762-45B6-BB81-F5933CC7B60A}"/>
    <cellStyle name="쉼표 10" xfId="8" xr:uid="{5422275F-B876-48A3-AD3F-B37B0C0D7A84}"/>
    <cellStyle name="쉼표 2" xfId="188" xr:uid="{D9E4E8E7-4640-4444-A9DC-7E7AC82B7CD4}"/>
    <cellStyle name="쉼표 2 10 2" xfId="189" xr:uid="{D6F6CB4E-F104-4215-9E19-9D7126B11BDB}"/>
    <cellStyle name="쉼표 2 10 2 2" xfId="243" xr:uid="{309ACFBF-0700-425A-8073-8CEA15E2249E}"/>
    <cellStyle name="쉼표 2 2" xfId="242" xr:uid="{9A8E32D5-B7C2-422C-B75A-CA549A65573A}"/>
    <cellStyle name="쉼표 2 2 4" xfId="190" xr:uid="{93FEAAF5-675B-4A39-AAAF-CBFEB0F8E658}"/>
    <cellStyle name="쉼표 2 2 4 2" xfId="244" xr:uid="{C79C29B1-E1E0-41D2-9C7F-F90A8F8E13A3}"/>
    <cellStyle name="쉼표 2 29" xfId="191" xr:uid="{049EC058-AD0F-4DEC-BF17-7661E53CF6E4}"/>
    <cellStyle name="쉼표 2 29 2" xfId="245" xr:uid="{0A2B0039-94C8-4363-A873-7CE50F39432B}"/>
    <cellStyle name="쉼표 4" xfId="192" xr:uid="{6CE56658-965C-47D3-8B59-454E0927968D}"/>
    <cellStyle name="쉼표 5" xfId="193" xr:uid="{7532C4B7-1140-44F6-9CB9-99337586DD28}"/>
    <cellStyle name="쉼표 5 2" xfId="194" xr:uid="{C1E38F26-D67B-4448-B850-7182AA6E7E86}"/>
    <cellStyle name="쉼표 5 2 2" xfId="246" xr:uid="{E2D6D5D2-33C9-4441-B3D7-97DA0B9E9C24}"/>
    <cellStyle name="쉼표 7" xfId="195" xr:uid="{EF53D8D7-21AE-4E0B-8B69-A91ABE404E55}"/>
    <cellStyle name="스타일 1" xfId="7" xr:uid="{5A091AB0-72E1-4133-AF67-696CA73F85B9}"/>
    <cellStyle name="안건회계법인" xfId="196" xr:uid="{86F9F446-8567-4837-88F6-51AC9AC0352E}"/>
    <cellStyle name="연결된 셀 2" xfId="197" xr:uid="{9F21F7FF-646A-4920-9F79-104C1FB522F4}"/>
    <cellStyle name="요약 2" xfId="198" xr:uid="{DD8AED9D-C0C1-43A5-82B9-DA15491227F2}"/>
    <cellStyle name="입력 2" xfId="199" xr:uid="{5A81BB21-4F05-4A76-AF38-791D8D906AD7}"/>
    <cellStyle name="제목 1 2" xfId="200" xr:uid="{56988615-55A0-46A4-B4AB-131EA36E9CDE}"/>
    <cellStyle name="제목 2 2" xfId="201" xr:uid="{AB028AEA-D111-444A-9172-DB2A1F765A6C}"/>
    <cellStyle name="제목 3 2" xfId="202" xr:uid="{33DD674D-207A-4A2D-A9A2-70861EB7893A}"/>
    <cellStyle name="제목 4 2" xfId="203" xr:uid="{5019BD56-BE2C-44C9-BE37-62B85050EE23}"/>
    <cellStyle name="제목 5" xfId="204" xr:uid="{F422D57B-31DB-4BED-8BAD-8FA064C05E31}"/>
    <cellStyle name="좋음 2" xfId="205" xr:uid="{62706FD0-913E-429A-8C21-4F587929A7A2}"/>
    <cellStyle name="출력 2" xfId="206" xr:uid="{FD29766C-DFAD-4806-A60A-FA9C51750284}"/>
    <cellStyle name="콤마 [0]_#18_upgr" xfId="207" xr:uid="{8FABD882-EA0A-4656-B789-0F260819F849}"/>
    <cellStyle name="콤마_#18_upgr" xfId="208" xr:uid="{46F59414-15DF-42AF-95D0-63B856190A6F}"/>
    <cellStyle name="표준" xfId="0" builtinId="0"/>
    <cellStyle name="표준 10" xfId="3" xr:uid="{BD1F87AC-AD57-46CA-8C3E-88399649911E}"/>
    <cellStyle name="표준 10 2" xfId="209" xr:uid="{A4BBA9F7-310F-4CB8-A48C-497E01AE480F}"/>
    <cellStyle name="표준 11" xfId="15" xr:uid="{3306D63D-06F0-4889-9D1A-19205A267F85}"/>
    <cellStyle name="표준 12" xfId="247" xr:uid="{6569B59B-CE24-4371-B96B-3EA01A66BB15}"/>
    <cellStyle name="표준 2" xfId="210" xr:uid="{E7F6A851-17E0-431D-9C99-8D10D5D7B361}"/>
    <cellStyle name="표준 2 10" xfId="211" xr:uid="{EDA2FDFB-7F16-4E79-837C-9457B52C05DD}"/>
    <cellStyle name="표준 2 10 2" xfId="212" xr:uid="{04DDD64F-179F-489F-BA0D-C1DF1CB9D0D5}"/>
    <cellStyle name="표준 2 2" xfId="2" xr:uid="{1F225973-322E-4D2D-A8E5-3E2B40BAECD1}"/>
    <cellStyle name="표준 2 35" xfId="213" xr:uid="{5F9BD29F-DE54-43D2-85B3-6AA90CA538D5}"/>
    <cellStyle name="표준 2_NT(0911)" xfId="214" xr:uid="{4683CF48-5A87-470A-AEB6-4D7D9F0E6752}"/>
    <cellStyle name="표준 3" xfId="215" xr:uid="{5C388EB1-108D-478E-A29A-8267E9EED927}"/>
    <cellStyle name="표준 3 10 5" xfId="216" xr:uid="{ED44D97B-D7A4-4565-8B1B-A43C65670449}"/>
    <cellStyle name="표준 3 2" xfId="217" xr:uid="{565E6B85-CB46-4EC2-9B23-125AC82FF04F}"/>
    <cellStyle name="표준 4" xfId="218" xr:uid="{4D27FF08-040D-4558-B6D5-688B058C06A7}"/>
    <cellStyle name="표준 5" xfId="219" xr:uid="{603EEA1A-347A-4755-9781-E3B75AC43596}"/>
    <cellStyle name="표준 5 10" xfId="220" xr:uid="{2DBA7269-7237-4C8A-9F06-49AC10604FF5}"/>
    <cellStyle name="표준 6" xfId="221" xr:uid="{CB4B9564-3534-4603-9178-D45EB7FB50B9}"/>
    <cellStyle name="표준 6 2" xfId="222" xr:uid="{A77AEA80-B49D-4B53-93D8-8F037231FC1C}"/>
    <cellStyle name="표준 7" xfId="223" xr:uid="{4FC3A08A-40E8-4788-841B-E866328D06F7}"/>
    <cellStyle name="표준 8" xfId="224" xr:uid="{6501FD3B-4416-4A46-B916-637D08BCC577}"/>
    <cellStyle name="표준 8 2" xfId="225" xr:uid="{8E9C2DE9-9687-4847-9F98-D32E6F2E87F6}"/>
    <cellStyle name="표준 9" xfId="226" xr:uid="{FA10F263-8685-4B4A-94F8-F403FCE80279}"/>
    <cellStyle name="표준 9 3" xfId="227" xr:uid="{8C0B3E70-3FE1-40FF-A39E-876E8682F61F}"/>
    <cellStyle name="標準_Sheet1" xfId="228" xr:uid="{FCEE0E5A-9C24-49DA-AF61-38206B265462}"/>
    <cellStyle name="표준_프렉스19" xfId="252" xr:uid="{0AF2EE6A-F191-4D62-9982-9675E7F55270}"/>
    <cellStyle name="하이퍼링크" xfId="251" builtinId="8"/>
    <cellStyle name="하이퍼링크 2" xfId="13" xr:uid="{4DB8BCA7-2AA9-4D90-A3CE-F0ABE1F9B379}"/>
    <cellStyle name="하이퍼링크 3" xfId="229" xr:uid="{71428056-8AB8-4F9F-854A-F534D198E20F}"/>
    <cellStyle name="하이퍼링크 4" xfId="230" xr:uid="{E57232AE-06A8-4C12-91D4-225A6B483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1131570</xdr:colOff>
      <xdr:row>4</xdr:row>
      <xdr:rowOff>1</xdr:rowOff>
    </xdr:from>
    <xdr:to>
      <xdr:col>9</xdr:col>
      <xdr:colOff>1923796</xdr:colOff>
      <xdr:row>6</xdr:row>
      <xdr:rowOff>19051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ED20AED-C12A-49E7-931F-FC31893C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0870" y="1066801"/>
          <a:ext cx="792226" cy="781050"/>
        </a:xfrm>
        <a:prstGeom prst="rect">
          <a:avLst/>
        </a:prstGeom>
      </xdr:spPr>
    </xdr:pic>
    <xdr:clientData/>
  </xdr:twoCellAnchor>
  <xdr:twoCellAnchor>
    <xdr:from>
      <xdr:col>8</xdr:col>
      <xdr:colOff>678657</xdr:colOff>
      <xdr:row>1</xdr:row>
      <xdr:rowOff>154781</xdr:rowOff>
    </xdr:from>
    <xdr:to>
      <xdr:col>9</xdr:col>
      <xdr:colOff>2428875</xdr:colOff>
      <xdr:row>2</xdr:row>
      <xdr:rowOff>302419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4242EFD-1A58-4BBC-AEF0-B7D75B5AB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6657" y="243681"/>
          <a:ext cx="3001168" cy="598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n-sik.park@mkiscor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3FE0-370D-4175-9B2A-E82650668C38}">
  <sheetPr>
    <pageSetUpPr fitToPage="1"/>
  </sheetPr>
  <dimension ref="B1:L25"/>
  <sheetViews>
    <sheetView tabSelected="1" zoomScale="80" zoomScaleNormal="80" workbookViewId="0">
      <selection activeCell="H18" sqref="H18"/>
    </sheetView>
  </sheetViews>
  <sheetFormatPr defaultRowHeight="17"/>
  <cols>
    <col min="1" max="1" width="1.1640625" customWidth="1"/>
    <col min="2" max="2" width="9.08203125" style="1" customWidth="1"/>
    <col min="3" max="3" width="20.08203125" customWidth="1"/>
    <col min="4" max="4" width="59.33203125" customWidth="1"/>
    <col min="5" max="5" width="14.83203125" customWidth="1"/>
    <col min="6" max="8" width="16.83203125" customWidth="1"/>
    <col min="9" max="9" width="19.83203125" customWidth="1"/>
    <col min="10" max="10" width="28.5" customWidth="1"/>
    <col min="11" max="12" width="1.83203125" customWidth="1"/>
    <col min="14" max="14" width="10.58203125" bestFit="1" customWidth="1"/>
  </cols>
  <sheetData>
    <row r="1" spans="2:12" ht="7.25" customHeight="1"/>
    <row r="2" spans="2:12" ht="35.5" customHeight="1">
      <c r="B2" s="59" t="s">
        <v>12</v>
      </c>
      <c r="C2" s="59"/>
      <c r="D2" s="59"/>
      <c r="E2" s="59"/>
      <c r="F2" s="59"/>
      <c r="G2" s="59"/>
      <c r="H2" s="59"/>
      <c r="I2" s="59"/>
      <c r="J2" s="59"/>
      <c r="K2" s="25"/>
      <c r="L2" s="25"/>
    </row>
    <row r="3" spans="2:12" ht="24" customHeight="1">
      <c r="B3" s="24"/>
      <c r="C3" s="24"/>
      <c r="D3" s="24"/>
      <c r="E3" s="24"/>
      <c r="F3" s="24"/>
      <c r="G3" s="24"/>
      <c r="H3" s="24"/>
      <c r="I3" s="24"/>
      <c r="J3" s="24"/>
      <c r="K3" s="25"/>
      <c r="L3" s="25"/>
    </row>
    <row r="4" spans="2:12" ht="17.5" customHeight="1">
      <c r="B4" s="24"/>
      <c r="C4" s="25"/>
      <c r="D4" s="25"/>
      <c r="E4" s="25"/>
      <c r="F4" s="25"/>
      <c r="G4" s="25"/>
      <c r="H4" s="25"/>
      <c r="I4" s="25"/>
      <c r="J4" s="26" t="s">
        <v>13</v>
      </c>
      <c r="K4" s="25"/>
      <c r="L4" s="25"/>
    </row>
    <row r="5" spans="2:12" ht="30" customHeight="1">
      <c r="B5" s="55" t="s">
        <v>14</v>
      </c>
      <c r="C5" s="55"/>
      <c r="D5" s="60" t="s">
        <v>55</v>
      </c>
      <c r="E5" s="61"/>
      <c r="F5" s="27" t="s">
        <v>15</v>
      </c>
      <c r="G5" s="64" t="s">
        <v>16</v>
      </c>
      <c r="H5" s="64"/>
      <c r="I5" s="64"/>
      <c r="J5" s="64"/>
      <c r="K5" s="28"/>
      <c r="L5" s="28"/>
    </row>
    <row r="6" spans="2:12" ht="30" customHeight="1">
      <c r="B6" s="55"/>
      <c r="C6" s="55"/>
      <c r="D6" s="62"/>
      <c r="E6" s="63"/>
      <c r="F6" s="27" t="s">
        <v>17</v>
      </c>
      <c r="G6" s="56" t="s">
        <v>18</v>
      </c>
      <c r="H6" s="57"/>
      <c r="I6" s="27" t="s">
        <v>19</v>
      </c>
      <c r="J6" s="29" t="s">
        <v>20</v>
      </c>
      <c r="K6" s="2"/>
      <c r="L6" s="2"/>
    </row>
    <row r="7" spans="2:12" ht="30" customHeight="1">
      <c r="B7" s="55" t="s">
        <v>21</v>
      </c>
      <c r="C7" s="55"/>
      <c r="D7" s="56" t="s">
        <v>54</v>
      </c>
      <c r="E7" s="57"/>
      <c r="F7" s="27" t="s">
        <v>22</v>
      </c>
      <c r="G7" s="58" t="s">
        <v>23</v>
      </c>
      <c r="H7" s="58"/>
      <c r="I7" s="58"/>
      <c r="J7" s="58"/>
      <c r="K7" s="2"/>
      <c r="L7" s="2"/>
    </row>
    <row r="8" spans="2:12" ht="30" customHeight="1">
      <c r="B8" s="55" t="s">
        <v>24</v>
      </c>
      <c r="C8" s="55"/>
      <c r="D8" s="65">
        <v>45930</v>
      </c>
      <c r="E8" s="66"/>
      <c r="F8" s="27" t="s">
        <v>25</v>
      </c>
      <c r="G8" s="67" t="s">
        <v>26</v>
      </c>
      <c r="H8" s="68"/>
      <c r="I8" s="30" t="s">
        <v>27</v>
      </c>
      <c r="J8" s="31" t="s">
        <v>28</v>
      </c>
      <c r="K8" s="2"/>
      <c r="L8" s="2"/>
    </row>
    <row r="9" spans="2:12" ht="35.5" customHeight="1">
      <c r="B9" s="55" t="s">
        <v>29</v>
      </c>
      <c r="C9" s="55"/>
      <c r="D9" s="69" t="str">
        <f>유지보수내역_36M!D4</f>
        <v>2026.01.01~2028.12.31</v>
      </c>
      <c r="E9" s="70"/>
      <c r="F9" s="27" t="s">
        <v>30</v>
      </c>
      <c r="G9" s="71" t="s">
        <v>31</v>
      </c>
      <c r="H9" s="72"/>
      <c r="I9" s="30" t="s">
        <v>32</v>
      </c>
      <c r="J9" s="32" t="s">
        <v>33</v>
      </c>
      <c r="K9" s="2"/>
      <c r="L9" s="2"/>
    </row>
    <row r="10" spans="2:12" ht="6" customHeight="1">
      <c r="B10" s="33"/>
      <c r="C10" s="33"/>
      <c r="D10" s="34"/>
      <c r="E10" s="34"/>
      <c r="F10" s="34"/>
      <c r="G10" s="34"/>
      <c r="H10" s="34"/>
      <c r="I10" s="34"/>
      <c r="J10" s="35"/>
      <c r="K10" s="2"/>
      <c r="L10" s="2"/>
    </row>
    <row r="11" spans="2:12" ht="23.25" customHeight="1">
      <c r="B11" s="73" t="s">
        <v>34</v>
      </c>
      <c r="C11" s="73"/>
      <c r="D11" s="74" t="s">
        <v>53</v>
      </c>
      <c r="E11" s="74"/>
      <c r="F11" s="75"/>
      <c r="G11" s="75"/>
      <c r="H11" s="75"/>
      <c r="I11" s="75"/>
      <c r="J11" s="75"/>
      <c r="K11" s="2"/>
      <c r="L11" s="2"/>
    </row>
    <row r="12" spans="2:12" ht="7.25" customHeight="1">
      <c r="B12" s="36"/>
      <c r="C12" s="36"/>
      <c r="D12" s="34"/>
      <c r="E12" s="34"/>
      <c r="F12" s="34"/>
      <c r="G12" s="34"/>
      <c r="H12" s="34"/>
      <c r="I12" s="34"/>
      <c r="J12" s="35"/>
      <c r="K12" s="2"/>
      <c r="L12" s="2"/>
    </row>
    <row r="13" spans="2:12" ht="17.5" customHeight="1">
      <c r="B13" s="76" t="s">
        <v>35</v>
      </c>
      <c r="C13" s="76"/>
      <c r="D13" s="77">
        <f>H20</f>
        <v>205920000</v>
      </c>
      <c r="E13" s="77"/>
      <c r="F13" s="77"/>
      <c r="G13" s="77"/>
      <c r="H13" s="77"/>
      <c r="I13" s="77"/>
      <c r="J13" s="78" t="s">
        <v>57</v>
      </c>
      <c r="K13" s="2"/>
      <c r="L13" s="2"/>
    </row>
    <row r="14" spans="2:12" ht="18" customHeight="1">
      <c r="B14" s="76"/>
      <c r="C14" s="76"/>
      <c r="D14" s="77"/>
      <c r="E14" s="77"/>
      <c r="F14" s="77"/>
      <c r="G14" s="77"/>
      <c r="H14" s="77"/>
      <c r="I14" s="77"/>
      <c r="J14" s="78"/>
      <c r="K14" s="2"/>
      <c r="L14" s="2"/>
    </row>
    <row r="15" spans="2:12"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2:12">
      <c r="B16" s="3"/>
      <c r="C16" s="2"/>
      <c r="D16" s="2"/>
      <c r="E16" s="2"/>
      <c r="F16" s="2"/>
      <c r="G16" s="2"/>
      <c r="H16" s="2"/>
      <c r="I16" s="2"/>
      <c r="J16" s="4" t="s">
        <v>0</v>
      </c>
      <c r="K16" s="2"/>
      <c r="L16" s="2"/>
    </row>
    <row r="17" spans="2:12" ht="24" customHeight="1">
      <c r="B17" s="79" t="s">
        <v>36</v>
      </c>
      <c r="C17" s="80"/>
      <c r="D17" s="37" t="s">
        <v>61</v>
      </c>
      <c r="E17" s="37" t="s">
        <v>37</v>
      </c>
      <c r="F17" s="51" t="s">
        <v>46</v>
      </c>
      <c r="G17" s="5" t="s">
        <v>38</v>
      </c>
      <c r="H17" s="38" t="s">
        <v>39</v>
      </c>
      <c r="I17" s="5" t="s">
        <v>40</v>
      </c>
      <c r="J17" s="37" t="s">
        <v>41</v>
      </c>
    </row>
    <row r="18" spans="2:12" ht="86.4" customHeight="1">
      <c r="B18" s="81" t="s">
        <v>58</v>
      </c>
      <c r="C18" s="82"/>
      <c r="D18" s="39" t="s">
        <v>60</v>
      </c>
      <c r="E18" s="40">
        <v>1</v>
      </c>
      <c r="F18" s="48">
        <v>36</v>
      </c>
      <c r="G18" s="41">
        <f>유지보수내역_36M!J4</f>
        <v>5720000</v>
      </c>
      <c r="H18" s="42">
        <f>유지보수내역_36M!K4</f>
        <v>205920000</v>
      </c>
      <c r="I18" s="50" t="str">
        <f>유지보수내역_36M!D4</f>
        <v>2026.01.01~2028.12.31</v>
      </c>
      <c r="J18" s="44"/>
      <c r="K18" s="43"/>
      <c r="L18" s="43"/>
    </row>
    <row r="19" spans="2:12" ht="38" customHeight="1">
      <c r="B19" s="83" t="s">
        <v>62</v>
      </c>
      <c r="C19" s="84"/>
      <c r="D19" s="84"/>
      <c r="E19" s="84"/>
      <c r="F19" s="84"/>
      <c r="G19" s="85"/>
      <c r="H19" s="45">
        <f>H20/3</f>
        <v>68640000</v>
      </c>
      <c r="I19" s="45"/>
      <c r="J19" s="45"/>
      <c r="K19" s="43"/>
      <c r="L19" s="43"/>
    </row>
    <row r="20" spans="2:12" ht="38" customHeight="1">
      <c r="B20" s="83" t="s">
        <v>63</v>
      </c>
      <c r="C20" s="84"/>
      <c r="D20" s="84"/>
      <c r="E20" s="84"/>
      <c r="F20" s="84"/>
      <c r="G20" s="85"/>
      <c r="H20" s="45">
        <f>H18</f>
        <v>205920000</v>
      </c>
      <c r="I20" s="45"/>
      <c r="J20" s="45"/>
      <c r="K20" s="43"/>
      <c r="L20" s="43"/>
    </row>
    <row r="21" spans="2:12" ht="24.65" customHeight="1">
      <c r="B21" s="86" t="s">
        <v>42</v>
      </c>
      <c r="C21" s="87"/>
      <c r="D21" s="88">
        <f>D8+90</f>
        <v>46020</v>
      </c>
      <c r="E21" s="89"/>
      <c r="F21" s="89"/>
      <c r="G21" s="89"/>
      <c r="H21" s="89"/>
      <c r="I21" s="89"/>
      <c r="J21" s="90"/>
    </row>
    <row r="22" spans="2:12" ht="24.65" customHeight="1">
      <c r="B22" s="91" t="s">
        <v>43</v>
      </c>
      <c r="C22" s="91"/>
      <c r="D22" s="92" t="s">
        <v>45</v>
      </c>
      <c r="E22" s="92"/>
      <c r="F22" s="92"/>
      <c r="G22" s="92"/>
      <c r="H22" s="92"/>
      <c r="I22" s="92"/>
      <c r="J22" s="92"/>
    </row>
    <row r="23" spans="2:12" ht="77" customHeight="1">
      <c r="B23" s="91" t="s">
        <v>44</v>
      </c>
      <c r="C23" s="91"/>
      <c r="D23" s="93" t="s">
        <v>56</v>
      </c>
      <c r="E23" s="93"/>
      <c r="F23" s="94"/>
      <c r="G23" s="94"/>
      <c r="H23" s="94"/>
      <c r="I23" s="94"/>
      <c r="J23" s="94"/>
    </row>
    <row r="25" spans="2:12">
      <c r="H25" s="46"/>
      <c r="J25" s="47"/>
    </row>
  </sheetData>
  <mergeCells count="29">
    <mergeCell ref="B22:C22"/>
    <mergeCell ref="D22:J22"/>
    <mergeCell ref="B23:C23"/>
    <mergeCell ref="D23:J23"/>
    <mergeCell ref="B17:C17"/>
    <mergeCell ref="B18:C18"/>
    <mergeCell ref="B19:G19"/>
    <mergeCell ref="B20:G20"/>
    <mergeCell ref="B21:C21"/>
    <mergeCell ref="D21:J21"/>
    <mergeCell ref="B11:C11"/>
    <mergeCell ref="D11:J11"/>
    <mergeCell ref="B13:C14"/>
    <mergeCell ref="D13:I14"/>
    <mergeCell ref="J13:J14"/>
    <mergeCell ref="B8:C8"/>
    <mergeCell ref="D8:E8"/>
    <mergeCell ref="G8:H8"/>
    <mergeCell ref="B9:C9"/>
    <mergeCell ref="D9:E9"/>
    <mergeCell ref="G9:H9"/>
    <mergeCell ref="B7:C7"/>
    <mergeCell ref="D7:E7"/>
    <mergeCell ref="G7:J7"/>
    <mergeCell ref="B2:J2"/>
    <mergeCell ref="B5:C6"/>
    <mergeCell ref="D5:E6"/>
    <mergeCell ref="G5:J5"/>
    <mergeCell ref="G6:H6"/>
  </mergeCells>
  <phoneticPr fontId="2" type="noConversion"/>
  <hyperlinks>
    <hyperlink ref="J9" r:id="rId1" xr:uid="{4B11DD44-91C4-4F38-845F-B4D530F0D7CD}"/>
  </hyperlinks>
  <printOptions horizontalCentered="1"/>
  <pageMargins left="0.23622047244094491" right="0.23622047244094491" top="0.42" bottom="0.74803149606299213" header="0.31496062992125984" footer="0.31496062992125984"/>
  <pageSetup paperSize="9" scale="53" fitToHeight="0" orientation="portrait" horizontalDpi="4294967295" verticalDpi="4294967295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32B7-E914-4E98-8C95-5FFC7350A744}">
  <sheetPr>
    <pageSetUpPr fitToPage="1"/>
  </sheetPr>
  <dimension ref="B1:P17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" sqref="B3"/>
    </sheetView>
  </sheetViews>
  <sheetFormatPr defaultRowHeight="17"/>
  <cols>
    <col min="1" max="1" width="1.1640625" customWidth="1"/>
    <col min="2" max="2" width="4.5" style="1" bestFit="1" customWidth="1"/>
    <col min="3" max="3" width="7.6640625" bestFit="1" customWidth="1"/>
    <col min="4" max="4" width="24.6640625" bestFit="1" customWidth="1"/>
    <col min="5" max="5" width="16.1640625" bestFit="1" customWidth="1"/>
    <col min="6" max="6" width="36.5" customWidth="1"/>
    <col min="7" max="8" width="10.1640625" bestFit="1" customWidth="1"/>
    <col min="9" max="9" width="7.33203125" bestFit="1" customWidth="1"/>
    <col min="10" max="10" width="16.1640625" bestFit="1" customWidth="1"/>
    <col min="11" max="11" width="17.5" customWidth="1"/>
    <col min="12" max="12" width="24.9140625" style="1" bestFit="1" customWidth="1"/>
    <col min="14" max="14" width="15.33203125" bestFit="1" customWidth="1"/>
    <col min="16" max="16" width="15.33203125" bestFit="1" customWidth="1"/>
  </cols>
  <sheetData>
    <row r="1" spans="2:16">
      <c r="B1" s="3"/>
      <c r="C1" s="2"/>
      <c r="D1" s="2"/>
      <c r="E1" s="2"/>
      <c r="F1" s="2"/>
      <c r="G1" s="2"/>
      <c r="H1" s="2"/>
      <c r="I1" s="2"/>
      <c r="J1" s="2"/>
      <c r="K1" s="4" t="s">
        <v>0</v>
      </c>
    </row>
    <row r="2" spans="2:16" ht="24" customHeight="1">
      <c r="B2" s="5" t="s">
        <v>1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3</v>
      </c>
      <c r="K2" s="5" t="s">
        <v>52</v>
      </c>
      <c r="L2" s="5" t="s">
        <v>11</v>
      </c>
    </row>
    <row r="3" spans="2:16" ht="30" customHeight="1">
      <c r="B3" s="7"/>
      <c r="C3" s="95" t="s">
        <v>59</v>
      </c>
      <c r="D3" s="95"/>
      <c r="E3" s="95"/>
      <c r="F3" s="95"/>
      <c r="G3" s="95"/>
      <c r="H3" s="95"/>
      <c r="I3" s="95"/>
      <c r="J3" s="95"/>
      <c r="K3" s="95"/>
      <c r="L3" s="95"/>
    </row>
    <row r="4" spans="2:16" ht="24.65" customHeight="1">
      <c r="B4" s="7">
        <v>1</v>
      </c>
      <c r="C4" s="15" t="s">
        <v>51</v>
      </c>
      <c r="D4" s="17" t="s">
        <v>50</v>
      </c>
      <c r="E4" s="54">
        <v>1572420000372</v>
      </c>
      <c r="F4" s="103" t="s">
        <v>47</v>
      </c>
      <c r="G4" s="17">
        <v>46023</v>
      </c>
      <c r="H4" s="17">
        <v>47118</v>
      </c>
      <c r="I4" s="18">
        <v>36</v>
      </c>
      <c r="J4" s="99">
        <v>5720000</v>
      </c>
      <c r="K4" s="101">
        <f>J4*I4</f>
        <v>205920000</v>
      </c>
      <c r="L4" s="53"/>
    </row>
    <row r="5" spans="2:16" ht="24.65" customHeight="1">
      <c r="B5" s="7">
        <v>2</v>
      </c>
      <c r="C5" s="15" t="s">
        <v>51</v>
      </c>
      <c r="D5" s="17" t="s">
        <v>50</v>
      </c>
      <c r="E5" s="54">
        <v>1572420000377</v>
      </c>
      <c r="F5" s="104"/>
      <c r="G5" s="17">
        <v>46023</v>
      </c>
      <c r="H5" s="17">
        <v>47118</v>
      </c>
      <c r="I5" s="18">
        <v>36</v>
      </c>
      <c r="J5" s="100"/>
      <c r="K5" s="102"/>
      <c r="L5" s="53"/>
    </row>
    <row r="6" spans="2:16" ht="24.65" customHeight="1">
      <c r="B6" s="7">
        <v>3</v>
      </c>
      <c r="C6" s="15" t="s">
        <v>51</v>
      </c>
      <c r="D6" s="17" t="s">
        <v>50</v>
      </c>
      <c r="E6" s="15" t="s">
        <v>49</v>
      </c>
      <c r="F6" s="23" t="s">
        <v>48</v>
      </c>
      <c r="G6" s="17">
        <v>46023</v>
      </c>
      <c r="H6" s="17">
        <v>47118</v>
      </c>
      <c r="I6" s="18">
        <v>36</v>
      </c>
      <c r="J6" s="100"/>
      <c r="K6" s="102"/>
      <c r="L6" s="53"/>
    </row>
    <row r="7" spans="2:16" ht="24.65" customHeight="1">
      <c r="B7" s="7"/>
      <c r="C7" s="13"/>
      <c r="D7" s="17"/>
      <c r="E7" s="22"/>
      <c r="F7" s="12"/>
      <c r="G7" s="17"/>
      <c r="H7" s="17"/>
      <c r="I7" s="18"/>
      <c r="J7" s="12"/>
      <c r="K7" s="49"/>
      <c r="L7" s="19"/>
      <c r="P7" s="21"/>
    </row>
    <row r="8" spans="2:16" ht="24.65" customHeight="1">
      <c r="B8" s="6"/>
      <c r="C8" s="8"/>
      <c r="D8" s="14"/>
      <c r="E8" s="9"/>
      <c r="F8" s="9"/>
      <c r="G8" s="9"/>
      <c r="H8" s="9"/>
      <c r="I8" s="9"/>
      <c r="J8" s="10">
        <f>SUM(J4:J7)</f>
        <v>5720000</v>
      </c>
      <c r="K8" s="10">
        <f>SUM(K4:K6)</f>
        <v>205920000</v>
      </c>
      <c r="L8" s="19"/>
      <c r="N8" s="21"/>
    </row>
    <row r="9" spans="2:16" ht="24" customHeight="1">
      <c r="K9" s="11"/>
    </row>
    <row r="10" spans="2:16" ht="24" customHeight="1">
      <c r="B10" s="96" t="s">
        <v>2</v>
      </c>
      <c r="C10" s="97"/>
      <c r="D10" s="97"/>
      <c r="E10" s="97"/>
      <c r="F10" s="97"/>
      <c r="G10" s="97"/>
      <c r="H10" s="97"/>
      <c r="I10" s="98"/>
      <c r="J10" s="52"/>
      <c r="K10" s="16">
        <f>K8</f>
        <v>205920000</v>
      </c>
      <c r="L10" s="16"/>
    </row>
    <row r="12" spans="2:16">
      <c r="K12" s="21"/>
    </row>
    <row r="17" spans="12:12">
      <c r="L17" s="20"/>
    </row>
  </sheetData>
  <autoFilter ref="B2:L6" xr:uid="{DB231494-B1A4-40DD-AA90-4942A24EB33E}"/>
  <mergeCells count="5">
    <mergeCell ref="C3:L3"/>
    <mergeCell ref="B10:I10"/>
    <mergeCell ref="J4:J6"/>
    <mergeCell ref="K4:K6"/>
    <mergeCell ref="F4:F5"/>
  </mergeCells>
  <phoneticPr fontId="2" type="noConversion"/>
  <printOptions horizontalCentered="1"/>
  <pageMargins left="0.23622047244094491" right="0.23622047244094491" top="0.42" bottom="0.74803149606299213" header="0.31496062992125984" footer="0.31496062992125984"/>
  <pageSetup paperSize="9" scale="54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Main</vt:lpstr>
      <vt:lpstr>유지보수내역_36M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2021-12-25T02:35:45Z</dcterms:created>
  <dcterms:modified xsi:type="dcterms:W3CDTF">2025-09-30T08:05:18Z</dcterms:modified>
</cp:coreProperties>
</file>