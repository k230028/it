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46130cabbbf41d7/Business/02.고객사/금융/KDB산업은행/2024년통합유지보수/계약관련/변경계약/"/>
    </mc:Choice>
  </mc:AlternateContent>
  <xr:revisionPtr revIDLastSave="145" documentId="8_{7EB3AF4F-6DB0-4179-8FBC-00A33289BC45}" xr6:coauthVersionLast="47" xr6:coauthVersionMax="47" xr10:uidLastSave="{1ACF2174-CE29-462F-935F-308A8698EC14}"/>
  <bookViews>
    <workbookView xWindow="28680" yWindow="-120" windowWidth="29040" windowHeight="15840" activeTab="1" xr2:uid="{00000000-000D-0000-FFFF-FFFF00000000}"/>
  </bookViews>
  <sheets>
    <sheet name="견적서" sheetId="1" r:id="rId1"/>
    <sheet name="상세내역" sheetId="3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">#REF!</definedName>
    <definedName name="____CSP1">#REF!</definedName>
    <definedName name="____MSP1">#REF!</definedName>
    <definedName name="___CSP1">#REF!</definedName>
    <definedName name="___MSP1">#REF!</definedName>
    <definedName name="__CSP1">#REF!</definedName>
    <definedName name="__MSP1">#REF!</definedName>
    <definedName name="__US1">#REF!</definedName>
    <definedName name="_1.05gb_nonplug_drive">[1]Supplement2!#REF!</definedName>
    <definedName name="_1.05gb_plug_drive">[1]Supplement2!#REF!</definedName>
    <definedName name="_1¤§¤_¤¡" hidden="1">{#N/A,#N/A,FALSE,"Sheet1"}</definedName>
    <definedName name="_1¤§¤_¤¡_2" hidden="1">{#N/A,#N/A,FALSE,"Sheet1"}</definedName>
    <definedName name="_1¤§¤_¤¡_3" hidden="1">{#N/A,#N/A,FALSE,"Sheet1"}</definedName>
    <definedName name="_1¤§¤_¤¡_4" hidden="1">{#N/A,#N/A,FALSE,"Sheet1"}</definedName>
    <definedName name="_1¤§¤_¤¡_5" hidden="1">{#N/A,#N/A,FALSE,"Sheet1"}</definedName>
    <definedName name="_15A">[2]금액내역서!$D$3:$D$10</definedName>
    <definedName name="_2.1gb_fastwide_plug_drive">[1]Supplement2!#REF!</definedName>
    <definedName name="_2.1gb_nonplug_drive">[1]Supplement2!#REF!</definedName>
    <definedName name="_2.1gb_plug_drive">[1]Supplement2!#REF!</definedName>
    <definedName name="_32mb_70nsmemory">[1]Supplement2!#REF!</definedName>
    <definedName name="_4.3gb_fastwide_plug_drive">[1]Supplement2!#REF!</definedName>
    <definedName name="_4.3gb_nonplug_drive">[1]Supplement2!#REF!</definedName>
    <definedName name="_535mb_nonplug_drive">[1]Supplement2!#REF!</definedName>
    <definedName name="_6wrn.Ã¶°ñÁý°èÇ_._.5Ä­." hidden="1">{#N/A,#N/A,FALSE,"Sheet1"}</definedName>
    <definedName name="_6wrn.Ã¶°ñÁý°èÇ_._.5Ä­._2" hidden="1">{#N/A,#N/A,FALSE,"Sheet1"}</definedName>
    <definedName name="_6wrn.Ã¶°ñÁý°èÇ_._.5Ä­._3" hidden="1">{#N/A,#N/A,FALSE,"Sheet1"}</definedName>
    <definedName name="_6wrn.Ã¶°ñÁý°èÇ_._.5Ä­._4" hidden="1">{#N/A,#N/A,FALSE,"Sheet1"}</definedName>
    <definedName name="_6wrn.Ã¶°ñÁý°èÇ_._.5Ä­._5" hidden="1">{#N/A,#N/A,FALSE,"Sheet1"}</definedName>
    <definedName name="_8mb_70nsmemory">[1]Supplement2!#REF!</definedName>
    <definedName name="_CSP1">#REF!</definedName>
    <definedName name="_Fill" hidden="1">#N/A</definedName>
    <definedName name="_MSP1">#REF!</definedName>
    <definedName name="_Order1" hidden="1">0</definedName>
    <definedName name="_Order1_1" hidden="1">255</definedName>
    <definedName name="_Order2" hidden="1">0</definedName>
    <definedName name="_Order2_1" hidden="1">255</definedName>
    <definedName name="_Regression_Int" hidden="1">1</definedName>
    <definedName name="_SMART_SCSIarray">[1]Supplement2!#REF!</definedName>
    <definedName name="_US1">#REF!</definedName>
    <definedName name="¤§¤?¤¡" hidden="1">{#N/A,#N/A,FALSE,"Sheet1"}</definedName>
    <definedName name="¤§¤?¤¡_2" hidden="1">{#N/A,#N/A,FALSE,"Sheet1"}</definedName>
    <definedName name="¤§¤?¤¡_3" hidden="1">{#N/A,#N/A,FALSE,"Sheet1"}</definedName>
    <definedName name="¤§¤?¤¡_4" hidden="1">{#N/A,#N/A,FALSE,"Sheet1"}</definedName>
    <definedName name="¤§¤?¤¡_5" hidden="1">{#N/A,#N/A,FALSE,"Sheet1"}</definedName>
    <definedName name="AccessDatabase" hidden="1">"C:\My Documents\연락처 관리1.mdb"</definedName>
    <definedName name="ADSF">[3]xxxxxx!$A$1:$F$33</definedName>
    <definedName name="ARROW">#REF!</definedName>
    <definedName name="CDC">#REF!</definedName>
    <definedName name="CDR">#REF!</definedName>
    <definedName name="Chart_1">"Chart 1"</definedName>
    <definedName name="CiscoSP1">#REF!</definedName>
    <definedName name="CM">'[4]원가분석(Cisco)'!#REF!</definedName>
    <definedName name="concordSP1">#REF!</definedName>
    <definedName name="cost">#REF!</definedName>
    <definedName name="CSDC">'[4]원가분석(Cisco)'!$L$2</definedName>
    <definedName name="CSSP">#REF!</definedName>
    <definedName name="d">#REF!</definedName>
    <definedName name="DART">#REF!</definedName>
    <definedName name="_xlnm.Database">'[5]자재,노무비(후지쯔)'!#REF!</definedName>
    <definedName name="DATE">#REF!</definedName>
    <definedName name="DazzlerPCI_array">[1]Supplement2!#REF!</definedName>
    <definedName name="DC">#REF!</definedName>
    <definedName name="DCRATE">'[6]PassPort-60%'!#REF!</definedName>
    <definedName name="DC율">#REF!</definedName>
    <definedName name="DEL">#REF!</definedName>
    <definedName name="dkdkdkd">#REF!</definedName>
    <definedName name="dn" hidden="1">{#N/A,#N/A,FALSE,"혼합골재"}</definedName>
    <definedName name="dn_1" hidden="1">{#N/A,#N/A,FALSE,"혼합골재"}</definedName>
    <definedName name="ee" hidden="1">{#N/A,#N/A,FALSE,"단가표지"}</definedName>
    <definedName name="ee_1" hidden="1">{#N/A,#N/A,FALSE,"단가표지"}</definedName>
    <definedName name="ee_2" hidden="1">{#N/A,#N/A,FALSE,"단가표지"}</definedName>
    <definedName name="ee_3" hidden="1">{#N/A,#N/A,FALSE,"단가표지"}</definedName>
    <definedName name="ee_4" hidden="1">{#N/A,#N/A,FALSE,"단가표지"}</definedName>
    <definedName name="ee_5" hidden="1">{#N/A,#N/A,FALSE,"단가표지"}</definedName>
    <definedName name="_xlnm.Extract">#REF!</definedName>
    <definedName name="ff" hidden="1">{#N/A,#N/A,FALSE,"운반시간"}</definedName>
    <definedName name="ff_2" hidden="1">{#N/A,#N/A,FALSE,"운반시간"}</definedName>
    <definedName name="ff_3" hidden="1">{#N/A,#N/A,FALSE,"운반시간"}</definedName>
    <definedName name="ff_4" hidden="1">{#N/A,#N/A,FALSE,"운반시간"}</definedName>
    <definedName name="ff_5" hidden="1">{#N/A,#N/A,FALSE,"운반시간"}</definedName>
    <definedName name="gg" hidden="1">{#N/A,#N/A,FALSE,"운반시간"}</definedName>
    <definedName name="gg_2" hidden="1">{#N/A,#N/A,FALSE,"운반시간"}</definedName>
    <definedName name="gg_3" hidden="1">{#N/A,#N/A,FALSE,"운반시간"}</definedName>
    <definedName name="gg_4" hidden="1">{#N/A,#N/A,FALSE,"운반시간"}</definedName>
    <definedName name="gg_5" hidden="1">{#N/A,#N/A,FALSE,"운반시간"}</definedName>
    <definedName name="GM">#REF!</definedName>
    <definedName name="HTML_CodePage" hidden="1">949</definedName>
    <definedName name="HTML_Control" hidden="1">{"'건축내역'!$A$1:$L$413"}</definedName>
    <definedName name="HTML_Control_2" hidden="1">{"'건축내역'!$A$1:$L$413"}</definedName>
    <definedName name="HTML_Control_2_1">{"'건축내역'!$A$1:$L$413"}</definedName>
    <definedName name="HTML_Control_3" hidden="1">{"'건축내역'!$A$1:$L$413"}</definedName>
    <definedName name="HTML_Control_3_1">{"'건축내역'!$A$1:$L$413"}</definedName>
    <definedName name="HTML_Control_4" hidden="1">{"'건축내역'!$A$1:$L$413"}</definedName>
    <definedName name="HTML_Control_4_1">{"'건축내역'!$A$1:$L$413"}</definedName>
    <definedName name="HTML_Control_5" hidden="1">{"'건축내역'!$A$1:$L$413"}</definedName>
    <definedName name="HTML_Control_5_1">{"'건축내역'!$A$1:$L$413"}</definedName>
    <definedName name="HTML_Description" hidden="1">""</definedName>
    <definedName name="HTML_Email" hidden="1">""</definedName>
    <definedName name="HTML_Header" hidden="1">"건축내역"</definedName>
    <definedName name="HTML_LastUpdate" hidden="1">"00-11-13"</definedName>
    <definedName name="HTML_LineAfter" hidden="1">FALSE</definedName>
    <definedName name="HTML_LineBefore" hidden="1">FALSE</definedName>
    <definedName name="HTML_Name" hidden="1">"HongJin Agriculture Korea"</definedName>
    <definedName name="HTML_OBDlg2" hidden="1">TRUE</definedName>
    <definedName name="HTML_OBDlg4" hidden="1">TRUE</definedName>
    <definedName name="HTML_OS" hidden="1">0</definedName>
    <definedName name="HTML_PathFile" hidden="1">"C:\001WORK\MyHTML.htm"</definedName>
    <definedName name="HTML_Title" hidden="1">"cost2010"</definedName>
    <definedName name="IM">'[4]원가분석(Cisco)'!#REF!</definedName>
    <definedName name="INV">#REF!</definedName>
    <definedName name="kjashdksja" hidden="1">{#N/A,#N/A,FALSE,"Sheet1"}</definedName>
    <definedName name="kjashdksja_2" hidden="1">{#N/A,#N/A,FALSE,"Sheet1"}</definedName>
    <definedName name="kjashdksja_3" hidden="1">{#N/A,#N/A,FALSE,"Sheet1"}</definedName>
    <definedName name="kjashdksja_4" hidden="1">{#N/A,#N/A,FALSE,"Sheet1"}</definedName>
    <definedName name="kjashdksja_5" hidden="1">{#N/A,#N/A,FALSE,"Sheet1"}</definedName>
    <definedName name="LDC">#REF!</definedName>
    <definedName name="minus">#REF!</definedName>
    <definedName name="mot">#REF!</definedName>
    <definedName name="NO">#REF!</definedName>
    <definedName name="NortelDC">[7]원가보고!#REF!</definedName>
    <definedName name="NortelSF">[7]원가보고!#REF!</definedName>
    <definedName name="NortelSP1">#REF!</definedName>
    <definedName name="Nortel제안가">[7]원가보고!#REF!</definedName>
    <definedName name="PDC">#REF!</definedName>
    <definedName name="PL_storage">[1]Supplement2!#REF!</definedName>
    <definedName name="PN">'[8]Upgrades pricing'!#REF!</definedName>
    <definedName name="_xlnm.Print_Area" localSheetId="0">견적서!$A$1:$G$54</definedName>
    <definedName name="_xlnm.Print_Area">#REF!</definedName>
    <definedName name="PRINT_AREA_MI">#REF!</definedName>
    <definedName name="qq" hidden="1">{#N/A,#N/A,FALSE,"단가표지"}</definedName>
    <definedName name="qq_1" hidden="1">{#N/A,#N/A,FALSE,"단가표지"}</definedName>
    <definedName name="qq_2" hidden="1">{#N/A,#N/A,FALSE,"단가표지"}</definedName>
    <definedName name="qq_3" hidden="1">{#N/A,#N/A,FALSE,"단가표지"}</definedName>
    <definedName name="qq_4" hidden="1">{#N/A,#N/A,FALSE,"단가표지"}</definedName>
    <definedName name="qq_5" hidden="1">{#N/A,#N/A,FALSE,"단가표지"}</definedName>
    <definedName name="qw" hidden="1">{#N/A,#N/A,FALSE,"단가표지"}</definedName>
    <definedName name="qw_1" hidden="1">{#N/A,#N/A,FALSE,"단가표지"}</definedName>
    <definedName name="qw_2" hidden="1">{#N/A,#N/A,FALSE,"단가표지"}</definedName>
    <definedName name="qw_3" hidden="1">{#N/A,#N/A,FALSE,"단가표지"}</definedName>
    <definedName name="qw_4" hidden="1">{#N/A,#N/A,FALSE,"단가표지"}</definedName>
    <definedName name="qw_5" hidden="1">{#N/A,#N/A,FALSE,"단가표지"}</definedName>
    <definedName name="RDC">#REF!</definedName>
    <definedName name="RIVERDC">#REF!</definedName>
    <definedName name="RIVER소비자가">#REF!</definedName>
    <definedName name="RIVER제안DC">#REF!</definedName>
    <definedName name="RIVER제안가">#REF!</definedName>
    <definedName name="ROUTER">#REF!</definedName>
    <definedName name="Royalty" hidden="1">{#N/A,#N/A,FALSE,"Sheet1"}</definedName>
    <definedName name="Royalty_2" hidden="1">{#N/A,#N/A,FALSE,"Sheet1"}</definedName>
    <definedName name="Royalty_3" hidden="1">{#N/A,#N/A,FALSE,"Sheet1"}</definedName>
    <definedName name="Royalty_4" hidden="1">{#N/A,#N/A,FALSE,"Sheet1"}</definedName>
    <definedName name="Royalty_5" hidden="1">{#N/A,#N/A,FALSE,"Sheet1"}</definedName>
    <definedName name="rr">#REF!</definedName>
    <definedName name="R소비자가">#REF!</definedName>
    <definedName name="R제안가">#REF!</definedName>
    <definedName name="S">#REF!</definedName>
    <definedName name="Scorpion_M2_processor">[1]Supplement2!#REF!</definedName>
    <definedName name="SDC">#REF!</definedName>
    <definedName name="Seawolf_M2_processor">[1]Supplement2!#REF!</definedName>
    <definedName name="seawolf_TRadder">#REF!</definedName>
    <definedName name="SLDC">#REF!</definedName>
    <definedName name="SRP">#REF!</definedName>
    <definedName name="ss" hidden="1">{#N/A,#N/A,FALSE,"운반시간"}</definedName>
    <definedName name="ss_2" hidden="1">{#N/A,#N/A,FALSE,"운반시간"}</definedName>
    <definedName name="ss_3" hidden="1">{#N/A,#N/A,FALSE,"운반시간"}</definedName>
    <definedName name="ss_4" hidden="1">{#N/A,#N/A,FALSE,"운반시간"}</definedName>
    <definedName name="ss_5" hidden="1">{#N/A,#N/A,FALSE,"운반시간"}</definedName>
    <definedName name="sss" hidden="1">{#N/A,#N/A,FALSE,"전력간선"}</definedName>
    <definedName name="sss_1" hidden="1">{#N/A,#N/A,FALSE,"전력간선"}</definedName>
    <definedName name="Sturgeon_M2_processor">[1]Supplement2!#REF!</definedName>
    <definedName name="SWITCH">#REF!</definedName>
    <definedName name="TStorm_M2_Processor">[1]Supplement2!#REF!</definedName>
    <definedName name="tt" hidden="1">{#N/A,#N/A,FALSE,"단가표지"}</definedName>
    <definedName name="tt_2" hidden="1">{#N/A,#N/A,FALSE,"단가표지"}</definedName>
    <definedName name="tt_3" hidden="1">{#N/A,#N/A,FALSE,"단가표지"}</definedName>
    <definedName name="tt_4" hidden="1">{#N/A,#N/A,FALSE,"단가표지"}</definedName>
    <definedName name="tt_5" hidden="1">{#N/A,#N/A,FALSE,"단가표지"}</definedName>
    <definedName name="UPG_PN">#REF!</definedName>
    <definedName name="WANsf">#REF!</definedName>
    <definedName name="WG">#REF!</definedName>
    <definedName name="whan">#REF!</definedName>
    <definedName name="wm.조골재1" hidden="1">{#N/A,#N/A,FALSE,"조골재"}</definedName>
    <definedName name="wm.조골재1_1" hidden="1">{#N/A,#N/A,FALSE,"조골재"}</definedName>
    <definedName name="wm.조골재1_2" hidden="1">{#N/A,#N/A,FALSE,"조골재"}</definedName>
    <definedName name="wm.조골재1_3" hidden="1">{#N/A,#N/A,FALSE,"조골재"}</definedName>
    <definedName name="wm.조골재1_4" hidden="1">{#N/A,#N/A,FALSE,"조골재"}</definedName>
    <definedName name="wm.조골재1_5" hidden="1">{#N/A,#N/A,FALSE,"조골재"}</definedName>
    <definedName name="WQR" hidden="1">{#N/A,#N/A,FALSE,"Sheet1"}</definedName>
    <definedName name="WQR_2" hidden="1">{#N/A,#N/A,FALSE,"Sheet1"}</definedName>
    <definedName name="WQR_3" hidden="1">{#N/A,#N/A,FALSE,"Sheet1"}</definedName>
    <definedName name="WQR_4" hidden="1">{#N/A,#N/A,FALSE,"Sheet1"}</definedName>
    <definedName name="WQR_5" hidden="1">{#N/A,#N/A,FALSE,"Sheet1"}</definedName>
    <definedName name="wrn.?¶°???°???._.5?­." hidden="1">{#N/A,#N/A,FALSE,"Sheet1"}</definedName>
    <definedName name="wrn.?¶°???°???._.5?­._2" hidden="1">{#N/A,#N/A,FALSE,"Sheet1"}</definedName>
    <definedName name="wrn.?¶°???°???._.5?­._3" hidden="1">{#N/A,#N/A,FALSE,"Sheet1"}</definedName>
    <definedName name="wrn.?¶°???°???._.5?­._4" hidden="1">{#N/A,#N/A,FALSE,"Sheet1"}</definedName>
    <definedName name="wrn.?¶°???°???._.5?­._5" hidden="1">{#N/A,#N/A,FALSE,"Sheet1"}</definedName>
    <definedName name="wrn.2번." hidden="1">{#N/A,#N/A,FALSE,"2~8번"}</definedName>
    <definedName name="wrn.2번._1" hidden="1">{#N/A,#N/A,FALSE,"2~8번"}</definedName>
    <definedName name="wrn.2번._2" hidden="1">{#N/A,#N/A,FALSE,"2~8번"}</definedName>
    <definedName name="wrn.2번._3" hidden="1">{#N/A,#N/A,FALSE,"2~8번"}</definedName>
    <definedName name="wrn.2번._4" hidden="1">{#N/A,#N/A,FALSE,"2~8번"}</definedName>
    <definedName name="wrn.2번._5" hidden="1">{#N/A,#N/A,FALSE,"2~8번"}</definedName>
    <definedName name="wrn.test1." hidden="1">{#N/A,#N/A,FALSE,"명세표"}</definedName>
    <definedName name="wrn.test1._2" hidden="1">{#N/A,#N/A,FALSE,"명세표"}</definedName>
    <definedName name="wrn.test1._3" hidden="1">{#N/A,#N/A,FALSE,"명세표"}</definedName>
    <definedName name="wrn.test1._4" hidden="1">{#N/A,#N/A,FALSE,"명세표"}</definedName>
    <definedName name="wrn.test1._5" hidden="1">{#N/A,#N/A,FALSE,"명세표"}</definedName>
    <definedName name="wrn.골재소요량." hidden="1">{#N/A,#N/A,FALSE,"골재소요량";#N/A,#N/A,FALSE,"골재소요량"}</definedName>
    <definedName name="wrn.골재소요량._1" hidden="1">{#N/A,#N/A,FALSE,"골재소요량";#N/A,#N/A,FALSE,"골재소요량"}</definedName>
    <definedName name="wrn.골재소요량._2" hidden="1">{#N/A,#N/A,FALSE,"골재소요량";#N/A,#N/A,FALSE,"골재소요량"}</definedName>
    <definedName name="wrn.골재소요량._3" hidden="1">{#N/A,#N/A,FALSE,"골재소요량";#N/A,#N/A,FALSE,"골재소요량"}</definedName>
    <definedName name="wrn.골재소요량._4" hidden="1">{#N/A,#N/A,FALSE,"골재소요량";#N/A,#N/A,FALSE,"골재소요량"}</definedName>
    <definedName name="wrn.골재소요량._5" hidden="1">{#N/A,#N/A,FALSE,"골재소요량";#N/A,#N/A,FALSE,"골재소요량"}</definedName>
    <definedName name="wrn.교육청." hidden="1">{#N/A,#N/A,FALSE,"전력간선"}</definedName>
    <definedName name="wrn.교육청._1" hidden="1">{#N/A,#N/A,FALSE,"전력간선"}</definedName>
    <definedName name="wrn.구조2." hidden="1">{#N/A,#N/A,FALSE,"구조2"}</definedName>
    <definedName name="wrn.구조2._1" hidden="1">{#N/A,#N/A,FALSE,"구조2"}</definedName>
    <definedName name="wrn.구조2._2" hidden="1">{#N/A,#N/A,FALSE,"구조2"}</definedName>
    <definedName name="wrn.구조2._3" hidden="1">{#N/A,#N/A,FALSE,"구조2"}</definedName>
    <definedName name="wrn.구조2._4" hidden="1">{#N/A,#N/A,FALSE,"구조2"}</definedName>
    <definedName name="wrn.구조2._5" hidden="1">{#N/A,#N/A,FALSE,"구조2"}</definedName>
    <definedName name="wrn.단가표지." hidden="1">{#N/A,#N/A,FALSE,"단가표지"}</definedName>
    <definedName name="wrn.단가표지._1" hidden="1">{#N/A,#N/A,FALSE,"단가표지"}</definedName>
    <definedName name="wrn.단가표지._2" hidden="1">{#N/A,#N/A,FALSE,"단가표지"}</definedName>
    <definedName name="wrn.단가표지._3" hidden="1">{#N/A,#N/A,FALSE,"단가표지"}</definedName>
    <definedName name="wrn.단가표지._4" hidden="1">{#N/A,#N/A,FALSE,"단가표지"}</definedName>
    <definedName name="wrn.단가표지._5" hidden="1">{#N/A,#N/A,FALSE,"단가표지"}</definedName>
    <definedName name="wrn.배수1." hidden="1">{#N/A,#N/A,FALSE,"배수1"}</definedName>
    <definedName name="wrn.배수1._1" hidden="1">{#N/A,#N/A,FALSE,"배수1"}</definedName>
    <definedName name="wrn.배수1._2" hidden="1">{#N/A,#N/A,FALSE,"배수1"}</definedName>
    <definedName name="wrn.배수1._3" hidden="1">{#N/A,#N/A,FALSE,"배수1"}</definedName>
    <definedName name="wrn.배수1._4" hidden="1">{#N/A,#N/A,FALSE,"배수1"}</definedName>
    <definedName name="wrn.배수1._5" hidden="1">{#N/A,#N/A,FALSE,"배수1"}</definedName>
    <definedName name="wrn.배수2." hidden="1">{#N/A,#N/A,FALSE,"배수2"}</definedName>
    <definedName name="wrn.배수2._1" hidden="1">{#N/A,#N/A,FALSE,"배수2"}</definedName>
    <definedName name="wrn.배수2._2" hidden="1">{#N/A,#N/A,FALSE,"배수2"}</definedName>
    <definedName name="wrn.배수2._3" hidden="1">{#N/A,#N/A,FALSE,"배수2"}</definedName>
    <definedName name="wrn.배수2._4" hidden="1">{#N/A,#N/A,FALSE,"배수2"}</definedName>
    <definedName name="wrn.배수2._5" hidden="1">{#N/A,#N/A,FALSE,"배수2"}</definedName>
    <definedName name="wrn.부대1." hidden="1">{#N/A,#N/A,FALSE,"부대1"}</definedName>
    <definedName name="wrn.부대1._1" hidden="1">{#N/A,#N/A,FALSE,"부대1"}</definedName>
    <definedName name="wrn.부대1._2" hidden="1">{#N/A,#N/A,FALSE,"부대1"}</definedName>
    <definedName name="wrn.부대1._3" hidden="1">{#N/A,#N/A,FALSE,"부대1"}</definedName>
    <definedName name="wrn.부대1._4" hidden="1">{#N/A,#N/A,FALSE,"부대1"}</definedName>
    <definedName name="wrn.부대1._5" hidden="1">{#N/A,#N/A,FALSE,"부대1"}</definedName>
    <definedName name="wrn.부대2." hidden="1">{#N/A,#N/A,FALSE,"부대2"}</definedName>
    <definedName name="wrn.부대2._1" hidden="1">{#N/A,#N/A,FALSE,"부대2"}</definedName>
    <definedName name="wrn.부대2._2" hidden="1">{#N/A,#N/A,FALSE,"부대2"}</definedName>
    <definedName name="wrn.부대2._3" hidden="1">{#N/A,#N/A,FALSE,"부대2"}</definedName>
    <definedName name="wrn.부대2._4" hidden="1">{#N/A,#N/A,FALSE,"부대2"}</definedName>
    <definedName name="wrn.부대2._5" hidden="1">{#N/A,#N/A,FALSE,"부대2"}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_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속도." hidden="1">{#N/A,#N/A,FALSE,"속도"}</definedName>
    <definedName name="wrn.속도._1" hidden="1">{#N/A,#N/A,FALSE,"속도"}</definedName>
    <definedName name="wrn.속도._2" hidden="1">{#N/A,#N/A,FALSE,"속도"}</definedName>
    <definedName name="wrn.속도._3" hidden="1">{#N/A,#N/A,FALSE,"속도"}</definedName>
    <definedName name="wrn.속도._4" hidden="1">{#N/A,#N/A,FALSE,"속도"}</definedName>
    <definedName name="wrn.속도._5" hidden="1">{#N/A,#N/A,FALSE,"속도"}</definedName>
    <definedName name="wrn.업체별._.견적공사명." hidden="1">{"SJ - 기본 보기",#N/A,FALSE,"공사별 외주견적"}</definedName>
    <definedName name="wrn.업체별._.견적공사명._1" hidden="1">{"SJ - 기본 보기",#N/A,FALSE,"공사별 외주견적"}</definedName>
    <definedName name="wrn.운반시간." hidden="1">{#N/A,#N/A,FALSE,"운반시간"}</definedName>
    <definedName name="wrn.운반시간._1" hidden="1">{#N/A,#N/A,FALSE,"운반시간"}</definedName>
    <definedName name="wrn.운반시간._2" hidden="1">{#N/A,#N/A,FALSE,"운반시간"}</definedName>
    <definedName name="wrn.운반시간._3" hidden="1">{#N/A,#N/A,FALSE,"운반시간"}</definedName>
    <definedName name="wrn.운반시간._4" hidden="1">{#N/A,#N/A,FALSE,"운반시간"}</definedName>
    <definedName name="wrn.운반시간._5" hidden="1">{#N/A,#N/A,FALSE,"운반시간"}</definedName>
    <definedName name="wrn.이정표." hidden="1">{#N/A,#N/A,FALSE,"이정표"}</definedName>
    <definedName name="wrn.이정표._1" hidden="1">{#N/A,#N/A,FALSE,"이정표"}</definedName>
    <definedName name="wrn.이정표._2" hidden="1">{#N/A,#N/A,FALSE,"이정표"}</definedName>
    <definedName name="wrn.이정표._3" hidden="1">{#N/A,#N/A,FALSE,"이정표"}</definedName>
    <definedName name="wrn.이정표._4" hidden="1">{#N/A,#N/A,FALSE,"이정표"}</definedName>
    <definedName name="wrn.이정표._5" hidden="1">{#N/A,#N/A,FALSE,"이정표"}</definedName>
    <definedName name="wrn.조골재." hidden="1">{#N/A,#N/A,FALSE,"조골재"}</definedName>
    <definedName name="wrn.조골재._1" hidden="1">{#N/A,#N/A,FALSE,"조골재"}</definedName>
    <definedName name="wrn.조골재._2" hidden="1">{#N/A,#N/A,FALSE,"조골재"}</definedName>
    <definedName name="wrn.조골재._3" hidden="1">{#N/A,#N/A,FALSE,"조골재"}</definedName>
    <definedName name="wrn.조골재._4" hidden="1">{#N/A,#N/A,FALSE,"조골재"}</definedName>
    <definedName name="wrn.조골재._5" hidden="1">{#N/A,#N/A,FALSE,"조골재"}</definedName>
    <definedName name="wrn.토공1." hidden="1">{#N/A,#N/A,FALSE,"구조1"}</definedName>
    <definedName name="wrn.토공1._1" hidden="1">{#N/A,#N/A,FALSE,"구조1"}</definedName>
    <definedName name="wrn.토공1._2" hidden="1">{#N/A,#N/A,FALSE,"구조1"}</definedName>
    <definedName name="wrn.토공1._3" hidden="1">{#N/A,#N/A,FALSE,"구조1"}</definedName>
    <definedName name="wrn.토공1._4" hidden="1">{#N/A,#N/A,FALSE,"구조1"}</definedName>
    <definedName name="wrn.토공1._5" hidden="1">{#N/A,#N/A,FALSE,"구조1"}</definedName>
    <definedName name="wrn.토공2." hidden="1">{#N/A,#N/A,FALSE,"토공2"}</definedName>
    <definedName name="wrn.토공2._1" hidden="1">{#N/A,#N/A,FALSE,"토공2"}</definedName>
    <definedName name="wrn.토공2._2" hidden="1">{#N/A,#N/A,FALSE,"토공2"}</definedName>
    <definedName name="wrn.토공2._3" hidden="1">{#N/A,#N/A,FALSE,"토공2"}</definedName>
    <definedName name="wrn.토공2._4" hidden="1">{#N/A,#N/A,FALSE,"토공2"}</definedName>
    <definedName name="wrn.토공2._5" hidden="1">{#N/A,#N/A,FALSE,"토공2"}</definedName>
    <definedName name="wrn.포장1." hidden="1">{#N/A,#N/A,FALSE,"포장1";#N/A,#N/A,FALSE,"포장1"}</definedName>
    <definedName name="wrn.포장1._1" hidden="1">{#N/A,#N/A,FALSE,"포장1";#N/A,#N/A,FALSE,"포장1"}</definedName>
    <definedName name="wrn.포장1._2" hidden="1">{#N/A,#N/A,FALSE,"포장1";#N/A,#N/A,FALSE,"포장1"}</definedName>
    <definedName name="wrn.포장1._3" hidden="1">{#N/A,#N/A,FALSE,"포장1";#N/A,#N/A,FALSE,"포장1"}</definedName>
    <definedName name="wrn.포장1._4" hidden="1">{#N/A,#N/A,FALSE,"포장1";#N/A,#N/A,FALSE,"포장1"}</definedName>
    <definedName name="wrn.포장1._5" hidden="1">{#N/A,#N/A,FALSE,"포장1";#N/A,#N/A,FALSE,"포장1"}</definedName>
    <definedName name="wrn.포장2." hidden="1">{#N/A,#N/A,FALSE,"포장2"}</definedName>
    <definedName name="wrn.포장2._1" hidden="1">{#N/A,#N/A,FALSE,"포장2"}</definedName>
    <definedName name="wrn.포장2._2" hidden="1">{#N/A,#N/A,FALSE,"포장2"}</definedName>
    <definedName name="wrn.포장2._3" hidden="1">{#N/A,#N/A,FALSE,"포장2"}</definedName>
    <definedName name="wrn.포장2._4" hidden="1">{#N/A,#N/A,FALSE,"포장2"}</definedName>
    <definedName name="wrn.포장2._5" hidden="1">{#N/A,#N/A,FALSE,"포장2"}</definedName>
    <definedName name="wrn.표지목차." hidden="1">{#N/A,#N/A,FALSE,"표지목차"}</definedName>
    <definedName name="wrn.표지목차._1" hidden="1">{#N/A,#N/A,FALSE,"표지목차"}</definedName>
    <definedName name="wrn.표지목차._2" hidden="1">{#N/A,#N/A,FALSE,"표지목차"}</definedName>
    <definedName name="wrn.표지목차._3" hidden="1">{#N/A,#N/A,FALSE,"표지목차"}</definedName>
    <definedName name="wrn.표지목차._4" hidden="1">{#N/A,#N/A,FALSE,"표지목차"}</definedName>
    <definedName name="wrn.표지목차._5" hidden="1">{#N/A,#N/A,FALSE,"표지목차"}</definedName>
    <definedName name="wrn.혼합골재." hidden="1">{#N/A,#N/A,FALSE,"혼합골재"}</definedName>
    <definedName name="wrn.혼합골재._1" hidden="1">{#N/A,#N/A,FALSE,"혼합골재"}</definedName>
    <definedName name="wrn.혼합골재._2" hidden="1">{#N/A,#N/A,FALSE,"혼합골재"}</definedName>
    <definedName name="wrn.혼합골재._3" hidden="1">{#N/A,#N/A,FALSE,"혼합골재"}</definedName>
    <definedName name="wrn.혼합골재._4" hidden="1">{#N/A,#N/A,FALSE,"혼합골재"}</definedName>
    <definedName name="wrn.혼합골재._5" hidden="1">{#N/A,#N/A,FALSE,"혼합골재"}</definedName>
    <definedName name="ww" hidden="1">{#N/A,#N/A,FALSE,"골재소요량";#N/A,#N/A,FALSE,"골재소요량"}</definedName>
    <definedName name="ww_2" hidden="1">{#N/A,#N/A,FALSE,"골재소요량";#N/A,#N/A,FALSE,"골재소요량"}</definedName>
    <definedName name="ww_3" hidden="1">{#N/A,#N/A,FALSE,"골재소요량";#N/A,#N/A,FALSE,"골재소요량"}</definedName>
    <definedName name="ww_4" hidden="1">{#N/A,#N/A,FALSE,"골재소요량";#N/A,#N/A,FALSE,"골재소요량"}</definedName>
    <definedName name="ww_5" hidden="1">{#N/A,#N/A,FALSE,"골재소요량";#N/A,#N/A,FALSE,"골재소요량"}</definedName>
    <definedName name="wwww" hidden="1">{#N/A,#N/A,FALSE,"배수1"}</definedName>
    <definedName name="wwww_1" hidden="1">{#N/A,#N/A,FALSE,"배수1"}</definedName>
    <definedName name="XSP1">#REF!</definedName>
    <definedName name="YM">'[4]원가분석(Cisco)'!#REF!</definedName>
    <definedName name="계약추진2">#REF!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측기기_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_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_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원등기초" hidden="1">{#N/A,#N/A,FALSE,"골재소요량";#N/A,#N/A,FALSE,"골재소요량"}</definedName>
    <definedName name="공원등기초_2" hidden="1">{#N/A,#N/A,FALSE,"골재소요량";#N/A,#N/A,FALSE,"골재소요량"}</definedName>
    <definedName name="공원등기초_3" hidden="1">{#N/A,#N/A,FALSE,"골재소요량";#N/A,#N/A,FALSE,"골재소요량"}</definedName>
    <definedName name="공원등기초_4" hidden="1">{#N/A,#N/A,FALSE,"골재소요량";#N/A,#N/A,FALSE,"골재소요량"}</definedName>
    <definedName name="공원등기초_5" hidden="1">{#N/A,#N/A,FALSE,"골재소요량";#N/A,#N/A,FALSE,"골재소요량"}</definedName>
    <definedName name="기타">#REF!</definedName>
    <definedName name="기타UP">#REF!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_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_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임단가" hidden="1">{"SJ - 기본 보기",#N/A,FALSE,"공사별 외주견적"}</definedName>
    <definedName name="노임단가_1" hidden="1">{"SJ - 기본 보기",#N/A,FALSE,"공사별 외주견적"}</definedName>
    <definedName name="노텔">#REF!</definedName>
    <definedName name="노텔8100">#REF!</definedName>
    <definedName name="노텔8100DC">#REF!</definedName>
    <definedName name="노텔DC">#REF!</definedName>
    <definedName name="노텔환율">#REF!</definedName>
    <definedName name="대관공사비" hidden="1">{"'건축내역'!$A$1:$L$413"}</definedName>
    <definedName name="대관공사비_2" hidden="1">{"'건축내역'!$A$1:$L$413"}</definedName>
    <definedName name="대관공사비_2_1">{"'건축내역'!$A$1:$L$413"}</definedName>
    <definedName name="대관공사비_3" hidden="1">{"'건축내역'!$A$1:$L$413"}</definedName>
    <definedName name="대관공사비_3_1">{"'건축내역'!$A$1:$L$413"}</definedName>
    <definedName name="대관공사비_4" hidden="1">{"'건축내역'!$A$1:$L$413"}</definedName>
    <definedName name="대관공사비_4_1">{"'건축내역'!$A$1:$L$413"}</definedName>
    <definedName name="대관공사비_5" hidden="1">{"'건축내역'!$A$1:$L$413"}</definedName>
    <definedName name="대관공사비_5_1">{"'건축내역'!$A$1:$L$413"}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_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구연숩" hidden="1">{#N/A,#N/A,FALSE,"전력간선"}</definedName>
    <definedName name="동구연숩_1" hidden="1">{#N/A,#N/A,FALSE,"전력간선"}</definedName>
    <definedName name="ㅁㄴㅇㄻㄴㅇㄻㄴㄹ" hidden="1">{#N/A,#N/A,FALSE,"명세표"}</definedName>
    <definedName name="ㅁㄴㅇㄻㄴㅇㄻㄴㄹ_2" hidden="1">{#N/A,#N/A,FALSE,"명세표"}</definedName>
    <definedName name="ㅁㄴㅇㄻㄴㅇㄻㄴㄹ_3" hidden="1">{#N/A,#N/A,FALSE,"명세표"}</definedName>
    <definedName name="ㅁㄴㅇㄻㄴㅇㄻㄴㄹ_4" hidden="1">{#N/A,#N/A,FALSE,"명세표"}</definedName>
    <definedName name="ㅁㄴㅇㄻㄴㅇㄻㄴㄹ_5" hidden="1">{#N/A,#N/A,FALSE,"명세표"}</definedName>
    <definedName name="몰라" hidden="1">{#N/A,#N/A,FALSE,"명세표"}</definedName>
    <definedName name="몰라_2" hidden="1">{#N/A,#N/A,FALSE,"명세표"}</definedName>
    <definedName name="몰라_3" hidden="1">{#N/A,#N/A,FALSE,"명세표"}</definedName>
    <definedName name="몰라_4" hidden="1">{#N/A,#N/A,FALSE,"명세표"}</definedName>
    <definedName name="몰라_5" hidden="1">{#N/A,#N/A,FALSE,"명세표"}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_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대비용">#REF!</definedName>
    <definedName name="부대비용1">#REF!</definedName>
    <definedName name="분전반제조총괄표" hidden="1">{"'건축내역'!$A$1:$L$413"}</definedName>
    <definedName name="분전반제조총괄표_2" hidden="1">{"'건축내역'!$A$1:$L$413"}</definedName>
    <definedName name="분전반제조총괄표_2_1">{"'건축내역'!$A$1:$L$413"}</definedName>
    <definedName name="분전반제조총괄표_3" hidden="1">{"'건축내역'!$A$1:$L$413"}</definedName>
    <definedName name="분전반제조총괄표_3_1">{"'건축내역'!$A$1:$L$413"}</definedName>
    <definedName name="분전반제조총괄표_4" hidden="1">{"'건축내역'!$A$1:$L$413"}</definedName>
    <definedName name="분전반제조총괄표_4_1">{"'건축내역'!$A$1:$L$413"}</definedName>
    <definedName name="분전반제조총괄표_5" hidden="1">{"'건축내역'!$A$1:$L$413"}</definedName>
    <definedName name="분전반제조총괄표_5_1">{"'건축내역'!$A$1:$L$413"}</definedName>
    <definedName name="소비자가">#REF!</definedName>
    <definedName name="소비자환율">#REF!</definedName>
    <definedName name="수입부대비용">#REF!</definedName>
    <definedName name="수입비용">#REF!</definedName>
    <definedName name="ㅇㄹㅇㄴㄹ">#REF!</definedName>
    <definedName name="ㅇㄻ">#REF!</definedName>
    <definedName name="억이상" hidden="1">{#N/A,#N/A,FALSE,"2~8번"}</definedName>
    <definedName name="억이상_1" hidden="1">{#N/A,#N/A,FALSE,"2~8번"}</definedName>
    <definedName name="원가2">#REF!</definedName>
    <definedName name="원가보고1">#REF!</definedName>
    <definedName name="의" hidden="1">{#N/A,#N/A,FALSE,"운반시간"}</definedName>
    <definedName name="의_1" hidden="1">{#N/A,#N/A,FALSE,"운반시간"}</definedName>
    <definedName name="이름표" hidden="1">{#N/A,#N/A,FALSE,"단가표지"}</definedName>
    <definedName name="이름표_2" hidden="1">{#N/A,#N/A,FALSE,"단가표지"}</definedName>
    <definedName name="이름표_3" hidden="1">{#N/A,#N/A,FALSE,"단가표지"}</definedName>
    <definedName name="이름표_4" hidden="1">{#N/A,#N/A,FALSE,"단가표지"}</definedName>
    <definedName name="이름표_5" hidden="1">{#N/A,#N/A,FALSE,"단가표지"}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_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재료노무합계" hidden="1">{"'건축내역'!$A$1:$L$413"}</definedName>
    <definedName name="재료노무합계_2" hidden="1">{"'건축내역'!$A$1:$L$413"}</definedName>
    <definedName name="재료노무합계_2_1">{"'건축내역'!$A$1:$L$413"}</definedName>
    <definedName name="재료노무합계_3" hidden="1">{"'건축내역'!$A$1:$L$413"}</definedName>
    <definedName name="재료노무합계_3_1">{"'건축내역'!$A$1:$L$413"}</definedName>
    <definedName name="재료노무합계_4" hidden="1">{"'건축내역'!$A$1:$L$413"}</definedName>
    <definedName name="재료노무합계_4_1">{"'건축내역'!$A$1:$L$413"}</definedName>
    <definedName name="재료노무합계_5" hidden="1">{"'건축내역'!$A$1:$L$413"}</definedName>
    <definedName name="재료노무합계_5_1">{"'건축내역'!$A$1:$L$413"}</definedName>
    <definedName name="전시장비노임단가" hidden="1">{"SJ - 기본 보기",#N/A,FALSE,"공사별 외주견적"}</definedName>
    <definedName name="전시장비노임단가_1" hidden="1">{"SJ - 기본 보기",#N/A,FALSE,"공사별 외주견적"}</definedName>
    <definedName name="전체제조총괄표" hidden="1">{"'건축내역'!$A$1:$L$413"}</definedName>
    <definedName name="전체제조총괄표_2" hidden="1">{"'건축내역'!$A$1:$L$413"}</definedName>
    <definedName name="전체제조총괄표_2_1">{"'건축내역'!$A$1:$L$413"}</definedName>
    <definedName name="전체제조총괄표_3" hidden="1">{"'건축내역'!$A$1:$L$413"}</definedName>
    <definedName name="전체제조총괄표_3_1">{"'건축내역'!$A$1:$L$413"}</definedName>
    <definedName name="전체제조총괄표_4" hidden="1">{"'건축내역'!$A$1:$L$413"}</definedName>
    <definedName name="전체제조총괄표_4_1">{"'건축내역'!$A$1:$L$413"}</definedName>
    <definedName name="전체제조총괄표_5" hidden="1">{"'건축내역'!$A$1:$L$413"}</definedName>
    <definedName name="전체제조총괄표_5_1">{"'건축내역'!$A$1:$L$413"}</definedName>
    <definedName name="제안">'[4]원가분석(Cisco)'!$N$1</definedName>
    <definedName name="제안DC">#REF!</definedName>
    <definedName name="제안DC1">#REF!</definedName>
    <definedName name="제안가">#REF!</definedName>
    <definedName name="제안가DC">#REF!</definedName>
    <definedName name="제조사선택목록">#REF!</definedName>
    <definedName name="조차장" hidden="1">{#N/A,#N/A,FALSE,"명세표"}</definedName>
    <definedName name="조차장_2" hidden="1">{#N/A,#N/A,FALSE,"명세표"}</definedName>
    <definedName name="조차장_3" hidden="1">{#N/A,#N/A,FALSE,"명세표"}</definedName>
    <definedName name="조차장_4" hidden="1">{#N/A,#N/A,FALSE,"명세표"}</definedName>
    <definedName name="조차장_5" hidden="1">{#N/A,#N/A,FALSE,"명세표"}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_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집계" hidden="1">{#N/A,#N/A,FALSE,"명세표"}</definedName>
    <definedName name="집계_2" hidden="1">{#N/A,#N/A,FALSE,"명세표"}</definedName>
    <definedName name="집계_3" hidden="1">{#N/A,#N/A,FALSE,"명세표"}</definedName>
    <definedName name="집계_4" hidden="1">{#N/A,#N/A,FALSE,"명세표"}</definedName>
    <definedName name="집계_5" hidden="1">{#N/A,#N/A,FALSE,"명세표"}</definedName>
    <definedName name="ㅋㅋ" hidden="1">{#N/A,#N/A,FALSE,"명세표"}</definedName>
    <definedName name="ㅋㅋ_2" hidden="1">{#N/A,#N/A,FALSE,"명세표"}</definedName>
    <definedName name="ㅋㅋ_3" hidden="1">{#N/A,#N/A,FALSE,"명세표"}</definedName>
    <definedName name="ㅋㅋ_4" hidden="1">{#N/A,#N/A,FALSE,"명세표"}</definedName>
    <definedName name="ㅋㅋ_5" hidden="1">{#N/A,#N/A,FALSE,"명세표"}</definedName>
    <definedName name="ㅋㅋㅋ" hidden="1">{#N/A,#N/A,FALSE,"단가표지"}</definedName>
    <definedName name="ㅋㅋㅋ_2" hidden="1">{#N/A,#N/A,FALSE,"단가표지"}</definedName>
    <definedName name="ㅋㅋㅋ_3" hidden="1">{#N/A,#N/A,FALSE,"단가표지"}</definedName>
    <definedName name="ㅋㅋㅋ_4" hidden="1">{#N/A,#N/A,FALSE,"단가표지"}</definedName>
    <definedName name="ㅋㅋㅋ_5" hidden="1">{#N/A,#N/A,FALSE,"단가표지"}</definedName>
    <definedName name="토목설계" hidden="1">{#N/A,#N/A,FALSE,"골재소요량";#N/A,#N/A,FALSE,"골재소요량"}</definedName>
    <definedName name="토목설계_1" hidden="1">{#N/A,#N/A,FALSE,"골재소요량";#N/A,#N/A,FALSE,"골재소요량"}</definedName>
    <definedName name="토목설계_2" hidden="1">{#N/A,#N/A,FALSE,"골재소요량";#N/A,#N/A,FALSE,"골재소요량"}</definedName>
    <definedName name="토목설계_3" hidden="1">{#N/A,#N/A,FALSE,"골재소요량";#N/A,#N/A,FALSE,"골재소요량"}</definedName>
    <definedName name="토목설계_4" hidden="1">{#N/A,#N/A,FALSE,"골재소요량";#N/A,#N/A,FALSE,"골재소요량"}</definedName>
    <definedName name="토목설계_5" hidden="1">{#N/A,#N/A,FALSE,"골재소요량";#N/A,#N/A,FALSE,"골재소요량"}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_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하하" hidden="1">{#N/A,#N/A,FALSE,"단가표지"}</definedName>
    <definedName name="하하하_2" hidden="1">{#N/A,#N/A,FALSE,"단가표지"}</definedName>
    <definedName name="하하하_3" hidden="1">{#N/A,#N/A,FALSE,"단가표지"}</definedName>
    <definedName name="하하하_4" hidden="1">{#N/A,#N/A,FALSE,"단가표지"}</definedName>
    <definedName name="하하하_5" hidden="1">{#N/A,#N/A,FALSE,"단가표지"}</definedName>
    <definedName name="환율">#REF!</definedName>
    <definedName name="환율1150">#REF!</definedName>
    <definedName name="환율1200">#REF!</definedName>
    <definedName name="환율1250">#REF!</definedName>
    <definedName name="ㅣㅑㅑ" hidden="1">{#N/A,#N/A,FALSE,"단가표지"}</definedName>
    <definedName name="ㅣㅑㅑ_2" hidden="1">{#N/A,#N/A,FALSE,"단가표지"}</definedName>
    <definedName name="ㅣㅑㅑ_3" hidden="1">{#N/A,#N/A,FALSE,"단가표지"}</definedName>
    <definedName name="ㅣㅑㅑ_4" hidden="1">{#N/A,#N/A,FALSE,"단가표지"}</definedName>
    <definedName name="ㅣㅑㅑ_5" hidden="1">{#N/A,#N/A,FALSE,"단가표지"}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1" i="3" l="1"/>
  <c r="I81" i="3"/>
  <c r="F81" i="3"/>
  <c r="K76" i="3"/>
  <c r="M76" i="3" s="1"/>
  <c r="L76" i="3"/>
  <c r="L75" i="3"/>
  <c r="K75" i="3"/>
  <c r="J75" i="3"/>
  <c r="M75" i="3" s="1"/>
  <c r="L77" i="3"/>
  <c r="L81" i="3" s="1"/>
  <c r="K74" i="3"/>
  <c r="J73" i="3"/>
  <c r="K70" i="3"/>
  <c r="J68" i="3"/>
  <c r="K67" i="3"/>
  <c r="L66" i="3"/>
  <c r="J65" i="3"/>
  <c r="K63" i="3"/>
  <c r="K62" i="3"/>
  <c r="J60" i="3"/>
  <c r="L59" i="3"/>
  <c r="K58" i="3"/>
  <c r="J57" i="3"/>
  <c r="K55" i="3"/>
  <c r="K54" i="3"/>
  <c r="J52" i="3"/>
  <c r="J38" i="3"/>
  <c r="J50" i="3"/>
  <c r="L49" i="3"/>
  <c r="L48" i="3"/>
  <c r="K45" i="3"/>
  <c r="J42" i="3"/>
  <c r="L41" i="3"/>
  <c r="L40" i="3"/>
  <c r="K39" i="3"/>
  <c r="J37" i="3"/>
  <c r="J36" i="3"/>
  <c r="J21" i="3"/>
  <c r="J20" i="3"/>
  <c r="J19" i="3"/>
  <c r="J17" i="3"/>
  <c r="K29" i="3"/>
  <c r="J28" i="3"/>
  <c r="K25" i="3"/>
  <c r="K21" i="3"/>
  <c r="K20" i="3"/>
  <c r="K16" i="3"/>
  <c r="L17" i="3"/>
  <c r="J18" i="3"/>
  <c r="K18" i="3"/>
  <c r="L18" i="3"/>
  <c r="J22" i="3"/>
  <c r="K22" i="3"/>
  <c r="L22" i="3"/>
  <c r="J23" i="3"/>
  <c r="K23" i="3"/>
  <c r="L23" i="3"/>
  <c r="J24" i="3"/>
  <c r="K24" i="3"/>
  <c r="L24" i="3"/>
  <c r="J25" i="3"/>
  <c r="L25" i="3"/>
  <c r="J26" i="3"/>
  <c r="K26" i="3"/>
  <c r="L26" i="3"/>
  <c r="J27" i="3"/>
  <c r="K27" i="3"/>
  <c r="L27" i="3"/>
  <c r="K28" i="3"/>
  <c r="L28" i="3"/>
  <c r="J29" i="3"/>
  <c r="J30" i="3"/>
  <c r="K30" i="3"/>
  <c r="L30" i="3"/>
  <c r="J31" i="3"/>
  <c r="K31" i="3"/>
  <c r="L31" i="3"/>
  <c r="J32" i="3"/>
  <c r="K32" i="3"/>
  <c r="L32" i="3"/>
  <c r="J33" i="3"/>
  <c r="K33" i="3"/>
  <c r="L33" i="3"/>
  <c r="J34" i="3"/>
  <c r="K34" i="3"/>
  <c r="L34" i="3"/>
  <c r="J35" i="3"/>
  <c r="K35" i="3"/>
  <c r="L35" i="3"/>
  <c r="K36" i="3"/>
  <c r="L36" i="3"/>
  <c r="K38" i="3"/>
  <c r="L38" i="3"/>
  <c r="J39" i="3"/>
  <c r="J43" i="3"/>
  <c r="K43" i="3"/>
  <c r="L43" i="3"/>
  <c r="J44" i="3"/>
  <c r="K44" i="3"/>
  <c r="L44" i="3"/>
  <c r="J45" i="3"/>
  <c r="L45" i="3"/>
  <c r="J46" i="3"/>
  <c r="K46" i="3"/>
  <c r="L46" i="3"/>
  <c r="J47" i="3"/>
  <c r="K47" i="3"/>
  <c r="L47" i="3"/>
  <c r="K50" i="3"/>
  <c r="J51" i="3"/>
  <c r="J53" i="3"/>
  <c r="K53" i="3"/>
  <c r="L53" i="3"/>
  <c r="J54" i="3"/>
  <c r="J55" i="3"/>
  <c r="L55" i="3"/>
  <c r="J56" i="3"/>
  <c r="K56" i="3"/>
  <c r="L56" i="3"/>
  <c r="K59" i="3"/>
  <c r="J61" i="3"/>
  <c r="K61" i="3"/>
  <c r="L61" i="3"/>
  <c r="J62" i="3"/>
  <c r="J63" i="3"/>
  <c r="L63" i="3"/>
  <c r="J64" i="3"/>
  <c r="K64" i="3"/>
  <c r="L64" i="3"/>
  <c r="K68" i="3"/>
  <c r="J69" i="3"/>
  <c r="K69" i="3"/>
  <c r="L69" i="3"/>
  <c r="J70" i="3"/>
  <c r="J71" i="3"/>
  <c r="K71" i="3"/>
  <c r="L71" i="3"/>
  <c r="J72" i="3"/>
  <c r="K72" i="3"/>
  <c r="L72" i="3"/>
  <c r="K77" i="3"/>
  <c r="K81" i="3" s="1"/>
  <c r="J15" i="3"/>
  <c r="M15" i="3" s="1"/>
  <c r="J7" i="3"/>
  <c r="K7" i="3"/>
  <c r="L7" i="3"/>
  <c r="J8" i="3"/>
  <c r="K8" i="3"/>
  <c r="L8" i="3"/>
  <c r="J9" i="3"/>
  <c r="K9" i="3"/>
  <c r="L9" i="3"/>
  <c r="J10" i="3"/>
  <c r="M10" i="3"/>
  <c r="J11" i="3"/>
  <c r="K11" i="3"/>
  <c r="L11" i="3"/>
  <c r="J12" i="3"/>
  <c r="K12" i="3"/>
  <c r="L12" i="3"/>
  <c r="J13" i="3"/>
  <c r="K13" i="3"/>
  <c r="L13" i="3"/>
  <c r="J14" i="3"/>
  <c r="K14" i="3"/>
  <c r="L14" i="3"/>
  <c r="L6" i="3"/>
  <c r="K6" i="3"/>
  <c r="J6" i="3"/>
  <c r="L5" i="3"/>
  <c r="K5" i="3"/>
  <c r="J5" i="3"/>
  <c r="M5" i="3" s="1"/>
  <c r="E32" i="1"/>
  <c r="F32" i="1" s="1"/>
  <c r="E31" i="1"/>
  <c r="F31" i="1" s="1"/>
  <c r="E30" i="1"/>
  <c r="F30" i="1" s="1"/>
  <c r="M80" i="3"/>
  <c r="M79" i="3"/>
  <c r="M78" i="3"/>
  <c r="F82" i="3"/>
  <c r="M12" i="3" l="1"/>
  <c r="M6" i="3"/>
  <c r="M14" i="3"/>
  <c r="M9" i="3"/>
  <c r="J67" i="3"/>
  <c r="K66" i="3"/>
  <c r="J74" i="3"/>
  <c r="L68" i="3"/>
  <c r="M68" i="3" s="1"/>
  <c r="J66" i="3"/>
  <c r="L60" i="3"/>
  <c r="J58" i="3"/>
  <c r="L52" i="3"/>
  <c r="L73" i="3"/>
  <c r="L65" i="3"/>
  <c r="K60" i="3"/>
  <c r="L57" i="3"/>
  <c r="K52" i="3"/>
  <c r="K73" i="3"/>
  <c r="L70" i="3"/>
  <c r="M70" i="3" s="1"/>
  <c r="K65" i="3"/>
  <c r="L62" i="3"/>
  <c r="K57" i="3"/>
  <c r="L54" i="3"/>
  <c r="L74" i="3"/>
  <c r="L58" i="3"/>
  <c r="L67" i="3"/>
  <c r="K48" i="3"/>
  <c r="K40" i="3"/>
  <c r="L37" i="3"/>
  <c r="L50" i="3"/>
  <c r="M50" i="3" s="1"/>
  <c r="J48" i="3"/>
  <c r="L42" i="3"/>
  <c r="J40" i="3"/>
  <c r="K37" i="3"/>
  <c r="J49" i="3"/>
  <c r="J41" i="3"/>
  <c r="K42" i="3"/>
  <c r="L39" i="3"/>
  <c r="K49" i="3"/>
  <c r="K41" i="3"/>
  <c r="M77" i="3"/>
  <c r="M81" i="3" s="1"/>
  <c r="M59" i="3"/>
  <c r="M43" i="3"/>
  <c r="M64" i="3"/>
  <c r="M7" i="3"/>
  <c r="M72" i="3"/>
  <c r="M56" i="3"/>
  <c r="M62" i="3"/>
  <c r="M54" i="3"/>
  <c r="M46" i="3"/>
  <c r="M38" i="3"/>
  <c r="M51" i="3"/>
  <c r="M8" i="3"/>
  <c r="M34" i="3"/>
  <c r="M69" i="3"/>
  <c r="M61" i="3"/>
  <c r="M45" i="3"/>
  <c r="M71" i="3"/>
  <c r="M55" i="3"/>
  <c r="M47" i="3"/>
  <c r="M44" i="3"/>
  <c r="M39" i="3"/>
  <c r="M53" i="3"/>
  <c r="M63" i="3"/>
  <c r="M22" i="3"/>
  <c r="L16" i="3"/>
  <c r="K17" i="3"/>
  <c r="M17" i="3" s="1"/>
  <c r="M33" i="3"/>
  <c r="M30" i="3"/>
  <c r="M25" i="3"/>
  <c r="L19" i="3"/>
  <c r="M26" i="3"/>
  <c r="I82" i="3"/>
  <c r="J16" i="3"/>
  <c r="L20" i="3"/>
  <c r="M36" i="3"/>
  <c r="M31" i="3"/>
  <c r="M28" i="3"/>
  <c r="M23" i="3"/>
  <c r="K19" i="3"/>
  <c r="M35" i="3"/>
  <c r="M32" i="3"/>
  <c r="L29" i="3"/>
  <c r="M29" i="3" s="1"/>
  <c r="M27" i="3"/>
  <c r="L21" i="3"/>
  <c r="M24" i="3"/>
  <c r="M18" i="3"/>
  <c r="M13" i="3"/>
  <c r="M11" i="3"/>
  <c r="M48" i="3" l="1"/>
  <c r="M66" i="3"/>
  <c r="M41" i="3"/>
  <c r="M65" i="3"/>
  <c r="M37" i="3"/>
  <c r="M67" i="3"/>
  <c r="M73" i="3"/>
  <c r="M58" i="3"/>
  <c r="M74" i="3"/>
  <c r="M60" i="3"/>
  <c r="M52" i="3"/>
  <c r="M57" i="3"/>
  <c r="M40" i="3"/>
  <c r="M42" i="3"/>
  <c r="M49" i="3"/>
  <c r="J82" i="3"/>
  <c r="E20" i="1"/>
  <c r="F20" i="1" s="1"/>
  <c r="E15" i="1"/>
  <c r="F15" i="1" s="1"/>
  <c r="M16" i="3"/>
  <c r="M19" i="3"/>
  <c r="K82" i="3"/>
  <c r="E25" i="1"/>
  <c r="F25" i="1" s="1"/>
  <c r="L82" i="3"/>
  <c r="M21" i="3"/>
  <c r="M20" i="3"/>
  <c r="M82" i="3" l="1"/>
  <c r="F33" i="1"/>
  <c r="B10" i="1" s="1"/>
</calcChain>
</file>

<file path=xl/sharedStrings.xml><?xml version="1.0" encoding="utf-8"?>
<sst xmlns="http://schemas.openxmlformats.org/spreadsheetml/2006/main" count="462" uniqueCount="196">
  <si>
    <t>견    적    서</t>
  </si>
  <si>
    <t>수      신  :</t>
    <phoneticPr fontId="42" type="noConversion"/>
  </si>
  <si>
    <t>KDB산업은행</t>
    <phoneticPr fontId="42" type="noConversion"/>
  </si>
  <si>
    <t>상      호</t>
  </si>
  <si>
    <t>㈜비에이앤티</t>
  </si>
  <si>
    <t>참      조  :</t>
    <phoneticPr fontId="42" type="noConversion"/>
  </si>
  <si>
    <t>대표이사</t>
  </si>
  <si>
    <t>임   종   훈</t>
  </si>
  <si>
    <t>견적번호  :</t>
    <phoneticPr fontId="42" type="noConversion"/>
  </si>
  <si>
    <t>등록번호</t>
  </si>
  <si>
    <t>549-88-00478</t>
  </si>
  <si>
    <t>전      화</t>
  </si>
  <si>
    <t>02-560-4690~2</t>
    <phoneticPr fontId="42" type="noConversion"/>
  </si>
  <si>
    <t>견적일자  :</t>
    <phoneticPr fontId="42" type="noConversion"/>
  </si>
  <si>
    <t>주      소</t>
  </si>
  <si>
    <t>서울시 송파구 충민로 10, 가든파이브툴동 S30-1호</t>
    <phoneticPr fontId="42" type="noConversion"/>
  </si>
  <si>
    <t>합      계</t>
    <phoneticPr fontId="42" type="noConversion"/>
  </si>
  <si>
    <t>품명</t>
    <phoneticPr fontId="42" type="noConversion"/>
  </si>
  <si>
    <t>상세내역</t>
    <phoneticPr fontId="42" type="noConversion"/>
  </si>
  <si>
    <t>수량</t>
    <phoneticPr fontId="42" type="noConversion"/>
  </si>
  <si>
    <t>단위</t>
    <phoneticPr fontId="42" type="noConversion"/>
  </si>
  <si>
    <t>공급단가</t>
    <phoneticPr fontId="42" type="noConversion"/>
  </si>
  <si>
    <t>공급가 합계</t>
    <phoneticPr fontId="42" type="noConversion"/>
  </si>
  <si>
    <t>비고</t>
    <phoneticPr fontId="42" type="noConversion"/>
  </si>
  <si>
    <t>2024년 통합유지보수 (네트워크)</t>
    <phoneticPr fontId="42" type="noConversion"/>
  </si>
  <si>
    <t>통합유지보수 관련 기술지원료</t>
    <phoneticPr fontId="42" type="noConversion"/>
  </si>
  <si>
    <t>식</t>
    <phoneticPr fontId="42" type="noConversion"/>
  </si>
  <si>
    <t>** 세부내역 참조</t>
    <phoneticPr fontId="42" type="noConversion"/>
  </si>
  <si>
    <t>- 본점 및 전산센터 월 1회 정기점검, 지점 분기 1회 정기점검, 기타 원격점검</t>
    <phoneticPr fontId="42" type="noConversion"/>
  </si>
  <si>
    <t>- 24 x 7 기술지원 및 장애시 RMA 지원</t>
    <phoneticPr fontId="42" type="noConversion"/>
  </si>
  <si>
    <t>- 장애접수 후 3시간이내 현장도착 및 6시간 이내 복구 (수도권 이외는 4시간 이내)</t>
    <phoneticPr fontId="42" type="noConversion"/>
  </si>
  <si>
    <t>- 장애처리 후 5일 이내 장애보고서 제출 (재발방지대책 포함)</t>
    <phoneticPr fontId="42" type="noConversion"/>
  </si>
  <si>
    <t>2025년 통합유지보수 (네트워크)</t>
    <phoneticPr fontId="42" type="noConversion"/>
  </si>
  <si>
    <t>2026년 통합유지보수 (네트워크)</t>
    <phoneticPr fontId="42" type="noConversion"/>
  </si>
  <si>
    <t>통합. 네트워크(공사)</t>
    <phoneticPr fontId="42" type="noConversion"/>
  </si>
  <si>
    <t>RACK 및 장비 이전설치, 운송비, 인건비 포함 (5회/년)</t>
    <phoneticPr fontId="42" type="noConversion"/>
  </si>
  <si>
    <t>건</t>
    <phoneticPr fontId="42" type="noConversion"/>
  </si>
  <si>
    <t>통신케이블공, 차량, 잡자재 및 유류비 (10회/년)</t>
    <phoneticPr fontId="42" type="noConversion"/>
  </si>
  <si>
    <t>무선AP 케이블(25M 기준), 내선전공, 통신케이블공, 통신설비공 및 보통인부 (5회/년)</t>
    <phoneticPr fontId="42" type="noConversion"/>
  </si>
  <si>
    <t>합  계 (VAT 포함)</t>
    <phoneticPr fontId="42" type="noConversion"/>
  </si>
  <si>
    <t>만원이하절삭</t>
    <phoneticPr fontId="42" type="noConversion"/>
  </si>
  <si>
    <t xml:space="preserve"> Remark : </t>
  </si>
  <si>
    <t xml:space="preserve">견적담당: </t>
    <phoneticPr fontId="42" type="noConversion"/>
  </si>
  <si>
    <t xml:space="preserve">    1. 견적유효기간 : 견적일로부터 60일</t>
    <phoneticPr fontId="42" type="noConversion"/>
  </si>
  <si>
    <t xml:space="preserve">     ㈜비에이앤티 ICT사업부 이상은 이사</t>
    <phoneticPr fontId="42" type="noConversion"/>
  </si>
  <si>
    <t xml:space="preserve">    2. 장비납기 : 해당없음</t>
    <phoneticPr fontId="42" type="noConversion"/>
  </si>
  <si>
    <t xml:space="preserve">    Office : 02-560-4690~2, FAX : 02-560-4689</t>
    <phoneticPr fontId="42" type="noConversion"/>
  </si>
  <si>
    <t xml:space="preserve">    3. 계약기간 : 2024.01.01 ~ 2026.12.31 (36개월)</t>
    <phoneticPr fontId="42" type="noConversion"/>
  </si>
  <si>
    <t xml:space="preserve">    Mobile : 010-6282-6353, e-mail : selee@bantech.co.kr</t>
    <phoneticPr fontId="42" type="noConversion"/>
  </si>
  <si>
    <t xml:space="preserve">    4. 대금지급조건 : 귀사 지급 조건</t>
    <phoneticPr fontId="42" type="noConversion"/>
  </si>
  <si>
    <t xml:space="preserve">    5. 지원조건 : 별도협의</t>
    <phoneticPr fontId="42" type="noConversion"/>
  </si>
  <si>
    <t>No.</t>
    <phoneticPr fontId="42" type="noConversion"/>
  </si>
  <si>
    <t>구분</t>
    <phoneticPr fontId="42" type="noConversion"/>
  </si>
  <si>
    <t>제조사</t>
    <phoneticPr fontId="42" type="noConversion"/>
  </si>
  <si>
    <t>TE-1415-NS1-AC</t>
  </si>
  <si>
    <t>N9K-C9508-B2</t>
  </si>
  <si>
    <t>N9K-C93180YC-EX</t>
  </si>
  <si>
    <t>N9K-9348GC-FXP</t>
  </si>
  <si>
    <t>WS-C3650-24TD-E</t>
  </si>
  <si>
    <t>TAP</t>
  </si>
  <si>
    <t>RMK-6</t>
  </si>
  <si>
    <t>WeGuardia XTM 6100</t>
  </si>
  <si>
    <t>VPN</t>
  </si>
  <si>
    <t>WeGuardia XTM 500</t>
  </si>
  <si>
    <t>GateKeeper</t>
  </si>
  <si>
    <t>CISCO3945-V/K9</t>
  </si>
  <si>
    <t>N9K-9348GC-FXT</t>
  </si>
  <si>
    <t>C7706-B26S2E-R</t>
  </si>
  <si>
    <t>MIDAS-2400X</t>
  </si>
  <si>
    <t>FT-10G1/SR</t>
  </si>
  <si>
    <t>WeGuardia XTM 4000</t>
  </si>
  <si>
    <t>WeGuardia XTM 1000</t>
  </si>
  <si>
    <t>WeGuardia SMC</t>
  </si>
  <si>
    <t>WeGuardia SSLplus 110</t>
  </si>
  <si>
    <t>WeGuardia XTM 2000</t>
  </si>
  <si>
    <t>VForce-2500</t>
  </si>
  <si>
    <t>AP</t>
  </si>
  <si>
    <t xml:space="preserve">C9200L-24P-4G-E </t>
  </si>
  <si>
    <t>파워 인젝터</t>
  </si>
  <si>
    <t>무선 컨트롤러</t>
  </si>
  <si>
    <t>C9300-24T-A</t>
  </si>
  <si>
    <t>무선 인증서버</t>
  </si>
  <si>
    <t>에어큐브</t>
  </si>
  <si>
    <t>C2911</t>
    <phoneticPr fontId="42" type="noConversion"/>
  </si>
  <si>
    <t>AS5350</t>
    <phoneticPr fontId="42" type="noConversion"/>
  </si>
  <si>
    <t>ISR4331/K9</t>
    <phoneticPr fontId="42" type="noConversion"/>
  </si>
  <si>
    <t>PoE 스위치</t>
  </si>
  <si>
    <t>CISCO</t>
  </si>
  <si>
    <t>N9K-C93180YC-FX</t>
  </si>
  <si>
    <t>L3 스위치</t>
  </si>
  <si>
    <t>L2 스위치</t>
  </si>
  <si>
    <t>Alteon 5424-6G</t>
  </si>
  <si>
    <t>L4 스위치</t>
  </si>
  <si>
    <t>S4128F-ON</t>
  </si>
  <si>
    <t>S4148F-ON</t>
  </si>
  <si>
    <t>DELL EMC (신규)</t>
  </si>
  <si>
    <t>S3048-ON</t>
  </si>
  <si>
    <t>지점 사무실이전</t>
  </si>
  <si>
    <t>무선 AP 설치 및 철거</t>
  </si>
  <si>
    <t>총합</t>
    <phoneticPr fontId="42" type="noConversion"/>
  </si>
  <si>
    <t>O (전체) 입찰견적서</t>
    <phoneticPr fontId="42" type="noConversion"/>
  </si>
  <si>
    <t>장비구분</t>
    <phoneticPr fontId="42" type="noConversion"/>
  </si>
  <si>
    <t>제품명</t>
    <phoneticPr fontId="42" type="noConversion"/>
  </si>
  <si>
    <t>유지보수 기간</t>
    <phoneticPr fontId="42" type="noConversion"/>
  </si>
  <si>
    <t>총 개월수</t>
    <phoneticPr fontId="42" type="noConversion"/>
  </si>
  <si>
    <t>비용
(월)</t>
    <phoneticPr fontId="42" type="noConversion"/>
  </si>
  <si>
    <t>합계
(2024년)</t>
    <phoneticPr fontId="42" type="noConversion"/>
  </si>
  <si>
    <t>합계
(2025년)</t>
    <phoneticPr fontId="42" type="noConversion"/>
  </si>
  <si>
    <t>합계
(2026년)</t>
    <phoneticPr fontId="42" type="noConversion"/>
  </si>
  <si>
    <t>비고 (신규/제외 사유)</t>
    <phoneticPr fontId="42" type="noConversion"/>
  </si>
  <si>
    <t>유선</t>
    <phoneticPr fontId="42" type="noConversion"/>
  </si>
  <si>
    <t>24.1~26.12</t>
  </si>
  <si>
    <t>C2950G</t>
  </si>
  <si>
    <t>C2960CG-8TC-L</t>
  </si>
  <si>
    <t>C2960G</t>
  </si>
  <si>
    <t>C2960X-24TS-L</t>
  </si>
  <si>
    <t>C2960X-48TS-L</t>
  </si>
  <si>
    <t>C3048-BA-L3</t>
  </si>
  <si>
    <t>C3524P-10GX</t>
  </si>
  <si>
    <t>C3548P-10GX</t>
  </si>
  <si>
    <t>C3650-24TS-S</t>
  </si>
  <si>
    <t>C3750</t>
  </si>
  <si>
    <t>C9407R</t>
  </si>
  <si>
    <t>CISCO (신규)</t>
  </si>
  <si>
    <t>24.2~26.12</t>
    <phoneticPr fontId="42" type="noConversion"/>
  </si>
  <si>
    <t>DELL EMC</t>
  </si>
  <si>
    <t>24.3~26.12</t>
    <phoneticPr fontId="42" type="noConversion"/>
  </si>
  <si>
    <t>C3524-X-SPL3</t>
  </si>
  <si>
    <t>C7710-B26S2E-R</t>
  </si>
  <si>
    <t>C9606R</t>
  </si>
  <si>
    <t>Catalyst4507R</t>
  </si>
  <si>
    <t>N3K-3548P-10GX</t>
  </si>
  <si>
    <t>RADWARE</t>
  </si>
  <si>
    <t>Alteon 5208-6G</t>
  </si>
  <si>
    <t>RADWARE (신규)</t>
  </si>
  <si>
    <t xml:space="preserve">C2960X-24PS-L </t>
  </si>
  <si>
    <t xml:space="preserve">C3560CX-12PD-S </t>
  </si>
  <si>
    <t>C9200L-48P-4G-E</t>
  </si>
  <si>
    <t>C9200L-48P-4X-E</t>
  </si>
  <si>
    <t>C9200L-24P-4G-E</t>
  </si>
  <si>
    <t>OPTCORE</t>
  </si>
  <si>
    <t>한빛에스아이</t>
  </si>
  <si>
    <t>MIDAS-ibsX SR</t>
  </si>
  <si>
    <t>게이트웨이</t>
  </si>
  <si>
    <t>라우터</t>
  </si>
  <si>
    <t>ISR4451-X/K9</t>
    <phoneticPr fontId="42" type="noConversion"/>
  </si>
  <si>
    <t>무선</t>
    <phoneticPr fontId="42" type="noConversion"/>
  </si>
  <si>
    <t>C9115AXI-K</t>
    <phoneticPr fontId="42" type="noConversion"/>
  </si>
  <si>
    <t xml:space="preserve">AIR-PWRINJ6= </t>
    <phoneticPr fontId="42" type="noConversion"/>
  </si>
  <si>
    <t>AirFRONT E3K</t>
    <phoneticPr fontId="42" type="noConversion"/>
  </si>
  <si>
    <t>AirFRONT E4K</t>
    <phoneticPr fontId="42" type="noConversion"/>
  </si>
  <si>
    <t>C9800-40-K9</t>
    <phoneticPr fontId="42" type="noConversion"/>
  </si>
  <si>
    <t>관리</t>
    <phoneticPr fontId="42" type="noConversion"/>
  </si>
  <si>
    <t>QoS</t>
  </si>
  <si>
    <t>PACKETLOGIC</t>
  </si>
  <si>
    <t xml:space="preserve">PL8840 AC </t>
    <phoneticPr fontId="42" type="noConversion"/>
  </si>
  <si>
    <t>25.1~26.12</t>
    <phoneticPr fontId="42" type="noConversion"/>
  </si>
  <si>
    <t>GSLB</t>
  </si>
  <si>
    <t>F5</t>
  </si>
  <si>
    <t>F5-BIG-DNS-i2600</t>
  </si>
  <si>
    <t>무선 망관리</t>
  </si>
  <si>
    <t>DN2-HW-APL</t>
    <phoneticPr fontId="42" type="noConversion"/>
  </si>
  <si>
    <t>분석 서버</t>
  </si>
  <si>
    <t>RIVERBED</t>
  </si>
  <si>
    <t>SCAN-02180-B010-C</t>
    <phoneticPr fontId="42" type="noConversion"/>
  </si>
  <si>
    <t>DNS</t>
  </si>
  <si>
    <t>INFOBLOX</t>
  </si>
  <si>
    <t>보안</t>
    <phoneticPr fontId="42" type="noConversion"/>
  </si>
  <si>
    <t>SSL VPN</t>
  </si>
  <si>
    <t>퓨쳐시스템</t>
  </si>
  <si>
    <t>SSL Client</t>
    <phoneticPr fontId="42" type="noConversion"/>
  </si>
  <si>
    <t>WeGuardia SSLplus 100</t>
  </si>
  <si>
    <t>넥스지</t>
  </si>
  <si>
    <t>씨큐아이</t>
  </si>
  <si>
    <t>BLUEMAX NGF300</t>
  </si>
  <si>
    <t>WeGuardia XTM 1100</t>
    <phoneticPr fontId="42" type="noConversion"/>
  </si>
  <si>
    <t>VPN 서버</t>
  </si>
  <si>
    <t>지원</t>
    <phoneticPr fontId="42" type="noConversion"/>
  </si>
  <si>
    <t>수행사</t>
    <phoneticPr fontId="42" type="noConversion"/>
  </si>
  <si>
    <t>전산동 통신케이블 이설</t>
    <phoneticPr fontId="42" type="noConversion"/>
  </si>
  <si>
    <t>합 계 (지원 제외)</t>
    <phoneticPr fontId="42" type="noConversion"/>
  </si>
  <si>
    <t>총 합 계</t>
    <phoneticPr fontId="42" type="noConversion"/>
  </si>
  <si>
    <t>25년부터 제외 (83대)</t>
    <phoneticPr fontId="42" type="noConversion"/>
  </si>
  <si>
    <t>25년부터 제외 (4대)</t>
    <phoneticPr fontId="42" type="noConversion"/>
  </si>
  <si>
    <t>25년부터 제외 (98대)</t>
    <phoneticPr fontId="42" type="noConversion"/>
  </si>
  <si>
    <t>L2 스위치</t>
    <phoneticPr fontId="42" type="noConversion"/>
  </si>
  <si>
    <t>QoS</t>
    <phoneticPr fontId="42" type="noConversion"/>
  </si>
  <si>
    <t>CISCO</t>
    <phoneticPr fontId="42" type="noConversion"/>
  </si>
  <si>
    <t>PACKETLOGIC</t>
    <phoneticPr fontId="42" type="noConversion"/>
  </si>
  <si>
    <t>N3K-C3524P-XL (25년)</t>
  </si>
  <si>
    <t>PK-22110-PE-R20</t>
  </si>
  <si>
    <t>25.4~26.12</t>
    <phoneticPr fontId="42" type="noConversion"/>
  </si>
  <si>
    <t>25.1~26.12</t>
    <phoneticPr fontId="42" type="noConversion"/>
  </si>
  <si>
    <t>25년 4월부터 추가</t>
    <phoneticPr fontId="42" type="noConversion"/>
  </si>
  <si>
    <t>25년 1월부터 추가</t>
    <phoneticPr fontId="42" type="noConversion"/>
  </si>
  <si>
    <t>2024-ICT02-1112-001</t>
    <phoneticPr fontId="4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</si>
</sst>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4">
    <numFmt numFmtId="41" formatCode="_-* #,##0_-;\-* #,##0_-;_-* &quot;-&quot;_-;_-@_-"/>
    <numFmt numFmtId="43" formatCode="_-* #,##0.00_-;\-* #,##0.00_-;_-* &quot;-&quot;??_-;_-@_-"/>
    <numFmt numFmtId="176" formatCode="#,##0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#,##0.0"/>
    <numFmt numFmtId="180" formatCode="_-* #,##0\ &quot;DM&quot;_-;\-* #,##0\ &quot;DM&quot;_-;_-* &quot;-&quot;\ &quot;DM&quot;_-;_-@_-"/>
    <numFmt numFmtId="181" formatCode="_-* #,##0\ _D_M_-;\-* #,##0\ _D_M_-;_-* &quot;-&quot;\ _D_M_-;_-@_-"/>
    <numFmt numFmtId="182" formatCode="_-* #,##0.00\ &quot;DM&quot;_-;\-* #,##0.00\ &quot;DM&quot;_-;_-* &quot;-&quot;??\ &quot;DM&quot;_-;_-@_-"/>
    <numFmt numFmtId="183" formatCode="_-* #,##0.00\ _D_M_-;\-* #,##0.00\ _D_M_-;_-* &quot;-&quot;??\ _D_M_-;_-@_-"/>
    <numFmt numFmtId="184" formatCode="0.00\K"/>
    <numFmt numFmtId="185" formatCode="&quot;$&quot;#,##0.0_);\(&quot;$&quot;#,##0.0\)"/>
    <numFmt numFmtId="186" formatCode="0.0%_);\(0.0%\)"/>
    <numFmt numFmtId="187" formatCode="&quot;$&quot;#,##0.00000_);\(&quot;$&quot;#,##0.00000\)"/>
    <numFmt numFmtId="188" formatCode="_-* #,##0.0_-;\-* #,##0.0_-;_-* &quot;-&quot;??_-;_-@_-"/>
    <numFmt numFmtId="189" formatCode="_ * #,##0_ ;_ * \-#,##0_ ;_ * &quot;-&quot;_ ;_ @_ "/>
    <numFmt numFmtId="190" formatCode="_ * #,##0.00_ ;_ * \-#,##0.00_ ;_ * &quot;-&quot;??_ ;_ @_ "/>
    <numFmt numFmtId="191" formatCode="0.00;[Red]0.00"/>
    <numFmt numFmtId="192" formatCode="_(* #,##0.00000_);_(* \(#,##0.00000\);_(* &quot;-&quot;??_);_(@_)"/>
    <numFmt numFmtId="193" formatCode="_(&quot;$&quot;* #,##0.0_);_(&quot;$&quot;* \(#,##0.0\);_(&quot;$&quot;* &quot;-&quot;_);_(@_)"/>
    <numFmt numFmtId="194" formatCode="&quot;SFr.&quot;#,##0;[Red]&quot;SFr.&quot;\-#,##0"/>
    <numFmt numFmtId="195" formatCode="&quot;SFr.&quot;#,##0.00;&quot;SFr.&quot;\-#,##0.00"/>
    <numFmt numFmtId="196" formatCode="_ &quot;SFr.&quot;* #,##0_ ;_ &quot;SFr.&quot;* \-#,##0_ ;_ &quot;SFr.&quot;* &quot;-&quot;_ ;_ @_ "/>
    <numFmt numFmtId="197" formatCode="_ &quot;SFr.&quot;* #,##0.00_ ;_ &quot;SFr.&quot;* \-#,##0.00_ ;_ &quot;SFr.&quot;* &quot;-&quot;??_ ;_ @_ "/>
    <numFmt numFmtId="198" formatCode="_ * #,##0.000000_ ;_ * &quot;₩&quot;\-#,##0.000000_ ;_ * &quot;-&quot;??_ ;_ @_ "/>
    <numFmt numFmtId="199" formatCode="_ &quot;₩&quot;* #,##0.0000000_ ;_ &quot;₩&quot;* &quot;₩&quot;\-#,##0.0000000_ ;_ &quot;₩&quot;* &quot;-&quot;??_ ;_ @_ "/>
    <numFmt numFmtId="200" formatCode="###,###,"/>
    <numFmt numFmtId="201" formatCode="#,##0;[Red]&quot;-&quot;#,##0"/>
    <numFmt numFmtId="202" formatCode="####"/>
    <numFmt numFmtId="203" formatCode="###"/>
    <numFmt numFmtId="204" formatCode="##"/>
    <numFmt numFmtId="205" formatCode="\,##"/>
    <numFmt numFmtId="206" formatCode="#.00"/>
    <numFmt numFmtId="207" formatCode="&quot;₩&quot;#,##0;[Red]&quot;₩&quot;&quot;-&quot;#,##0"/>
    <numFmt numFmtId="208" formatCode="yyyy&quot;₩&quot;&quot;₩&quot;/m&quot;₩&quot;&quot;₩&quot;/d"/>
    <numFmt numFmtId="209" formatCode="yyyy&quot;₩&quot;/m&quot;₩&quot;/d"/>
    <numFmt numFmtId="210" formatCode="&quot;₩&quot;&quot;₩&quot;&quot;₩&quot;\$#,##0_);&quot;₩&quot;&quot;₩&quot;&quot;₩&quot;\(&quot;₩&quot;&quot;₩&quot;&quot;₩&quot;\$#,##0&quot;₩&quot;&quot;₩&quot;&quot;₩&quot;\)"/>
    <numFmt numFmtId="211" formatCode="_-&quot;₩&quot;* #,##0.00_-;&quot;₩&quot;&quot;₩&quot;\-&quot;₩&quot;* #,##0.00_-;_-&quot;₩&quot;* &quot;-&quot;??_-;_-@_-"/>
    <numFmt numFmtId="212" formatCode="_-* #,##0.00_-;&quot;₩&quot;&quot;₩&quot;\-* #,##0.00_-;_-* &quot;-&quot;??_-;_-@_-"/>
    <numFmt numFmtId="213" formatCode="&quot;₩&quot;#,##0.00;[Red]&quot;₩&quot;&quot;₩&quot;&quot;₩&quot;&quot;₩&quot;&quot;₩&quot;\-#,##0.00"/>
    <numFmt numFmtId="214" formatCode="&quot;₩&quot;#,##0;[Red]&quot;₩&quot;\-#,##0"/>
    <numFmt numFmtId="215" formatCode="#,##0_);[Red]\(#,##0\)"/>
    <numFmt numFmtId="216" formatCode="0_ "/>
    <numFmt numFmtId="217" formatCode="#,##0;[Red]#,##0"/>
  </numFmts>
  <fonts count="57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Helv"/>
      <family val="2"/>
    </font>
    <font>
      <sz val="10"/>
      <name val="Arial"/>
      <family val="2"/>
    </font>
    <font>
      <sz val="10"/>
      <name val="명조"/>
      <family val="3"/>
      <charset val="129"/>
    </font>
    <font>
      <sz val="10"/>
      <name val="Book Antiqua"/>
      <family val="1"/>
    </font>
    <font>
      <b/>
      <sz val="12"/>
      <name val="Arial"/>
      <family val="2"/>
    </font>
    <font>
      <sz val="12"/>
      <name val="바탕체"/>
      <family val="1"/>
      <charset val="129"/>
    </font>
    <font>
      <sz val="6"/>
      <name val="굴림"/>
      <family val="3"/>
      <charset val="129"/>
    </font>
    <font>
      <sz val="12"/>
      <name val="Times New Roman"/>
      <family val="1"/>
    </font>
    <font>
      <sz val="11"/>
      <name val="굴림체"/>
      <family val="3"/>
      <charset val="129"/>
    </font>
    <font>
      <b/>
      <sz val="1"/>
      <color indexed="8"/>
      <name val="Courier"/>
      <family val="3"/>
    </font>
    <font>
      <b/>
      <sz val="11"/>
      <name val="돋움체"/>
      <family val="3"/>
      <charset val="129"/>
    </font>
    <font>
      <sz val="1"/>
      <color indexed="8"/>
      <name val="Courier"/>
      <family val="3"/>
    </font>
    <font>
      <sz val="12"/>
      <name val="뼻뮝"/>
      <family val="1"/>
      <charset val="129"/>
    </font>
    <font>
      <sz val="12"/>
      <name val="宋体"/>
      <family val="3"/>
      <charset val="129"/>
    </font>
    <font>
      <b/>
      <sz val="12"/>
      <color indexed="16"/>
      <name val="굴림체"/>
      <family val="3"/>
      <charset val="129"/>
    </font>
    <font>
      <b/>
      <u/>
      <sz val="16"/>
      <name val="굴림체"/>
      <family val="3"/>
      <charset val="129"/>
    </font>
    <font>
      <sz val="12"/>
      <name val="¹UAAA¼"/>
      <family val="3"/>
      <charset val="129"/>
    </font>
    <font>
      <sz val="12"/>
      <name val="±¼¸²A¼"/>
      <family val="3"/>
      <charset val="129"/>
    </font>
    <font>
      <sz val="10"/>
      <name val="Geneva"/>
      <family val="2"/>
    </font>
    <font>
      <b/>
      <sz val="10"/>
      <name val="Helv"/>
      <family val="2"/>
    </font>
    <font>
      <b/>
      <sz val="12"/>
      <name val="바탕체"/>
      <family val="1"/>
      <charset val="129"/>
    </font>
    <font>
      <sz val="10"/>
      <name val="MS Sans Serif"/>
      <family val="2"/>
    </font>
    <font>
      <sz val="10"/>
      <color indexed="8"/>
      <name val="Arial"/>
      <family val="2"/>
    </font>
    <font>
      <u/>
      <sz val="10"/>
      <color indexed="14"/>
      <name val="MS Sans Serif"/>
      <family val="2"/>
    </font>
    <font>
      <sz val="8"/>
      <name val="Arial"/>
      <family val="2"/>
    </font>
    <font>
      <b/>
      <sz val="12"/>
      <name val="Helv"/>
      <family val="2"/>
    </font>
    <font>
      <b/>
      <sz val="18"/>
      <name val="Arial"/>
      <family val="2"/>
    </font>
    <font>
      <b/>
      <sz val="8"/>
      <name val="Arial"/>
      <family val="2"/>
    </font>
    <font>
      <u/>
      <sz val="8"/>
      <color indexed="12"/>
      <name val="Times New Roman"/>
      <family val="1"/>
    </font>
    <font>
      <b/>
      <sz val="11"/>
      <name val="Helv"/>
      <family val="2"/>
    </font>
    <font>
      <sz val="7"/>
      <name val="Small Fonts"/>
      <family val="2"/>
    </font>
    <font>
      <sz val="10"/>
      <color indexed="8"/>
      <name val="MS Sans Serif"/>
      <family val="2"/>
    </font>
    <font>
      <sz val="12"/>
      <color indexed="9"/>
      <name val="Arial"/>
      <family val="2"/>
    </font>
    <font>
      <b/>
      <i/>
      <sz val="8"/>
      <name val="Arial"/>
      <family val="2"/>
    </font>
    <font>
      <b/>
      <sz val="9"/>
      <name val="Arial"/>
      <family val="2"/>
    </font>
    <font>
      <sz val="12"/>
      <name val="굴림체"/>
      <family val="3"/>
      <charset val="129"/>
    </font>
    <font>
      <u/>
      <sz val="12"/>
      <color indexed="36"/>
      <name val="바탕체"/>
      <family val="1"/>
      <charset val="129"/>
    </font>
    <font>
      <sz val="9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24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b/>
      <sz val="12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8"/>
      </patternFill>
    </fill>
    <fill>
      <patternFill patternType="solid">
        <fgColor indexed="26"/>
        <bgColor indexed="64"/>
      </patternFill>
    </fill>
    <fill>
      <patternFill patternType="gray0625">
        <bgColor indexed="3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theme="1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273">
    <xf numFmtId="0" fontId="0" fillId="0" borderId="0">
      <alignment vertical="center"/>
    </xf>
    <xf numFmtId="0" fontId="1" fillId="0" borderId="0">
      <alignment vertical="center"/>
    </xf>
    <xf numFmtId="0" fontId="7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7" fillId="0" borderId="0"/>
    <xf numFmtId="0" fontId="2" fillId="0" borderId="0"/>
    <xf numFmtId="0" fontId="3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7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3" fillId="0" borderId="0"/>
    <xf numFmtId="0" fontId="2" fillId="0" borderId="0"/>
    <xf numFmtId="0" fontId="9" fillId="0" borderId="0" applyNumberFormat="0" applyFill="0" applyBorder="0" applyAlignment="0" applyProtection="0"/>
    <xf numFmtId="176" fontId="10" fillId="0" borderId="1">
      <alignment vertical="center"/>
    </xf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9" fillId="0" borderId="0"/>
    <xf numFmtId="0" fontId="1" fillId="0" borderId="0" applyFill="0" applyBorder="0" applyAlignment="0"/>
    <xf numFmtId="0" fontId="3" fillId="0" borderId="0" applyFill="0" applyBorder="0" applyAlignment="0"/>
    <xf numFmtId="194" fontId="20" fillId="0" borderId="0" applyFill="0" applyBorder="0" applyAlignment="0"/>
    <xf numFmtId="191" fontId="3" fillId="0" borderId="0" applyFill="0" applyBorder="0" applyAlignment="0"/>
    <xf numFmtId="195" fontId="20" fillId="0" borderId="0" applyFill="0" applyBorder="0" applyAlignment="0"/>
    <xf numFmtId="0" fontId="3" fillId="0" borderId="0" applyFill="0" applyBorder="0" applyAlignment="0"/>
    <xf numFmtId="192" fontId="3" fillId="0" borderId="0" applyFill="0" applyBorder="0" applyAlignment="0"/>
    <xf numFmtId="0" fontId="3" fillId="0" borderId="0" applyFill="0" applyBorder="0" applyAlignment="0"/>
    <xf numFmtId="0" fontId="21" fillId="0" borderId="0"/>
    <xf numFmtId="189" fontId="22" fillId="0" borderId="0" applyFont="0" applyFill="0" applyBorder="0" applyAlignment="0" applyProtection="0"/>
    <xf numFmtId="4" fontId="13" fillId="0" borderId="0">
      <protection locked="0"/>
    </xf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38" fontId="20" fillId="0" borderId="0" applyFont="0" applyFill="0" applyBorder="0" applyAlignment="0" applyProtection="0"/>
    <xf numFmtId="0" fontId="3" fillId="0" borderId="0" applyFont="0" applyFill="0" applyBorder="0" applyAlignment="0" applyProtection="0"/>
    <xf numFmtId="187" fontId="1" fillId="0" borderId="0"/>
    <xf numFmtId="190" fontId="3" fillId="0" borderId="0" applyFont="0" applyFill="0" applyBorder="0" applyAlignment="0" applyProtection="0"/>
    <xf numFmtId="202" fontId="3" fillId="0" borderId="0">
      <protection locked="0"/>
    </xf>
    <xf numFmtId="207" fontId="7" fillId="0" borderId="2"/>
    <xf numFmtId="214" fontId="1" fillId="0" borderId="0" applyFont="0" applyFill="0" applyBorder="0" applyAlignment="0" applyProtection="0"/>
    <xf numFmtId="0" fontId="3" fillId="0" borderId="0" applyFont="0" applyFill="0" applyBorder="0" applyAlignment="0" applyProtection="0"/>
    <xf numFmtId="213" fontId="23" fillId="0" borderId="2" applyFill="0" applyBorder="0" applyAlignment="0"/>
    <xf numFmtId="0" fontId="3" fillId="0" borderId="0" applyFont="0" applyFill="0" applyBorder="0" applyAlignment="0" applyProtection="0"/>
    <xf numFmtId="184" fontId="1" fillId="0" borderId="0"/>
    <xf numFmtId="205" fontId="3" fillId="0" borderId="0">
      <protection locked="0"/>
    </xf>
    <xf numFmtId="14" fontId="24" fillId="0" borderId="0" applyFill="0" applyBorder="0" applyAlignment="0"/>
    <xf numFmtId="205" fontId="3" fillId="0" borderId="0">
      <protection locked="0"/>
    </xf>
    <xf numFmtId="38" fontId="23" fillId="0" borderId="3">
      <alignment vertical="center"/>
    </xf>
    <xf numFmtId="181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6" fontId="1" fillId="0" borderId="0"/>
    <xf numFmtId="0" fontId="3" fillId="0" borderId="0" applyFill="0" applyBorder="0" applyAlignment="0"/>
    <xf numFmtId="0" fontId="3" fillId="0" borderId="0" applyFill="0" applyBorder="0" applyAlignment="0"/>
    <xf numFmtId="0" fontId="3" fillId="0" borderId="0" applyFill="0" applyBorder="0" applyAlignment="0"/>
    <xf numFmtId="192" fontId="3" fillId="0" borderId="0" applyFill="0" applyBorder="0" applyAlignment="0"/>
    <xf numFmtId="0" fontId="3" fillId="0" borderId="0" applyFill="0" applyBorder="0" applyAlignment="0"/>
    <xf numFmtId="206" fontId="13" fillId="0" borderId="0">
      <protection locked="0"/>
    </xf>
    <xf numFmtId="0" fontId="25" fillId="0" borderId="0" applyNumberFormat="0" applyFill="0" applyBorder="0" applyAlignment="0" applyProtection="0"/>
    <xf numFmtId="38" fontId="26" fillId="2" borderId="0" applyNumberFormat="0" applyBorder="0" applyAlignment="0" applyProtection="0"/>
    <xf numFmtId="0" fontId="27" fillId="0" borderId="0">
      <alignment horizontal="left"/>
    </xf>
    <xf numFmtId="0" fontId="6" fillId="0" borderId="4" applyNumberFormat="0" applyAlignment="0" applyProtection="0">
      <alignment horizontal="left" vertical="center"/>
    </xf>
    <xf numFmtId="0" fontId="6" fillId="0" borderId="5">
      <alignment horizontal="left" vertical="center"/>
    </xf>
    <xf numFmtId="0" fontId="28" fillId="0" borderId="0" applyNumberFormat="0" applyFill="0" applyBorder="0" applyAlignment="0" applyProtection="0"/>
    <xf numFmtId="0" fontId="29" fillId="3" borderId="0" applyFill="0" applyBorder="0" applyProtection="0"/>
    <xf numFmtId="204" fontId="3" fillId="0" borderId="0">
      <protection locked="0"/>
    </xf>
    <xf numFmtId="204" fontId="3" fillId="0" borderId="0"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10" fontId="26" fillId="4" borderId="2" applyNumberFormat="0" applyBorder="0" applyAlignment="0" applyProtection="0"/>
    <xf numFmtId="200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3" fillId="0" borderId="0" applyFill="0" applyBorder="0" applyAlignment="0"/>
    <xf numFmtId="0" fontId="3" fillId="0" borderId="0" applyFill="0" applyBorder="0" applyAlignment="0"/>
    <xf numFmtId="0" fontId="3" fillId="0" borderId="0" applyFill="0" applyBorder="0" applyAlignment="0"/>
    <xf numFmtId="192" fontId="3" fillId="0" borderId="0" applyFill="0" applyBorder="0" applyAlignment="0"/>
    <xf numFmtId="0" fontId="3" fillId="0" borderId="0" applyFill="0" applyBorder="0" applyAlignment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1" fillId="0" borderId="6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37" fontId="32" fillId="0" borderId="0"/>
    <xf numFmtId="185" fontId="1" fillId="0" borderId="0"/>
    <xf numFmtId="0" fontId="7" fillId="0" borderId="0"/>
    <xf numFmtId="0" fontId="3" fillId="0" borderId="0"/>
    <xf numFmtId="0" fontId="26" fillId="3" borderId="0" applyFill="0" applyBorder="0" applyProtection="0">
      <alignment horizontal="left"/>
    </xf>
    <xf numFmtId="203" fontId="3" fillId="0" borderId="0">
      <protection locked="0"/>
    </xf>
    <xf numFmtId="195" fontId="20" fillId="0" borderId="0" applyFont="0" applyFill="0" applyBorder="0" applyAlignment="0" applyProtection="0"/>
    <xf numFmtId="188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99" fontId="1" fillId="0" borderId="0" applyFont="0" applyFill="0" applyBorder="0" applyAlignment="0" applyProtection="0"/>
    <xf numFmtId="0" fontId="3" fillId="0" borderId="0" applyFill="0" applyBorder="0" applyAlignment="0"/>
    <xf numFmtId="0" fontId="3" fillId="0" borderId="0" applyFill="0" applyBorder="0" applyAlignment="0"/>
    <xf numFmtId="0" fontId="3" fillId="0" borderId="0" applyFill="0" applyBorder="0" applyAlignment="0"/>
    <xf numFmtId="192" fontId="3" fillId="0" borderId="0" applyFill="0" applyBorder="0" applyAlignment="0"/>
    <xf numFmtId="0" fontId="3" fillId="0" borderId="0" applyFill="0" applyBorder="0" applyAlignment="0"/>
    <xf numFmtId="9" fontId="33" fillId="0" borderId="0" applyFont="0" applyFill="0" applyProtection="0"/>
    <xf numFmtId="0" fontId="34" fillId="0" borderId="7" applyNumberFormat="0" applyBorder="0" applyAlignment="0"/>
    <xf numFmtId="0" fontId="35" fillId="0" borderId="8"/>
    <xf numFmtId="0" fontId="33" fillId="0" borderId="0"/>
    <xf numFmtId="0" fontId="3" fillId="0" borderId="0"/>
    <xf numFmtId="0" fontId="31" fillId="0" borderId="0"/>
    <xf numFmtId="0" fontId="36" fillId="0" borderId="9"/>
    <xf numFmtId="49" fontId="24" fillId="0" borderId="0" applyFill="0" applyBorder="0" applyAlignment="0"/>
    <xf numFmtId="196" fontId="20" fillId="0" borderId="0" applyFill="0" applyBorder="0" applyAlignment="0"/>
    <xf numFmtId="197" fontId="20" fillId="0" borderId="0" applyFill="0" applyBorder="0" applyAlignment="0"/>
    <xf numFmtId="204" fontId="3" fillId="0" borderId="10">
      <protection locked="0"/>
    </xf>
    <xf numFmtId="198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180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215" fontId="37" fillId="0" borderId="0"/>
    <xf numFmtId="208" fontId="1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215" fontId="10" fillId="0" borderId="0"/>
    <xf numFmtId="0" fontId="12" fillId="0" borderId="5"/>
    <xf numFmtId="0" fontId="13" fillId="0" borderId="0">
      <protection locked="0"/>
    </xf>
    <xf numFmtId="0" fontId="13" fillId="0" borderId="0"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1" fillId="0" borderId="6" applyAlignment="0">
      <alignment horizontal="center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12" fillId="5" borderId="5" applyAlignment="0">
      <alignment horizontal="center"/>
    </xf>
    <xf numFmtId="0" fontId="14" fillId="0" borderId="0"/>
    <xf numFmtId="0" fontId="15" fillId="0" borderId="0"/>
    <xf numFmtId="201" fontId="1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/>
    <xf numFmtId="0" fontId="7" fillId="0" borderId="0"/>
    <xf numFmtId="0" fontId="1" fillId="0" borderId="11"/>
    <xf numFmtId="0" fontId="4" fillId="0" borderId="12"/>
    <xf numFmtId="4" fontId="13" fillId="0" borderId="0">
      <protection locked="0"/>
    </xf>
    <xf numFmtId="209" fontId="1" fillId="0" borderId="0">
      <protection locked="0"/>
    </xf>
    <xf numFmtId="0" fontId="17" fillId="0" borderId="0"/>
    <xf numFmtId="0" fontId="7" fillId="0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212" fontId="7" fillId="0" borderId="0">
      <protection locked="0"/>
    </xf>
    <xf numFmtId="0" fontId="1" fillId="0" borderId="0"/>
    <xf numFmtId="0" fontId="5" fillId="0" borderId="0"/>
    <xf numFmtId="0" fontId="3" fillId="0" borderId="0"/>
    <xf numFmtId="0" fontId="13" fillId="0" borderId="13">
      <protection locked="0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11" fontId="7" fillId="0" borderId="0">
      <protection locked="0"/>
    </xf>
    <xf numFmtId="210" fontId="1" fillId="0" borderId="0">
      <protection locked="0"/>
    </xf>
    <xf numFmtId="41" fontId="50" fillId="0" borderId="0" applyFont="0" applyFill="0" applyBorder="0" applyAlignment="0" applyProtection="0">
      <alignment vertical="center"/>
    </xf>
    <xf numFmtId="0" fontId="1" fillId="0" borderId="0"/>
    <xf numFmtId="0" fontId="44" fillId="0" borderId="0">
      <alignment vertical="center"/>
    </xf>
    <xf numFmtId="41" fontId="1" fillId="0" borderId="0" applyFont="0" applyFill="0" applyBorder="0" applyAlignment="0" applyProtection="0"/>
    <xf numFmtId="9" fontId="50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7" fillId="0" borderId="0"/>
    <xf numFmtId="38" fontId="37" fillId="0" borderId="0"/>
    <xf numFmtId="38" fontId="10" fillId="0" borderId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</cellStyleXfs>
  <cellXfs count="126">
    <xf numFmtId="0" fontId="0" fillId="0" borderId="0" xfId="0">
      <alignment vertical="center"/>
    </xf>
    <xf numFmtId="0" fontId="41" fillId="8" borderId="2" xfId="1" applyFont="1" applyFill="1" applyBorder="1" applyAlignment="1">
      <alignment horizontal="center" vertical="center"/>
    </xf>
    <xf numFmtId="0" fontId="41" fillId="6" borderId="0" xfId="1" applyFont="1" applyFill="1">
      <alignment vertical="center"/>
    </xf>
    <xf numFmtId="41" fontId="40" fillId="7" borderId="22" xfId="253" applyNumberFormat="1" applyFont="1" applyFill="1" applyBorder="1" applyAlignment="1">
      <alignment horizontal="center" vertical="center"/>
    </xf>
    <xf numFmtId="41" fontId="40" fillId="7" borderId="21" xfId="253" applyNumberFormat="1" applyFont="1" applyFill="1" applyBorder="1" applyAlignment="1">
      <alignment horizontal="center" vertical="center"/>
    </xf>
    <xf numFmtId="0" fontId="41" fillId="8" borderId="22" xfId="1" applyFont="1" applyFill="1" applyBorder="1">
      <alignment vertical="center"/>
    </xf>
    <xf numFmtId="0" fontId="41" fillId="8" borderId="5" xfId="1" applyFont="1" applyFill="1" applyBorder="1">
      <alignment vertical="center"/>
    </xf>
    <xf numFmtId="0" fontId="41" fillId="8" borderId="23" xfId="1" applyFont="1" applyFill="1" applyBorder="1">
      <alignment vertical="center"/>
    </xf>
    <xf numFmtId="41" fontId="40" fillId="7" borderId="24" xfId="1" applyNumberFormat="1" applyFont="1" applyFill="1" applyBorder="1" applyAlignment="1">
      <alignment horizontal="center" vertical="center"/>
    </xf>
    <xf numFmtId="41" fontId="40" fillId="6" borderId="0" xfId="238" applyFont="1" applyFill="1" applyBorder="1" applyAlignment="1">
      <alignment vertical="center"/>
    </xf>
    <xf numFmtId="0" fontId="39" fillId="6" borderId="0" xfId="253" applyFont="1" applyFill="1" applyAlignment="1">
      <alignment horizontal="left" vertical="center"/>
    </xf>
    <xf numFmtId="41" fontId="39" fillId="6" borderId="0" xfId="1" applyNumberFormat="1" applyFont="1" applyFill="1">
      <alignment vertical="center"/>
    </xf>
    <xf numFmtId="0" fontId="44" fillId="6" borderId="0" xfId="0" applyFont="1" applyFill="1">
      <alignment vertical="center"/>
    </xf>
    <xf numFmtId="0" fontId="39" fillId="6" borderId="0" xfId="1" applyFont="1" applyFill="1">
      <alignment vertical="center"/>
    </xf>
    <xf numFmtId="0" fontId="43" fillId="6" borderId="0" xfId="1" applyFont="1" applyFill="1" applyAlignment="1">
      <alignment horizontal="center" vertical="center"/>
    </xf>
    <xf numFmtId="0" fontId="45" fillId="6" borderId="0" xfId="1" applyFont="1" applyFill="1">
      <alignment vertical="center"/>
    </xf>
    <xf numFmtId="0" fontId="46" fillId="6" borderId="0" xfId="253" applyFont="1" applyFill="1" applyAlignment="1">
      <alignment horizontal="center" vertical="center"/>
    </xf>
    <xf numFmtId="41" fontId="40" fillId="6" borderId="0" xfId="1" applyNumberFormat="1" applyFont="1" applyFill="1" applyAlignment="1">
      <alignment horizontal="center" vertical="center"/>
    </xf>
    <xf numFmtId="0" fontId="40" fillId="6" borderId="0" xfId="1" applyFont="1" applyFill="1">
      <alignment vertical="center"/>
    </xf>
    <xf numFmtId="41" fontId="39" fillId="6" borderId="2" xfId="1" applyNumberFormat="1" applyFont="1" applyFill="1" applyBorder="1" applyAlignment="1">
      <alignment horizontal="center" vertical="center"/>
    </xf>
    <xf numFmtId="41" fontId="39" fillId="6" borderId="18" xfId="1" applyNumberFormat="1" applyFont="1" applyFill="1" applyBorder="1">
      <alignment vertical="center"/>
    </xf>
    <xf numFmtId="41" fontId="39" fillId="6" borderId="20" xfId="1" applyNumberFormat="1" applyFont="1" applyFill="1" applyBorder="1">
      <alignment vertical="center"/>
    </xf>
    <xf numFmtId="41" fontId="39" fillId="6" borderId="16" xfId="1" applyNumberFormat="1" applyFont="1" applyFill="1" applyBorder="1">
      <alignment vertical="center"/>
    </xf>
    <xf numFmtId="41" fontId="39" fillId="6" borderId="17" xfId="1" applyNumberFormat="1" applyFont="1" applyFill="1" applyBorder="1">
      <alignment vertical="center"/>
    </xf>
    <xf numFmtId="41" fontId="39" fillId="6" borderId="2" xfId="1" applyNumberFormat="1" applyFont="1" applyFill="1" applyBorder="1">
      <alignment vertical="center"/>
    </xf>
    <xf numFmtId="31" fontId="40" fillId="6" borderId="0" xfId="1" applyNumberFormat="1" applyFont="1" applyFill="1" applyAlignment="1">
      <alignment horizontal="left" vertical="center"/>
    </xf>
    <xf numFmtId="41" fontId="48" fillId="6" borderId="0" xfId="1" applyNumberFormat="1" applyFont="1" applyFill="1">
      <alignment vertical="center"/>
    </xf>
    <xf numFmtId="41" fontId="39" fillId="6" borderId="19" xfId="1" applyNumberFormat="1" applyFont="1" applyFill="1" applyBorder="1">
      <alignment vertical="center"/>
    </xf>
    <xf numFmtId="41" fontId="40" fillId="6" borderId="15" xfId="238" applyFont="1" applyFill="1" applyBorder="1" applyAlignment="1">
      <alignment vertical="center"/>
    </xf>
    <xf numFmtId="41" fontId="39" fillId="6" borderId="14" xfId="1" applyNumberFormat="1" applyFont="1" applyFill="1" applyBorder="1">
      <alignment vertical="center"/>
    </xf>
    <xf numFmtId="41" fontId="39" fillId="6" borderId="14" xfId="1" applyNumberFormat="1" applyFont="1" applyFill="1" applyBorder="1" applyAlignment="1">
      <alignment horizontal="right" vertical="center"/>
    </xf>
    <xf numFmtId="41" fontId="39" fillId="6" borderId="11" xfId="1" applyNumberFormat="1" applyFont="1" applyFill="1" applyBorder="1">
      <alignment vertical="center"/>
    </xf>
    <xf numFmtId="0" fontId="39" fillId="6" borderId="15" xfId="253" applyFont="1" applyFill="1" applyBorder="1" applyAlignment="1">
      <alignment horizontal="left" vertical="center"/>
    </xf>
    <xf numFmtId="41" fontId="40" fillId="6" borderId="11" xfId="1" applyNumberFormat="1" applyFont="1" applyFill="1" applyBorder="1" applyAlignment="1">
      <alignment horizontal="center" vertical="center"/>
    </xf>
    <xf numFmtId="41" fontId="40" fillId="6" borderId="11" xfId="1" applyNumberFormat="1" applyFont="1" applyFill="1" applyBorder="1">
      <alignment vertical="center"/>
    </xf>
    <xf numFmtId="41" fontId="39" fillId="6" borderId="5" xfId="1" applyNumberFormat="1" applyFont="1" applyFill="1" applyBorder="1" applyAlignment="1">
      <alignment horizontal="center" vertical="center"/>
    </xf>
    <xf numFmtId="49" fontId="39" fillId="6" borderId="26" xfId="238" applyNumberFormat="1" applyFont="1" applyFill="1" applyBorder="1" applyAlignment="1">
      <alignment vertical="center" wrapText="1"/>
    </xf>
    <xf numFmtId="41" fontId="40" fillId="7" borderId="32" xfId="253" applyNumberFormat="1" applyFont="1" applyFill="1" applyBorder="1" applyAlignment="1">
      <alignment horizontal="center" vertical="center"/>
    </xf>
    <xf numFmtId="41" fontId="40" fillId="7" borderId="33" xfId="253" applyNumberFormat="1" applyFont="1" applyFill="1" applyBorder="1" applyAlignment="1" applyProtection="1">
      <alignment horizontal="center" vertical="center"/>
      <protection locked="0"/>
    </xf>
    <xf numFmtId="41" fontId="40" fillId="7" borderId="2" xfId="1" applyNumberFormat="1" applyFont="1" applyFill="1" applyBorder="1" applyAlignment="1">
      <alignment horizontal="center" vertical="center"/>
    </xf>
    <xf numFmtId="41" fontId="40" fillId="9" borderId="27" xfId="253" applyNumberFormat="1" applyFont="1" applyFill="1" applyBorder="1" applyAlignment="1">
      <alignment horizontal="left" vertical="center"/>
    </xf>
    <xf numFmtId="41" fontId="40" fillId="9" borderId="12" xfId="253" applyNumberFormat="1" applyFont="1" applyFill="1" applyBorder="1" applyAlignment="1">
      <alignment horizontal="center" vertical="center"/>
    </xf>
    <xf numFmtId="41" fontId="40" fillId="9" borderId="12" xfId="253" applyNumberFormat="1" applyFont="1" applyFill="1" applyBorder="1" applyAlignment="1" applyProtection="1">
      <alignment horizontal="center" vertical="center"/>
      <protection locked="0"/>
    </xf>
    <xf numFmtId="41" fontId="40" fillId="9" borderId="28" xfId="1" applyNumberFormat="1" applyFont="1" applyFill="1" applyBorder="1" applyAlignment="1">
      <alignment horizontal="center" vertical="center"/>
    </xf>
    <xf numFmtId="41" fontId="40" fillId="10" borderId="30" xfId="253" applyNumberFormat="1" applyFont="1" applyFill="1" applyBorder="1" applyAlignment="1">
      <alignment horizontal="center" vertical="center"/>
    </xf>
    <xf numFmtId="41" fontId="40" fillId="10" borderId="30" xfId="253" applyNumberFormat="1" applyFont="1" applyFill="1" applyBorder="1" applyAlignment="1" applyProtection="1">
      <alignment horizontal="center" vertical="center"/>
      <protection locked="0"/>
    </xf>
    <xf numFmtId="41" fontId="40" fillId="10" borderId="31" xfId="1" applyNumberFormat="1" applyFont="1" applyFill="1" applyBorder="1" applyAlignment="1">
      <alignment horizontal="center" vertical="center"/>
    </xf>
    <xf numFmtId="41" fontId="40" fillId="10" borderId="29" xfId="253" applyNumberFormat="1" applyFont="1" applyFill="1" applyBorder="1" applyAlignment="1">
      <alignment horizontal="left" vertical="center"/>
    </xf>
    <xf numFmtId="0" fontId="51" fillId="6" borderId="0" xfId="1" applyFont="1" applyFill="1">
      <alignment vertical="center"/>
    </xf>
    <xf numFmtId="43" fontId="44" fillId="6" borderId="0" xfId="0" applyNumberFormat="1" applyFont="1" applyFill="1">
      <alignment vertical="center"/>
    </xf>
    <xf numFmtId="41" fontId="40" fillId="7" borderId="25" xfId="1" applyNumberFormat="1" applyFont="1" applyFill="1" applyBorder="1">
      <alignment vertical="center"/>
    </xf>
    <xf numFmtId="49" fontId="39" fillId="6" borderId="26" xfId="238" applyNumberFormat="1" applyFont="1" applyFill="1" applyBorder="1" applyAlignment="1">
      <alignment horizontal="left" vertical="center" wrapText="1"/>
    </xf>
    <xf numFmtId="41" fontId="44" fillId="6" borderId="0" xfId="260" applyFont="1" applyFill="1">
      <alignment vertical="center"/>
    </xf>
    <xf numFmtId="41" fontId="44" fillId="6" borderId="0" xfId="0" applyNumberFormat="1" applyFont="1" applyFill="1">
      <alignment vertical="center"/>
    </xf>
    <xf numFmtId="9" fontId="44" fillId="6" borderId="0" xfId="264" applyFont="1" applyFill="1">
      <alignment vertical="center"/>
    </xf>
    <xf numFmtId="216" fontId="39" fillId="6" borderId="40" xfId="238" applyNumberFormat="1" applyFont="1" applyFill="1" applyBorder="1" applyAlignment="1">
      <alignment horizontal="center" vertical="center" wrapText="1"/>
    </xf>
    <xf numFmtId="216" fontId="39" fillId="6" borderId="38" xfId="238" applyNumberFormat="1" applyFont="1" applyFill="1" applyBorder="1" applyAlignment="1">
      <alignment horizontal="center" vertical="center" wrapText="1"/>
    </xf>
    <xf numFmtId="0" fontId="39" fillId="6" borderId="40" xfId="238" applyNumberFormat="1" applyFont="1" applyFill="1" applyBorder="1" applyAlignment="1">
      <alignment horizontal="center" vertical="center"/>
    </xf>
    <xf numFmtId="0" fontId="39" fillId="6" borderId="38" xfId="238" applyNumberFormat="1" applyFont="1" applyFill="1" applyBorder="1" applyAlignment="1">
      <alignment horizontal="center" vertical="center"/>
    </xf>
    <xf numFmtId="217" fontId="52" fillId="6" borderId="40" xfId="262" applyNumberFormat="1" applyFont="1" applyFill="1" applyBorder="1">
      <alignment vertical="center"/>
    </xf>
    <xf numFmtId="217" fontId="52" fillId="6" borderId="38" xfId="262" applyNumberFormat="1" applyFont="1" applyFill="1" applyBorder="1">
      <alignment vertical="center"/>
    </xf>
    <xf numFmtId="41" fontId="48" fillId="6" borderId="40" xfId="260" applyFont="1" applyFill="1" applyBorder="1" applyAlignment="1">
      <alignment vertical="center"/>
    </xf>
    <xf numFmtId="217" fontId="52" fillId="6" borderId="26" xfId="262" applyNumberFormat="1" applyFont="1" applyFill="1" applyBorder="1">
      <alignment vertical="center"/>
    </xf>
    <xf numFmtId="41" fontId="48" fillId="6" borderId="26" xfId="260" applyFont="1" applyFill="1" applyBorder="1" applyAlignment="1">
      <alignment vertical="center"/>
    </xf>
    <xf numFmtId="216" fontId="39" fillId="6" borderId="26" xfId="238" applyNumberFormat="1" applyFont="1" applyFill="1" applyBorder="1" applyAlignment="1">
      <alignment horizontal="center" vertical="center" wrapText="1"/>
    </xf>
    <xf numFmtId="0" fontId="39" fillId="6" borderId="26" xfId="238" applyNumberFormat="1" applyFont="1" applyFill="1" applyBorder="1" applyAlignment="1">
      <alignment horizontal="center" vertical="center"/>
    </xf>
    <xf numFmtId="0" fontId="53" fillId="0" borderId="0" xfId="0" applyFont="1" applyAlignment="1">
      <alignment horizontal="left" vertical="center"/>
    </xf>
    <xf numFmtId="0" fontId="44" fillId="0" borderId="0" xfId="0" applyFont="1" applyAlignment="1">
      <alignment horizontal="center" vertical="center"/>
    </xf>
    <xf numFmtId="0" fontId="44" fillId="0" borderId="0" xfId="0" applyFont="1">
      <alignment vertical="center"/>
    </xf>
    <xf numFmtId="0" fontId="54" fillId="12" borderId="2" xfId="0" applyFont="1" applyFill="1" applyBorder="1" applyAlignment="1">
      <alignment horizontal="center" vertical="center"/>
    </xf>
    <xf numFmtId="0" fontId="54" fillId="12" borderId="2" xfId="0" applyFont="1" applyFill="1" applyBorder="1" applyAlignment="1">
      <alignment horizontal="center" vertical="center" wrapText="1"/>
    </xf>
    <xf numFmtId="0" fontId="44" fillId="0" borderId="2" xfId="0" applyFont="1" applyBorder="1" applyAlignment="1">
      <alignment horizontal="center" vertical="center"/>
    </xf>
    <xf numFmtId="0" fontId="44" fillId="0" borderId="2" xfId="0" applyFont="1" applyBorder="1" applyAlignment="1">
      <alignment horizontal="left" vertical="center"/>
    </xf>
    <xf numFmtId="41" fontId="44" fillId="0" borderId="2" xfId="260" applyFont="1" applyBorder="1">
      <alignment vertical="center"/>
    </xf>
    <xf numFmtId="0" fontId="44" fillId="0" borderId="2" xfId="0" applyFont="1" applyBorder="1">
      <alignment vertical="center"/>
    </xf>
    <xf numFmtId="41" fontId="44" fillId="0" borderId="2" xfId="260" applyFont="1" applyFill="1" applyBorder="1">
      <alignment vertical="center"/>
    </xf>
    <xf numFmtId="0" fontId="55" fillId="11" borderId="2" xfId="0" applyFont="1" applyFill="1" applyBorder="1">
      <alignment vertical="center"/>
    </xf>
    <xf numFmtId="41" fontId="55" fillId="11" borderId="2" xfId="260" applyFont="1" applyFill="1" applyBorder="1">
      <alignment vertical="center"/>
    </xf>
    <xf numFmtId="0" fontId="54" fillId="13" borderId="2" xfId="0" applyFont="1" applyFill="1" applyBorder="1" applyAlignment="1">
      <alignment horizontal="center" vertical="center"/>
    </xf>
    <xf numFmtId="0" fontId="54" fillId="13" borderId="2" xfId="0" applyFont="1" applyFill="1" applyBorder="1">
      <alignment vertical="center"/>
    </xf>
    <xf numFmtId="41" fontId="54" fillId="13" borderId="2" xfId="260" applyFont="1" applyFill="1" applyBorder="1">
      <alignment vertical="center"/>
    </xf>
    <xf numFmtId="0" fontId="54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4" fillId="7" borderId="2" xfId="0" applyFont="1" applyFill="1" applyBorder="1" applyAlignment="1">
      <alignment horizontal="center" vertical="center"/>
    </xf>
    <xf numFmtId="0" fontId="44" fillId="7" borderId="2" xfId="0" applyFont="1" applyFill="1" applyBorder="1" applyAlignment="1">
      <alignment horizontal="left" vertical="center"/>
    </xf>
    <xf numFmtId="41" fontId="44" fillId="7" borderId="2" xfId="260" applyFont="1" applyFill="1" applyBorder="1">
      <alignment vertical="center"/>
    </xf>
    <xf numFmtId="0" fontId="44" fillId="7" borderId="2" xfId="0" applyFont="1" applyFill="1" applyBorder="1">
      <alignment vertical="center"/>
    </xf>
    <xf numFmtId="0" fontId="45" fillId="0" borderId="2" xfId="0" applyFont="1" applyBorder="1" applyAlignment="1">
      <alignment horizontal="center" vertical="center"/>
    </xf>
    <xf numFmtId="0" fontId="45" fillId="0" borderId="2" xfId="0" applyFont="1" applyBorder="1" applyAlignment="1">
      <alignment horizontal="left" vertical="center"/>
    </xf>
    <xf numFmtId="41" fontId="45" fillId="0" borderId="2" xfId="260" applyFont="1" applyFill="1" applyBorder="1">
      <alignment vertical="center"/>
    </xf>
    <xf numFmtId="0" fontId="45" fillId="0" borderId="2" xfId="0" applyFont="1" applyBorder="1">
      <alignment vertical="center"/>
    </xf>
    <xf numFmtId="41" fontId="45" fillId="0" borderId="2" xfId="260" applyFont="1" applyBorder="1">
      <alignment vertical="center"/>
    </xf>
    <xf numFmtId="0" fontId="56" fillId="0" borderId="2" xfId="0" applyFont="1" applyBorder="1" applyAlignment="1">
      <alignment horizontal="center" vertical="center"/>
    </xf>
    <xf numFmtId="0" fontId="45" fillId="0" borderId="0" xfId="0" applyFont="1">
      <alignment vertical="center"/>
    </xf>
    <xf numFmtId="0" fontId="55" fillId="11" borderId="2" xfId="0" applyFont="1" applyFill="1" applyBorder="1" applyAlignment="1">
      <alignment horizontal="center" vertical="center"/>
    </xf>
    <xf numFmtId="0" fontId="55" fillId="11" borderId="2" xfId="0" applyFont="1" applyFill="1" applyBorder="1" applyAlignment="1">
      <alignment horizontal="left" vertical="center"/>
    </xf>
    <xf numFmtId="0" fontId="55" fillId="11" borderId="2" xfId="0" quotePrefix="1" applyFont="1" applyFill="1" applyBorder="1" applyAlignment="1">
      <alignment horizontal="left" vertical="center"/>
    </xf>
    <xf numFmtId="41" fontId="40" fillId="7" borderId="22" xfId="1" applyNumberFormat="1" applyFont="1" applyFill="1" applyBorder="1" applyAlignment="1">
      <alignment horizontal="center" vertical="center"/>
    </xf>
    <xf numFmtId="41" fontId="40" fillId="7" borderId="5" xfId="1" applyNumberFormat="1" applyFont="1" applyFill="1" applyBorder="1" applyAlignment="1">
      <alignment horizontal="center" vertical="center"/>
    </xf>
    <xf numFmtId="41" fontId="40" fillId="7" borderId="34" xfId="1" applyNumberFormat="1" applyFont="1" applyFill="1" applyBorder="1" applyAlignment="1">
      <alignment horizontal="center" vertical="center"/>
    </xf>
    <xf numFmtId="41" fontId="39" fillId="6" borderId="35" xfId="238" applyFont="1" applyFill="1" applyBorder="1" applyAlignment="1">
      <alignment horizontal="left" vertical="center"/>
    </xf>
    <xf numFmtId="41" fontId="39" fillId="6" borderId="39" xfId="238" applyFont="1" applyFill="1" applyBorder="1" applyAlignment="1">
      <alignment horizontal="left" vertical="center"/>
    </xf>
    <xf numFmtId="41" fontId="39" fillId="6" borderId="44" xfId="238" applyFont="1" applyFill="1" applyBorder="1" applyAlignment="1">
      <alignment horizontal="left" vertical="center"/>
    </xf>
    <xf numFmtId="216" fontId="39" fillId="6" borderId="37" xfId="238" applyNumberFormat="1" applyFont="1" applyFill="1" applyBorder="1" applyAlignment="1">
      <alignment horizontal="center" vertical="center" wrapText="1"/>
    </xf>
    <xf numFmtId="216" fontId="39" fillId="6" borderId="40" xfId="238" applyNumberFormat="1" applyFont="1" applyFill="1" applyBorder="1" applyAlignment="1">
      <alignment horizontal="center" vertical="center" wrapText="1"/>
    </xf>
    <xf numFmtId="216" fontId="39" fillId="6" borderId="45" xfId="238" applyNumberFormat="1" applyFont="1" applyFill="1" applyBorder="1" applyAlignment="1">
      <alignment horizontal="center" vertical="center" wrapText="1"/>
    </xf>
    <xf numFmtId="0" fontId="39" fillId="6" borderId="37" xfId="238" applyNumberFormat="1" applyFont="1" applyFill="1" applyBorder="1" applyAlignment="1">
      <alignment horizontal="center" vertical="center"/>
    </xf>
    <xf numFmtId="0" fontId="39" fillId="6" borderId="40" xfId="238" applyNumberFormat="1" applyFont="1" applyFill="1" applyBorder="1" applyAlignment="1">
      <alignment horizontal="center" vertical="center"/>
    </xf>
    <xf numFmtId="0" fontId="39" fillId="6" borderId="45" xfId="238" applyNumberFormat="1" applyFont="1" applyFill="1" applyBorder="1" applyAlignment="1">
      <alignment horizontal="center" vertical="center"/>
    </xf>
    <xf numFmtId="41" fontId="52" fillId="6" borderId="37" xfId="262" applyNumberFormat="1" applyFont="1" applyFill="1" applyBorder="1" applyAlignment="1">
      <alignment horizontal="right" vertical="center"/>
    </xf>
    <xf numFmtId="217" fontId="52" fillId="6" borderId="40" xfId="262" applyNumberFormat="1" applyFont="1" applyFill="1" applyBorder="1" applyAlignment="1">
      <alignment horizontal="right" vertical="center"/>
    </xf>
    <xf numFmtId="217" fontId="52" fillId="6" borderId="45" xfId="262" applyNumberFormat="1" applyFont="1" applyFill="1" applyBorder="1" applyAlignment="1">
      <alignment horizontal="right" vertical="center"/>
    </xf>
    <xf numFmtId="41" fontId="39" fillId="6" borderId="36" xfId="238" applyFont="1" applyFill="1" applyBorder="1" applyAlignment="1">
      <alignment horizontal="left" vertical="center"/>
    </xf>
    <xf numFmtId="41" fontId="48" fillId="6" borderId="37" xfId="260" applyFont="1" applyFill="1" applyBorder="1" applyAlignment="1">
      <alignment horizontal="right" vertical="center"/>
    </xf>
    <xf numFmtId="41" fontId="48" fillId="6" borderId="40" xfId="260" applyFont="1" applyFill="1" applyBorder="1" applyAlignment="1">
      <alignment horizontal="right" vertical="center"/>
    </xf>
    <xf numFmtId="41" fontId="48" fillId="6" borderId="45" xfId="260" applyFont="1" applyFill="1" applyBorder="1" applyAlignment="1">
      <alignment horizontal="right" vertical="center"/>
    </xf>
    <xf numFmtId="41" fontId="39" fillId="6" borderId="41" xfId="260" applyFont="1" applyFill="1" applyBorder="1" applyAlignment="1">
      <alignment horizontal="center" vertical="center"/>
    </xf>
    <xf numFmtId="41" fontId="39" fillId="6" borderId="42" xfId="260" applyFont="1" applyFill="1" applyBorder="1" applyAlignment="1">
      <alignment horizontal="center" vertical="center"/>
    </xf>
    <xf numFmtId="41" fontId="39" fillId="6" borderId="43" xfId="260" applyFont="1" applyFill="1" applyBorder="1" applyAlignment="1">
      <alignment horizontal="center" vertical="center"/>
    </xf>
    <xf numFmtId="0" fontId="49" fillId="6" borderId="0" xfId="1" applyFont="1" applyFill="1" applyAlignment="1">
      <alignment horizontal="center"/>
    </xf>
    <xf numFmtId="49" fontId="47" fillId="6" borderId="5" xfId="1" applyNumberFormat="1" applyFont="1" applyFill="1" applyBorder="1" applyAlignment="1">
      <alignment horizontal="center" vertical="center"/>
    </xf>
    <xf numFmtId="49" fontId="47" fillId="6" borderId="23" xfId="1" applyNumberFormat="1" applyFont="1" applyFill="1" applyBorder="1" applyAlignment="1">
      <alignment horizontal="center" vertical="center"/>
    </xf>
    <xf numFmtId="41" fontId="39" fillId="6" borderId="22" xfId="1" applyNumberFormat="1" applyFont="1" applyFill="1" applyBorder="1" applyAlignment="1">
      <alignment horizontal="center" vertical="center"/>
    </xf>
    <xf numFmtId="41" fontId="39" fillId="6" borderId="23" xfId="1" applyNumberFormat="1" applyFont="1" applyFill="1" applyBorder="1" applyAlignment="1">
      <alignment horizontal="center" vertical="center"/>
    </xf>
    <xf numFmtId="41" fontId="0" fillId="0" borderId="0" xfId="260" applyFont="1">
      <alignment vertical="center"/>
    </xf>
    <xf numFmtId="41" fontId="0" fillId="0" borderId="0" xfId="0" applyNumberFormat="1">
      <alignment vertical="center"/>
    </xf>
  </cellXfs>
  <cellStyles count="273">
    <cellStyle name="??&amp;O?&amp;H?_x0008_??_x0007__x0001__x0001_" xfId="2" xr:uid="{00000000-0005-0000-0000-000000000000}"/>
    <cellStyle name="_(040727)부산진구청_rx7620,rp7420,MSL6030_1(원가)" xfId="3" xr:uid="{00000000-0005-0000-0000-000001000000}"/>
    <cellStyle name="_(040811)부산진구청_PC Console_1(원가)" xfId="4" xr:uid="{00000000-0005-0000-0000-000002000000}"/>
    <cellStyle name="_(040823)부산진구청_통합콘솔장비_1(원가) (1)" xfId="5" xr:uid="{00000000-0005-0000-0000-000003000000}"/>
    <cellStyle name="_(041008)부산진구청_rx7620_2(수정)" xfId="6" xr:uid="{00000000-0005-0000-0000-000004000000}"/>
    <cellStyle name="_001(의령군청)" xfId="7" xr:uid="{00000000-0005-0000-0000-000005000000}"/>
    <cellStyle name="_004(거창군청)-1" xfId="8" xr:uid="{00000000-0005-0000-0000-000006000000}"/>
    <cellStyle name="_009(자료관시스템 견적서)" xfId="9" xr:uid="{00000000-0005-0000-0000-000007000000}"/>
    <cellStyle name="_016(함양군청)" xfId="10" xr:uid="{00000000-0005-0000-0000-000008000000}"/>
    <cellStyle name="_02 0821 정보경(흥아타이어 ML570R원가)" xfId="11" xr:uid="{00000000-0005-0000-0000-000009000000}"/>
    <cellStyle name="_02 1018_제주도청(rp7400,VA7100,LTO)원가" xfId="12" xr:uid="{00000000-0005-0000-0000-00000A000000}"/>
    <cellStyle name="_02 1119_제주도청(rp7400,VA7100,DB)원가" xfId="13" xr:uid="{00000000-0005-0000-0000-00000B000000}"/>
    <cellStyle name="_02_1104_넥슨_W2K 10user_정보경C (1)" xfId="14" xr:uid="{00000000-0005-0000-0000-00000C000000}"/>
    <cellStyle name="_020822 정보경(흥아타이어 ML570T)" xfId="15" xr:uid="{00000000-0005-0000-0000-00000D000000}"/>
    <cellStyle name="_021024(넥센 NT견적원가)" xfId="16" xr:uid="{00000000-0005-0000-0000-00000E000000}"/>
    <cellStyle name="_021107 넥센(rp5470,750,NT DS2300견적원가)" xfId="17" xr:uid="{00000000-0005-0000-0000-00000F000000}"/>
    <cellStyle name="_0223_해운대구청(LH6000)" xfId="18" xr:uid="{00000000-0005-0000-0000-000010000000}"/>
    <cellStyle name="_030108울산동구청rp7410_CX400본사원가" xfId="19" xr:uid="{00000000-0005-0000-0000-000011000000}"/>
    <cellStyle name="_030121울산동구청본사원가(1)" xfId="20" xr:uid="{00000000-0005-0000-0000-000012000000}"/>
    <cellStyle name="_030716_울산시청rp2405_2_DAT원가 (1)" xfId="21" xr:uid="{00000000-0005-0000-0000-000013000000}"/>
    <cellStyle name="_030820_정원엔시스템(양산)-(NMS)" xfId="22" xr:uid="{00000000-0005-0000-0000-000014000000}"/>
    <cellStyle name="_031002_넥센(backup 및 omniback 외)최종원가" xfId="23" xr:uid="{00000000-0005-0000-0000-000015000000}"/>
    <cellStyle name="_031027_양산시청(disk축소,jukebox 외자료관)재견적원가(1)" xfId="24" xr:uid="{00000000-0005-0000-0000-000016000000}"/>
    <cellStyle name="_0313_두산중공업(ML570G2)(1)" xfId="25" xr:uid="{00000000-0005-0000-0000-000017000000}"/>
    <cellStyle name="_0401_사천시청(VA7110)(1)" xfId="26" xr:uid="{00000000-0005-0000-0000-000018000000}"/>
    <cellStyle name="_040220_경찰병원_rx8620_rx2600_DL360G3_원가" xfId="27" xr:uid="{00000000-0005-0000-0000-000019000000}"/>
    <cellStyle name="_040317_서울대병원_EMR_이지케어텍_서비스제외" xfId="28" xr:uid="{00000000-0005-0000-0000-00001A000000}"/>
    <cellStyle name="_040329_분당재생병원_pc_원가견적서" xfId="29" xr:uid="{00000000-0005-0000-0000-00001B000000}"/>
    <cellStyle name="_040402_강원대병원_ES45_원가" xfId="30" xr:uid="{00000000-0005-0000-0000-00001C000000}"/>
    <cellStyle name="_040402_산재의료원_원가" xfId="31" xr:uid="{00000000-0005-0000-0000-00001D000000}"/>
    <cellStyle name="_040414_rx8620_eva5000" xfId="32" xr:uid="{00000000-0005-0000-0000-00001E000000}"/>
    <cellStyle name="_040420_부산시청(인터넷토지_rx4640)원가분석" xfId="33" xr:uid="{00000000-0005-0000-0000-00001F000000}"/>
    <cellStyle name="_0406_도시개발공사(ML370G3-3대" xfId="34" xr:uid="{00000000-0005-0000-0000-000020000000}"/>
    <cellStyle name="_040915_AX100 원가분석" xfId="35" xr:uid="{00000000-0005-0000-0000-000021000000}"/>
    <cellStyle name="_041(진주시청)" xfId="36" xr:uid="{00000000-0005-0000-0000-000022000000}"/>
    <cellStyle name="_041013-정원-조달청" xfId="37" xr:uid="{00000000-0005-0000-0000-000023000000}"/>
    <cellStyle name="_041209_자료관시스템(영도구청)원가분석" xfId="38" xr:uid="{00000000-0005-0000-0000-000024000000}"/>
    <cellStyle name="_0430_마산시청_플로터 외" xfId="39" xr:uid="{00000000-0005-0000-0000-000025000000}"/>
    <cellStyle name="_0430_부산대학교(DL360G3-5대)" xfId="40" xr:uid="{00000000-0005-0000-0000-000026000000}"/>
    <cellStyle name="_045-거제시청(도시)" xfId="41" xr:uid="{00000000-0005-0000-0000-000027000000}"/>
    <cellStyle name="_046-경남도청-1" xfId="42" xr:uid="{00000000-0005-0000-0000-000028000000}"/>
    <cellStyle name="_050127_위더스정보(부산시청_DL760외)원가분석" xfId="43" xr:uid="{00000000-0005-0000-0000-000029000000}"/>
    <cellStyle name="_050307_EMC소요량 파악(부산)" xfId="44" xr:uid="{00000000-0005-0000-0000-00002A000000}"/>
    <cellStyle name="_0523-2 DL마트견적이주훈" xfId="45" xr:uid="{00000000-0005-0000-0000-00002B000000}"/>
    <cellStyle name="_0604_부산은행(VA7110)" xfId="46" xr:uid="{00000000-0005-0000-0000-00002C000000}"/>
    <cellStyle name="_0823_부산경상대학(2차통합)_Promotion" xfId="47" xr:uid="{00000000-0005-0000-0000-00002D000000}"/>
    <cellStyle name="_0901_두산중공업(ML570R,DL380R,ML330,ML530) (1)" xfId="48" xr:uid="{00000000-0005-0000-0000-00002E000000}"/>
    <cellStyle name="_0902_고성군청(PC,스위칭허브,MSL6030)" xfId="49" xr:uid="{00000000-0005-0000-0000-00002F000000}"/>
    <cellStyle name="_094(윌네트)" xfId="50" xr:uid="{00000000-0005-0000-0000-000030000000}"/>
    <cellStyle name="_100(마산시청)" xfId="51" xr:uid="{00000000-0005-0000-0000-000031000000}"/>
    <cellStyle name="_1007_하남군청(rx5670) (1)" xfId="52" xr:uid="{00000000-0005-0000-0000-000032000000}"/>
    <cellStyle name="_102(고성군청)" xfId="53" xr:uid="{00000000-0005-0000-0000-000033000000}"/>
    <cellStyle name="_1106_LG-CNS(rp8400)백천일_부장(1)" xfId="54" xr:uid="{00000000-0005-0000-0000-000034000000}"/>
    <cellStyle name="_11월 가격표 hp workstation" xfId="55" xr:uid="{00000000-0005-0000-0000-000035000000}"/>
    <cellStyle name="_171(HSD엔진)" xfId="56" xr:uid="{00000000-0005-0000-0000-000036000000}"/>
    <cellStyle name="_2" xfId="57" xr:uid="{00000000-0005-0000-0000-000037000000}"/>
    <cellStyle name="_200(한국철강)" xfId="58" xr:uid="{00000000-0005-0000-0000-000038000000}"/>
    <cellStyle name="_210(HSD엔진)" xfId="59" xr:uid="{00000000-0005-0000-0000-000039000000}"/>
    <cellStyle name="_250(윌네트-하동)" xfId="60" xr:uid="{00000000-0005-0000-0000-00003A000000}"/>
    <cellStyle name="_6월 가격표 hp workstation(수정중)" xfId="61" xr:uid="{00000000-0005-0000-0000-00003B000000}"/>
    <cellStyle name="_7월 가격표 hp workstation" xfId="62" xr:uid="{00000000-0005-0000-0000-00003C000000}"/>
    <cellStyle name="_8월 가격표 hp workstation" xfId="63" xr:uid="{00000000-0005-0000-0000-00003D000000}"/>
    <cellStyle name="_ACQ 서버 DL580G2 MSA1000_0205" xfId="64" xr:uid="{00000000-0005-0000-0000-00003E000000}"/>
    <cellStyle name="_CPQRC_Storage_Dec05" xfId="65" xr:uid="{00000000-0005-0000-0000-00003F000000}"/>
    <cellStyle name="_EMC_AX100_2TB_경상대학" xfId="66" xr:uid="{00000000-0005-0000-0000-000040000000}"/>
    <cellStyle name="_GS140CPU 가격" xfId="67" xr:uid="{00000000-0005-0000-0000-000041000000}"/>
    <cellStyle name="_Hart-LSR견적서및Spec자료" xfId="68" xr:uid="{00000000-0005-0000-0000-000042000000}"/>
    <cellStyle name="_pClass - 20p _ 40p -SW(C)_한상욱차장최종" xfId="69" xr:uid="{00000000-0005-0000-0000-000043000000}"/>
    <cellStyle name="_ProCurve Quick Reference Card - December 2005" xfId="70" xr:uid="{00000000-0005-0000-0000-000044000000}"/>
    <cellStyle name="_ProCurve Quick Reference Card - January 2006" xfId="71" xr:uid="{00000000-0005-0000-0000-000045000000}"/>
    <cellStyle name="_ProCurve Quick Reference Card - July 1 2005" xfId="72" xr:uid="{00000000-0005-0000-0000-000046000000}"/>
    <cellStyle name="_ProCurve Quick Reference Card - July 1 2005_Book1" xfId="73" xr:uid="{00000000-0005-0000-0000-000047000000}"/>
    <cellStyle name="_ProCurve Quick Reference Card - July 1 2005_HP_Care_Pack_Aug05" xfId="74" xr:uid="{00000000-0005-0000-0000-000048000000}"/>
    <cellStyle name="_ProCurve Quick Reference Card - July 1 2005_HP_Care_Pack_July05" xfId="75" xr:uid="{00000000-0005-0000-0000-000049000000}"/>
    <cellStyle name="_ProCurve Quick Reference Card - October 1  2005" xfId="76" xr:uid="{00000000-0005-0000-0000-00004A000000}"/>
    <cellStyle name="_ProCurve Quick Reference Card - October 2005 v2" xfId="77" xr:uid="{00000000-0005-0000-0000-00004B000000}"/>
    <cellStyle name="_R8_CPQRC Storage 7-29-05" xfId="78" xr:uid="{00000000-0005-0000-0000-00004C000000}"/>
    <cellStyle name="_WS(0404)" xfId="79" xr:uid="{00000000-0005-0000-0000-00004D000000}"/>
    <cellStyle name="_WS(0409)" xfId="80" xr:uid="{00000000-0005-0000-0000-00004E000000}"/>
    <cellStyle name="_가격검토서_IRS_KDN_20050403" xfId="81" xr:uid="{00000000-0005-0000-0000-00004F000000}"/>
    <cellStyle name="_견적 SAMPLE-1 (1)" xfId="82" xr:uid="{00000000-0005-0000-0000-000050000000}"/>
    <cellStyle name="_견적서 SAMPLE" xfId="83" xr:uid="{00000000-0005-0000-0000-000051000000}"/>
    <cellStyle name="_견적서양식 (가로1)" xfId="84" xr:uid="{00000000-0005-0000-0000-000052000000}"/>
    <cellStyle name="_견적서-정원" xfId="85" xr:uid="{00000000-0005-0000-0000-000053000000}"/>
    <cellStyle name="_경남도청 정원-한신-조달청 제출용" xfId="86" xr:uid="{00000000-0005-0000-0000-000054000000}"/>
    <cellStyle name="_고성군청 기타 업체 발주 내용" xfId="87" xr:uid="{00000000-0005-0000-0000-000055000000}"/>
    <cellStyle name="_고성군청 판보용 원가 견적서(1206)" xfId="88" xr:uid="{00000000-0005-0000-0000-000056000000}"/>
    <cellStyle name="_고성군청_디스크 증설 발송" xfId="89" xr:uid="{00000000-0005-0000-0000-000057000000}"/>
    <cellStyle name="_기본견적(2003년 01월)" xfId="90" xr:uid="{00000000-0005-0000-0000-000058000000}"/>
    <cellStyle name="_기본견적(2003년 05월)" xfId="91" xr:uid="{00000000-0005-0000-0000-000059000000}"/>
    <cellStyle name="_노트북플라자(041012)_xw4100_xw6000_원가" xfId="92" xr:uid="{00000000-0005-0000-0000-00005A000000}"/>
    <cellStyle name="_도면 스캐너-contex(프Tx36P,카Tx36BP)" xfId="93" xr:uid="{00000000-0005-0000-0000-00005B000000}"/>
    <cellStyle name="_두산중공업(040629)_xw8000_원가" xfId="94" xr:uid="{00000000-0005-0000-0000-00005C000000}"/>
    <cellStyle name="_부산지사견적서" xfId="95" xr:uid="{00000000-0005-0000-0000-00005D000000}"/>
    <cellStyle name="_서라벌_재설계견적서_20050317" xfId="96" xr:uid="{00000000-0005-0000-0000-00005E000000}"/>
    <cellStyle name="_서울씨앤제이(031121)_한승헌대리_xw6000_원가" xfId="97" xr:uid="{00000000-0005-0000-0000-00005F000000}"/>
    <cellStyle name="_앤시정보기술-춘해병원0502-정원" xfId="98" xr:uid="{00000000-0005-0000-0000-000060000000}"/>
    <cellStyle name="_일산병원(0818_OCS_rp7410_VA7110_superdome)(원가)" xfId="99" xr:uid="{00000000-0005-0000-0000-000061000000}"/>
    <cellStyle name="_자료관시스템 견적서(참조)" xfId="100" xr:uid="{00000000-0005-0000-0000-000062000000}"/>
    <cellStyle name="_자료관시스템 견적서(참조-1)" xfId="101" xr:uid="{00000000-0005-0000-0000-000063000000}"/>
    <cellStyle name="_정원엔시스템 ES45외_영우" xfId="102" xr:uid="{00000000-0005-0000-0000-000064000000}"/>
    <cellStyle name="_정원엔시스템 견적_060705" xfId="103" xr:uid="{00000000-0005-0000-0000-000065000000}"/>
    <cellStyle name="_제안1견적서" xfId="104" xr:uid="{00000000-0005-0000-0000-000066000000}"/>
    <cellStyle name="_철-정원엔시스템-MC-8200U-04-04-27-자료관용-이성래과장님" xfId="105" xr:uid="{00000000-0005-0000-0000-000067000000}"/>
    <cellStyle name="_철-정원엔시스템-MC-8200U-04-08-12- 자료관용-이성래차장님" xfId="106" xr:uid="{00000000-0005-0000-0000-000068000000}"/>
    <cellStyle name="_철-정원엔시스템-Netvault-2003-09-29-창원" xfId="107" xr:uid="{00000000-0005-0000-0000-000069000000}"/>
    <cellStyle name="_철-정원엔시스템-Netvault-2003-11-23-진해시청및 함안군청건" xfId="108" xr:uid="{00000000-0005-0000-0000-00006A000000}"/>
    <cellStyle name="_철-정원엔시스템-RLS-8236-Netvault-2003-12-05-사천시청건-류홍주과장님" xfId="109" xr:uid="{00000000-0005-0000-0000-00006B000000}"/>
    <cellStyle name="_철-정원엔시스템-RLS-8236-Netvault-2004-01-08-의령군청건-류홍주과장님-최종분" xfId="110" xr:uid="{00000000-0005-0000-0000-00006C000000}"/>
    <cellStyle name="_철-정원엔시스템-RLS-8236-Netvault-2004-04-01-함양군청건-류홍주과장님-1" xfId="111" xr:uid="{00000000-0005-0000-0000-00006D000000}"/>
    <cellStyle name="_춘해견적" xfId="112" xr:uid="{00000000-0005-0000-0000-00006E000000}"/>
    <cellStyle name="_타사견적5" xfId="113" xr:uid="{00000000-0005-0000-0000-00006F000000}"/>
    <cellStyle name="_통영시청(041206)_xw6200_원가" xfId="114" xr:uid="{00000000-0005-0000-0000-000070000000}"/>
    <cellStyle name="_통합견적_2차_0925_수정" xfId="115" xr:uid="{00000000-0005-0000-0000-000071000000}"/>
    <cellStyle name="=C:\WINNT\SYSTEM32\COMMAND.COM" xfId="116" xr:uid="{00000000-0005-0000-0000-000072000000}"/>
    <cellStyle name="2200000" xfId="117" xr:uid="{00000000-0005-0000-0000-000073000000}"/>
    <cellStyle name="AeE­ [0]_A¾CO½A¼³ " xfId="118" xr:uid="{00000000-0005-0000-0000-000074000000}"/>
    <cellStyle name="AeE­_A¾CO½A¼³ " xfId="119" xr:uid="{00000000-0005-0000-0000-000075000000}"/>
    <cellStyle name="AÞ¸¶ [0]_A¾CO½A¼³ " xfId="120" xr:uid="{00000000-0005-0000-0000-000076000000}"/>
    <cellStyle name="AÞ¸¶_A¾CO½A¼³ " xfId="121" xr:uid="{00000000-0005-0000-0000-000077000000}"/>
    <cellStyle name="C￥AØ_¿¹≫e¿aA≫ " xfId="122" xr:uid="{00000000-0005-0000-0000-000078000000}"/>
    <cellStyle name="Calc Currency (0)" xfId="123" xr:uid="{00000000-0005-0000-0000-000079000000}"/>
    <cellStyle name="Calc Currency (2)" xfId="124" xr:uid="{00000000-0005-0000-0000-00007A000000}"/>
    <cellStyle name="Calc Percent (0)" xfId="125" xr:uid="{00000000-0005-0000-0000-00007B000000}"/>
    <cellStyle name="Calc Percent (1)" xfId="126" xr:uid="{00000000-0005-0000-0000-00007C000000}"/>
    <cellStyle name="Calc Percent (2)" xfId="127" xr:uid="{00000000-0005-0000-0000-00007D000000}"/>
    <cellStyle name="Calc Units (0)" xfId="128" xr:uid="{00000000-0005-0000-0000-00007E000000}"/>
    <cellStyle name="Calc Units (1)" xfId="129" xr:uid="{00000000-0005-0000-0000-00007F000000}"/>
    <cellStyle name="Calc Units (2)" xfId="130" xr:uid="{00000000-0005-0000-0000-000080000000}"/>
    <cellStyle name="category" xfId="131" xr:uid="{00000000-0005-0000-0000-000081000000}"/>
    <cellStyle name="columns_array" xfId="132" xr:uid="{00000000-0005-0000-0000-000082000000}"/>
    <cellStyle name="Comma" xfId="133" xr:uid="{00000000-0005-0000-0000-000083000000}"/>
    <cellStyle name="Comma  - Style1" xfId="134" xr:uid="{00000000-0005-0000-0000-000084000000}"/>
    <cellStyle name="Comma  - Style2" xfId="135" xr:uid="{00000000-0005-0000-0000-000085000000}"/>
    <cellStyle name="Comma  - Style3" xfId="136" xr:uid="{00000000-0005-0000-0000-000086000000}"/>
    <cellStyle name="Comma  - Style4" xfId="137" xr:uid="{00000000-0005-0000-0000-000087000000}"/>
    <cellStyle name="Comma  - Style5" xfId="138" xr:uid="{00000000-0005-0000-0000-000088000000}"/>
    <cellStyle name="Comma  - Style6" xfId="139" xr:uid="{00000000-0005-0000-0000-000089000000}"/>
    <cellStyle name="Comma  - Style7" xfId="140" xr:uid="{00000000-0005-0000-0000-00008A000000}"/>
    <cellStyle name="Comma  - Style8" xfId="141" xr:uid="{00000000-0005-0000-0000-00008B000000}"/>
    <cellStyle name="Comma [0]" xfId="142" xr:uid="{00000000-0005-0000-0000-00008C000000}"/>
    <cellStyle name="Comma [00]" xfId="143" xr:uid="{00000000-0005-0000-0000-00008D000000}"/>
    <cellStyle name="comma zerodec" xfId="144" xr:uid="{00000000-0005-0000-0000-00008E000000}"/>
    <cellStyle name="Comma_ SG&amp;A Bridge " xfId="145" xr:uid="{00000000-0005-0000-0000-00008F000000}"/>
    <cellStyle name="Currency" xfId="146" xr:uid="{00000000-0005-0000-0000-000090000000}"/>
    <cellStyle name="Currency (0.00)" xfId="147" xr:uid="{00000000-0005-0000-0000-000091000000}"/>
    <cellStyle name="Currency [0]" xfId="148" xr:uid="{00000000-0005-0000-0000-000092000000}"/>
    <cellStyle name="Currency [00]" xfId="149" xr:uid="{00000000-0005-0000-0000-000093000000}"/>
    <cellStyle name="currency-$" xfId="150" xr:uid="{00000000-0005-0000-0000-000094000000}"/>
    <cellStyle name="Currency_ SG&amp;A Bridge " xfId="151" xr:uid="{00000000-0005-0000-0000-000095000000}"/>
    <cellStyle name="Currency1" xfId="152" xr:uid="{00000000-0005-0000-0000-000096000000}"/>
    <cellStyle name="Date" xfId="153" xr:uid="{00000000-0005-0000-0000-000097000000}"/>
    <cellStyle name="Date Short" xfId="154" xr:uid="{00000000-0005-0000-0000-000098000000}"/>
    <cellStyle name="Date_009(자료관시스템 견적서)" xfId="155" xr:uid="{00000000-0005-0000-0000-000099000000}"/>
    <cellStyle name="DELTA" xfId="156" xr:uid="{00000000-0005-0000-0000-00009A000000}"/>
    <cellStyle name="Dezimal [0]_laroux" xfId="157" xr:uid="{00000000-0005-0000-0000-00009B000000}"/>
    <cellStyle name="Dezimal_laroux" xfId="158" xr:uid="{00000000-0005-0000-0000-00009C000000}"/>
    <cellStyle name="Dollar (zero dec)" xfId="159" xr:uid="{00000000-0005-0000-0000-00009D000000}"/>
    <cellStyle name="Enter Currency (0)" xfId="160" xr:uid="{00000000-0005-0000-0000-00009E000000}"/>
    <cellStyle name="Enter Currency (2)" xfId="161" xr:uid="{00000000-0005-0000-0000-00009F000000}"/>
    <cellStyle name="Enter Units (0)" xfId="162" xr:uid="{00000000-0005-0000-0000-0000A0000000}"/>
    <cellStyle name="Enter Units (1)" xfId="163" xr:uid="{00000000-0005-0000-0000-0000A1000000}"/>
    <cellStyle name="Enter Units (2)" xfId="164" xr:uid="{00000000-0005-0000-0000-0000A2000000}"/>
    <cellStyle name="Fixed" xfId="165" xr:uid="{00000000-0005-0000-0000-0000A3000000}"/>
    <cellStyle name="Followed Hyperlink" xfId="166" xr:uid="{00000000-0005-0000-0000-0000A4000000}"/>
    <cellStyle name="Grey" xfId="167" xr:uid="{00000000-0005-0000-0000-0000A5000000}"/>
    <cellStyle name="HEADER" xfId="168" xr:uid="{00000000-0005-0000-0000-0000A6000000}"/>
    <cellStyle name="Header1" xfId="169" xr:uid="{00000000-0005-0000-0000-0000A7000000}"/>
    <cellStyle name="Header2" xfId="170" xr:uid="{00000000-0005-0000-0000-0000A8000000}"/>
    <cellStyle name="Heading 1" xfId="171" xr:uid="{00000000-0005-0000-0000-0000A9000000}"/>
    <cellStyle name="Heading 4" xfId="172" xr:uid="{00000000-0005-0000-0000-0000AA000000}"/>
    <cellStyle name="Heading1" xfId="173" xr:uid="{00000000-0005-0000-0000-0000AB000000}"/>
    <cellStyle name="Heading2" xfId="174" xr:uid="{00000000-0005-0000-0000-0000AC000000}"/>
    <cellStyle name="Hyperlink" xfId="175" xr:uid="{00000000-0005-0000-0000-0000AD000000}"/>
    <cellStyle name="Input [yellow]" xfId="176" xr:uid="{00000000-0005-0000-0000-0000AE000000}"/>
    <cellStyle name="Komma [0]_BINV" xfId="177" xr:uid="{00000000-0005-0000-0000-0000AF000000}"/>
    <cellStyle name="Komma_BINV" xfId="178" xr:uid="{00000000-0005-0000-0000-0000B0000000}"/>
    <cellStyle name="Link Currency (0)" xfId="179" xr:uid="{00000000-0005-0000-0000-0000B1000000}"/>
    <cellStyle name="Link Currency (2)" xfId="180" xr:uid="{00000000-0005-0000-0000-0000B2000000}"/>
    <cellStyle name="Link Units (0)" xfId="181" xr:uid="{00000000-0005-0000-0000-0000B3000000}"/>
    <cellStyle name="Link Units (1)" xfId="182" xr:uid="{00000000-0005-0000-0000-0000B4000000}"/>
    <cellStyle name="Link Units (2)" xfId="183" xr:uid="{00000000-0005-0000-0000-0000B5000000}"/>
    <cellStyle name="Milliers [0]_Arabian Spec" xfId="184" xr:uid="{00000000-0005-0000-0000-0000B6000000}"/>
    <cellStyle name="Milliers_Arabian Spec" xfId="185" xr:uid="{00000000-0005-0000-0000-0000B7000000}"/>
    <cellStyle name="Model" xfId="186" xr:uid="{00000000-0005-0000-0000-0000B8000000}"/>
    <cellStyle name="Mon?aire [0]_Arabian Spec" xfId="187" xr:uid="{00000000-0005-0000-0000-0000B9000000}"/>
    <cellStyle name="Mon?aire_Arabian Spec" xfId="188" xr:uid="{00000000-0005-0000-0000-0000BA000000}"/>
    <cellStyle name="no dec" xfId="189" xr:uid="{00000000-0005-0000-0000-0000BB000000}"/>
    <cellStyle name="Normal - Style1" xfId="190" xr:uid="{00000000-0005-0000-0000-0000BC000000}"/>
    <cellStyle name="Normal - 유형1" xfId="191" xr:uid="{00000000-0005-0000-0000-0000BD000000}"/>
    <cellStyle name="Normal_ SG&amp;A Bridge " xfId="192" xr:uid="{00000000-0005-0000-0000-0000BE000000}"/>
    <cellStyle name="p/n" xfId="193" xr:uid="{00000000-0005-0000-0000-0000BF000000}"/>
    <cellStyle name="Percent" xfId="194" xr:uid="{00000000-0005-0000-0000-0000C0000000}"/>
    <cellStyle name="Percent [0]" xfId="195" xr:uid="{00000000-0005-0000-0000-0000C1000000}"/>
    <cellStyle name="Percent [00]" xfId="196" xr:uid="{00000000-0005-0000-0000-0000C2000000}"/>
    <cellStyle name="Percent [2]" xfId="197" xr:uid="{00000000-0005-0000-0000-0000C3000000}"/>
    <cellStyle name="Percent_#6 Temps &amp; Contractors" xfId="198" xr:uid="{00000000-0005-0000-0000-0000C4000000}"/>
    <cellStyle name="PrePop Currency (0)" xfId="199" xr:uid="{00000000-0005-0000-0000-0000C5000000}"/>
    <cellStyle name="PrePop Currency (2)" xfId="200" xr:uid="{00000000-0005-0000-0000-0000C6000000}"/>
    <cellStyle name="PrePop Units (0)" xfId="201" xr:uid="{00000000-0005-0000-0000-0000C7000000}"/>
    <cellStyle name="PrePop Units (1)" xfId="202" xr:uid="{00000000-0005-0000-0000-0000C8000000}"/>
    <cellStyle name="PrePop Units (2)" xfId="203" xr:uid="{00000000-0005-0000-0000-0000C9000000}"/>
    <cellStyle name="Procent_BINV" xfId="204" xr:uid="{00000000-0005-0000-0000-0000CA000000}"/>
    <cellStyle name="Product" xfId="205" xr:uid="{00000000-0005-0000-0000-0000CB000000}"/>
    <cellStyle name="sbt2" xfId="206" xr:uid="{00000000-0005-0000-0000-0000CC000000}"/>
    <cellStyle name="Standaard_BINV" xfId="207" xr:uid="{00000000-0005-0000-0000-0000CD000000}"/>
    <cellStyle name="Standard_laroux" xfId="208" xr:uid="{00000000-0005-0000-0000-0000CE000000}"/>
    <cellStyle name="subhead" xfId="209" xr:uid="{00000000-0005-0000-0000-0000CF000000}"/>
    <cellStyle name="subt1" xfId="210" xr:uid="{00000000-0005-0000-0000-0000D0000000}"/>
    <cellStyle name="Text Indent A" xfId="211" xr:uid="{00000000-0005-0000-0000-0000D1000000}"/>
    <cellStyle name="Text Indent B" xfId="212" xr:uid="{00000000-0005-0000-0000-0000D2000000}"/>
    <cellStyle name="Text Indent C" xfId="213" xr:uid="{00000000-0005-0000-0000-0000D3000000}"/>
    <cellStyle name="Total" xfId="214" xr:uid="{00000000-0005-0000-0000-0000D4000000}"/>
    <cellStyle name="Valuta [0]_BINV" xfId="215" xr:uid="{00000000-0005-0000-0000-0000D5000000}"/>
    <cellStyle name="Valuta_BINV" xfId="216" xr:uid="{00000000-0005-0000-0000-0000D6000000}"/>
    <cellStyle name="W?rung [0]_laroux" xfId="217" xr:uid="{00000000-0005-0000-0000-0000D7000000}"/>
    <cellStyle name="W?rung_laroux" xfId="218" xr:uid="{00000000-0005-0000-0000-0000D8000000}"/>
    <cellStyle name="견적" xfId="219" xr:uid="{00000000-0005-0000-0000-0000D9000000}"/>
    <cellStyle name="견적 2" xfId="267" xr:uid="{E1249BC3-E5D3-4C22-B422-37DC1468B6EF}"/>
    <cellStyle name="고정소숫점" xfId="220" xr:uid="{00000000-0005-0000-0000-0000DA000000}"/>
    <cellStyle name="고정출력1" xfId="221" xr:uid="{00000000-0005-0000-0000-0000DB000000}"/>
    <cellStyle name="고정출력2" xfId="222" xr:uid="{00000000-0005-0000-0000-0000DC000000}"/>
    <cellStyle name="기계" xfId="223" xr:uid="{00000000-0005-0000-0000-0000DD000000}"/>
    <cellStyle name="기계 2" xfId="268" xr:uid="{59299226-DDD5-4657-A442-3CE5E26B3A17}"/>
    <cellStyle name="난제목" xfId="224" xr:uid="{00000000-0005-0000-0000-0000DE000000}"/>
    <cellStyle name="날짜" xfId="225" xr:uid="{00000000-0005-0000-0000-0000DF000000}"/>
    <cellStyle name="달러" xfId="226" xr:uid="{00000000-0005-0000-0000-0000E0000000}"/>
    <cellStyle name="뒤에 오는 하이퍼링크_대가" xfId="227" xr:uid="{00000000-0005-0000-0000-0000E1000000}"/>
    <cellStyle name="똿뗦먛귟 [0.00]_laroux" xfId="228" xr:uid="{00000000-0005-0000-0000-0000E2000000}"/>
    <cellStyle name="똿뗦먛귟_laroux" xfId="229" xr:uid="{00000000-0005-0000-0000-0000E3000000}"/>
    <cellStyle name="마감" xfId="230" xr:uid="{00000000-0005-0000-0000-0000E4000000}"/>
    <cellStyle name="믅됞 [0.00]_laroux" xfId="231" xr:uid="{00000000-0005-0000-0000-0000E5000000}"/>
    <cellStyle name="믅됞_laroux" xfId="232" xr:uid="{00000000-0005-0000-0000-0000E6000000}"/>
    <cellStyle name="백분율" xfId="264" builtinId="5"/>
    <cellStyle name="부제목" xfId="233" xr:uid="{00000000-0005-0000-0000-0000E8000000}"/>
    <cellStyle name="뷭?_BOOKSHIP" xfId="234" xr:uid="{00000000-0005-0000-0000-0000E9000000}"/>
    <cellStyle name="常规_OPTION_9910" xfId="235" xr:uid="{00000000-0005-0000-0000-0000EA000000}"/>
    <cellStyle name="숫자(R)" xfId="236" xr:uid="{00000000-0005-0000-0000-0000EB000000}"/>
    <cellStyle name="쉼표 [0]" xfId="260" builtinId="6"/>
    <cellStyle name="쉼표 [0] 11" xfId="238" xr:uid="{00000000-0005-0000-0000-0000ED000000}"/>
    <cellStyle name="쉼표 [0] 11 2" xfId="270" xr:uid="{E48B8075-AA2E-4C8A-BBCC-ABC7666CAE8B}"/>
    <cellStyle name="쉼표 [0] 2" xfId="237" xr:uid="{00000000-0005-0000-0000-0000EE000000}"/>
    <cellStyle name="쉼표 [0] 2 2" xfId="269" xr:uid="{0E94DA2D-05E5-4E44-A91C-A7888B5BF8ED}"/>
    <cellStyle name="쉼표 [0] 2 2 2" xfId="263" xr:uid="{00000000-0005-0000-0000-0000EF000000}"/>
    <cellStyle name="쉼표 [0] 2 2 2 2" xfId="272" xr:uid="{D260B256-8334-4982-897D-4E74AB4C2CA6}"/>
    <cellStyle name="쉼표 [0] 3" xfId="271" xr:uid="{2B0E4551-3EE4-4070-A2F9-54046C672646}"/>
    <cellStyle name="스타일 1" xfId="239" xr:uid="{00000000-0005-0000-0000-0000F0000000}"/>
    <cellStyle name="스타일 2" xfId="240" xr:uid="{00000000-0005-0000-0000-0000F1000000}"/>
    <cellStyle name="실선" xfId="241" xr:uid="{00000000-0005-0000-0000-0000F2000000}"/>
    <cellStyle name="안건회계법인" xfId="242" xr:uid="{00000000-0005-0000-0000-0000F3000000}"/>
    <cellStyle name="자리수" xfId="243" xr:uid="{00000000-0005-0000-0000-0000F4000000}"/>
    <cellStyle name="자리수0" xfId="244" xr:uid="{00000000-0005-0000-0000-0000F5000000}"/>
    <cellStyle name="제목 5" xfId="245" xr:uid="{00000000-0005-0000-0000-0000F6000000}"/>
    <cellStyle name="지정되지 않음" xfId="246" xr:uid="{00000000-0005-0000-0000-0000F7000000}"/>
    <cellStyle name="콤마 [0]_#18_upgr" xfId="247" xr:uid="{00000000-0005-0000-0000-0000F8000000}"/>
    <cellStyle name="콤마_#18_upgr" xfId="248" xr:uid="{00000000-0005-0000-0000-0000F9000000}"/>
    <cellStyle name="通貨 [0.00]_PERSONAL" xfId="249" xr:uid="{00000000-0005-0000-0000-0000FA000000}"/>
    <cellStyle name="通貨_PERSONAL" xfId="250" xr:uid="{00000000-0005-0000-0000-0000FB000000}"/>
    <cellStyle name="퍼센트" xfId="251" xr:uid="{00000000-0005-0000-0000-0000FC000000}"/>
    <cellStyle name="표준" xfId="0" builtinId="0"/>
    <cellStyle name="표준 11" xfId="262" xr:uid="{00000000-0005-0000-0000-0000FE000000}"/>
    <cellStyle name="표준 13" xfId="261" xr:uid="{00000000-0005-0000-0000-0000FF000000}"/>
    <cellStyle name="표준 2" xfId="1" xr:uid="{00000000-0005-0000-0000-000000010000}"/>
    <cellStyle name="표준 2 2" xfId="266" xr:uid="{00000000-0005-0000-0000-000001010000}"/>
    <cellStyle name="표준 5 2" xfId="265" xr:uid="{00000000-0005-0000-0000-000002010000}"/>
    <cellStyle name="標準_Akia(F）-8" xfId="252" xr:uid="{00000000-0005-0000-0000-000003010000}"/>
    <cellStyle name="표준_NT 견적양식" xfId="253" xr:uid="{00000000-0005-0000-0000-000004010000}"/>
    <cellStyle name="標準_PERSONAL" xfId="254" xr:uid="{00000000-0005-0000-0000-000005010000}"/>
    <cellStyle name="합산" xfId="255" xr:uid="{00000000-0005-0000-0000-000007010000}"/>
    <cellStyle name="桁区切り [0.00]_PERSONAL" xfId="256" xr:uid="{00000000-0005-0000-0000-000008010000}"/>
    <cellStyle name="桁区切り_PERSONAL" xfId="257" xr:uid="{00000000-0005-0000-0000-000009010000}"/>
    <cellStyle name="화폐기호" xfId="258" xr:uid="{00000000-0005-0000-0000-00000A010000}"/>
    <cellStyle name="화폐기호0" xfId="259" xr:uid="{00000000-0005-0000-0000-00000B01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19303</xdr:colOff>
      <xdr:row>5</xdr:row>
      <xdr:rowOff>0</xdr:rowOff>
    </xdr:from>
    <xdr:to>
      <xdr:col>1</xdr:col>
      <xdr:colOff>2190750</xdr:colOff>
      <xdr:row>5</xdr:row>
      <xdr:rowOff>0</xdr:rowOff>
    </xdr:to>
    <xdr:cxnSp macro="">
      <xdr:nvCxnSpPr>
        <xdr:cNvPr id="3" name="직선 연결선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9303" y="1457325"/>
          <a:ext cx="5295647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6</xdr:row>
      <xdr:rowOff>0</xdr:rowOff>
    </xdr:from>
    <xdr:to>
      <xdr:col>1</xdr:col>
      <xdr:colOff>2200275</xdr:colOff>
      <xdr:row>6</xdr:row>
      <xdr:rowOff>0</xdr:rowOff>
    </xdr:to>
    <xdr:cxnSp macro="">
      <xdr:nvCxnSpPr>
        <xdr:cNvPr id="9" name="직선 연결선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>
          <a:off x="19050" y="1771650"/>
          <a:ext cx="5305425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19303</xdr:colOff>
      <xdr:row>7</xdr:row>
      <xdr:rowOff>0</xdr:rowOff>
    </xdr:from>
    <xdr:to>
      <xdr:col>1</xdr:col>
      <xdr:colOff>2190750</xdr:colOff>
      <xdr:row>7</xdr:row>
      <xdr:rowOff>0</xdr:rowOff>
    </xdr:to>
    <xdr:cxnSp macro="">
      <xdr:nvCxnSpPr>
        <xdr:cNvPr id="10" name="직선 연결선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9303" y="2085975"/>
          <a:ext cx="5295647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8</xdr:row>
      <xdr:rowOff>10583</xdr:rowOff>
    </xdr:from>
    <xdr:to>
      <xdr:col>1</xdr:col>
      <xdr:colOff>2171447</xdr:colOff>
      <xdr:row>8</xdr:row>
      <xdr:rowOff>10583</xdr:rowOff>
    </xdr:to>
    <xdr:cxnSp macro="">
      <xdr:nvCxnSpPr>
        <xdr:cNvPr id="20" name="직선 연결선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/>
      </xdr:nvCxnSpPr>
      <xdr:spPr>
        <a:xfrm>
          <a:off x="0" y="2561166"/>
          <a:ext cx="4319864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506238</xdr:colOff>
      <xdr:row>4</xdr:row>
      <xdr:rowOff>43744</xdr:rowOff>
    </xdr:from>
    <xdr:to>
      <xdr:col>6</xdr:col>
      <xdr:colOff>435682</xdr:colOff>
      <xdr:row>5</xdr:row>
      <xdr:rowOff>284216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58238" y="1322211"/>
          <a:ext cx="1045985" cy="55373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_Team_Share/BMAIL/INBOX/HSOH/TEMP/IPG0696F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XLS\ALL-XLS\ULSAN\PRIC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028;&#47476;&#47476;\SITES\&#45453;&#54801;\&#45453;&#48124;&#49888;&#47928;\&#44204;&#51201;_&#45453;&#49888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work\2010&#45380;\&#45824;&#47548;I&amp;S\AP%20Controller&#44148;\&#50896;&#44032;&#48516;&#49437;_v1.0(Controller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51.141\1.%20&#54532;&#47196;&#51229;&#53944;\My_site(1-9)\KEB-2\2004\&#52264;&#49464;&#45824;\&#52264;&#49464;&#45824;&#44204;&#51201;(4-30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80;&#49688;&#50689;\&#54620;&#48731;%20&#49888;&#45348;&#53944;\&#54620;&#48731;%20&#50896;&#44032;&#48372;&#44256;(&#54889;9.19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861;&#49457;&#54984;\&#50980;&#49688;&#50689;\Windows\&#48148;&#53461;%20&#54868;&#47732;\&#54620;&#54868;&#51613;&#44428;\DR%20&#44396;&#52629;%20&#50896;&#44032;%20&#48372;&#44256;\&#54620;&#54868;%20DR%20&#50896;&#44032;%20&#48372;&#44256;(2002.6.1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WINDOWS\TEMP\ARC95PRC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pplement2"/>
      <sheetName val="주경기-오배수"/>
      <sheetName val="CHANNEL_DM"/>
    </sheetNames>
    <sheetDataSet>
      <sheetData sheetId="0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년차사용내역"/>
      <sheetName val="전기1과자료"/>
      <sheetName val="각서(교통사고)"/>
      <sheetName val="개별계획서"/>
      <sheetName val="공사내용"/>
      <sheetName val="증설CM보수"/>
      <sheetName val="용접기현황"/>
      <sheetName val="무전기"/>
      <sheetName val="경위서"/>
      <sheetName val="작업일지"/>
      <sheetName val="일지"/>
      <sheetName val="월간공정"/>
      <sheetName val="계측관리(가로)"/>
      <sheetName val="당직표"/>
      <sheetName val="안전관리과일지"/>
      <sheetName val="공사현황보고"/>
      <sheetName val="원가계산서"/>
      <sheetName val="금액총괄표"/>
      <sheetName val="금액내역서"/>
      <sheetName val="000000"/>
      <sheetName val="VXXXX"/>
      <sheetName val="단가표"/>
      <sheetName val="사급자재대"/>
      <sheetName val="단가비교"/>
      <sheetName val="4. 배관공사"/>
      <sheetName val="3.시운전비"/>
      <sheetName val="설치공사"/>
      <sheetName val="원가계산"/>
      <sheetName val="총괄내역"/>
      <sheetName val="일위대가표"/>
      <sheetName val="laroux"/>
      <sheetName val="단가조사서"/>
      <sheetName val="장비단가비교표"/>
      <sheetName val="일위대가목차"/>
      <sheetName val="일위대가"/>
      <sheetName val="산출서"/>
      <sheetName val="집계표"/>
      <sheetName val="SUPPORT산출서"/>
      <sheetName val="support집계"/>
      <sheetName val="WALKWAY 집계"/>
      <sheetName val="HOISTRAIL집계"/>
      <sheetName val="2공구관급"/>
      <sheetName val="2공구도급"/>
      <sheetName val="VXXXXXX"/>
      <sheetName val="내역서"/>
      <sheetName val="기자재단가"/>
      <sheetName val="배관단가"/>
      <sheetName val="단가구분"/>
      <sheetName val="PCODE"/>
      <sheetName val="인건비"/>
      <sheetName val="배관자재 단가조사서"/>
      <sheetName val="수량산출서"/>
      <sheetName val="산출내역"/>
      <sheetName val="토목"/>
      <sheetName val="품질관리비"/>
      <sheetName val="건축"/>
      <sheetName val="기계 "/>
      <sheetName val="연돌일위집계"/>
      <sheetName val="시운전비(계약직)"/>
      <sheetName val="침출배관"/>
      <sheetName val="약품공급2"/>
      <sheetName val="WORK"/>
      <sheetName val="ELECTRIC"/>
      <sheetName val="CTEMCOST"/>
      <sheetName val="SCHEDULE"/>
      <sheetName val="견적서"/>
      <sheetName val="결과조달"/>
      <sheetName val="실행철강하도"/>
      <sheetName val="?????"/>
      <sheetName val="내역"/>
      <sheetName val="정부노임단가"/>
      <sheetName val="EQT-ESTN"/>
      <sheetName val="설계"/>
      <sheetName val="#REF"/>
      <sheetName val="3.공통공사대비"/>
      <sheetName val="손익분석"/>
      <sheetName val="_____"/>
      <sheetName val="목표세부명세"/>
      <sheetName val="2000년1차"/>
      <sheetName val="¿ø°¡°è»ê¼­"/>
      <sheetName val="±Ý¾×ÃÑ°ýÇ¥"/>
      <sheetName val="±Ý¾×³»¿ª¼­"/>
      <sheetName val="´Ü°¡Á¶»ç¼­"/>
      <sheetName val="Àåºñ´Ü°¡ºñ±³Ç¥"/>
      <sheetName val="ÀÏÀ§´ë°¡¸ñÂ÷"/>
      <sheetName val="ÀÏÀ§´ë°¡"/>
      <sheetName val="»êÃâ¼­"/>
      <sheetName val="Áý°èÇ¥"/>
      <sheetName val="SUPPORT»êÃâ¼­"/>
      <sheetName val="supportÁý°è"/>
      <sheetName val="WALKWAY Áý°è"/>
      <sheetName val="HOISTRAILÁý°è"/>
      <sheetName val="2°ø±¸°ü±Þ"/>
      <sheetName val="2°ø±¸µµ±Þ"/>
      <sheetName val="³»¿ª¼­"/>
      <sheetName val="±âÀÚÀç´Ü°¡"/>
      <sheetName val="¹è°ü´Ü°¡"/>
      <sheetName val="ÀÏÀ§´ë°¡Ç¥"/>
      <sheetName val="´Ü°¡Ç¥"/>
      <sheetName val="´Ü°¡±¸ºÐ"/>
      <sheetName val="³âÂ÷»ç¿ë³»¿ª"/>
      <sheetName val="Àü±â1°úÀÚ·á"/>
      <sheetName val="°¢¼­(±³Åë»ç°í)"/>
      <sheetName val="°³º°°èÈ¹¼­"/>
      <sheetName val="°ø»ç³»¿ë"/>
      <sheetName val="Áõ¼³CMº¸¼ö"/>
      <sheetName val="¿ëÁ¢±âÇöÈ²"/>
      <sheetName val="¹«Àü±â"/>
      <sheetName val="°æÀ§¼­"/>
      <sheetName val="ÀÛ¾÷ÀÏÁö"/>
      <sheetName val="ÀÏÁö"/>
      <sheetName val="¿ù°£°øÁ¤"/>
      <sheetName val="°èÃø°ü¸®(°¡·Î)"/>
      <sheetName val="´çÁ÷Ç¥"/>
      <sheetName val="¾ÈÀü°ü¸®°úÀÏÁö"/>
      <sheetName val="°ø»çÇöÈ²º¸°í"/>
      <sheetName val="ÀÎ°Çºñ"/>
      <sheetName val="¹è°üÀÚÀç ´Ü°¡Á¶»ç¼­"/>
      <sheetName val="¼ö·®»êÃâ¼­"/>
      <sheetName val="»êÃâ³»¿ª"/>
      <sheetName val="Åä¸ñ"/>
      <sheetName val="Ç°Áú°ü¸®ºñ"/>
      <sheetName val="°ÇÃà"/>
      <sheetName val="±â°è "/>
      <sheetName val="¼³Ä¡°ø»ç"/>
      <sheetName val="»ç±ÞÀÚÀç´ë"/>
      <sheetName val="´Ü°¡ºñ±³"/>
      <sheetName val="4. ¹è°ü°ø»ç"/>
      <sheetName val="3.½Ã¿îÀüºñ"/>
      <sheetName val="¿ø°¡°è»ê"/>
      <sheetName val="ÃÑ°ý³»¿ª"/>
      <sheetName val="½Ã¿îÀüºñ(°è¾àÁ÷)"/>
      <sheetName val="Ä§Ãâ¹è°ü"/>
      <sheetName val="°á°úÁ¶´Þ"/>
      <sheetName val="½ÇÇàÃ¶°­ÇÏµµ"/>
      <sheetName val="¼³°è"/>
      <sheetName val="°ßÀû¼­"/>
      <sheetName val="¿¬µ¹ÀÏÀ§Áý°è"/>
      <sheetName val="예정(3)"/>
      <sheetName val="동원(3)"/>
      <sheetName val="단가"/>
      <sheetName val="건축내역"/>
      <sheetName val="PRICE"/>
      <sheetName val="밸브설치"/>
      <sheetName val="해전배수"/>
      <sheetName val="Supplemen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4">
          <cell r="D4" t="str">
            <v>대</v>
          </cell>
        </row>
        <row r="5">
          <cell r="D5" t="str">
            <v>대</v>
          </cell>
        </row>
        <row r="7">
          <cell r="D7" t="str">
            <v>대</v>
          </cell>
        </row>
        <row r="8">
          <cell r="D8" t="str">
            <v>대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ing1"/>
      <sheetName val="xxxxxx"/>
      <sheetName val="laroux"/>
      <sheetName val="농민신문사"/>
      <sheetName val="농민신문사 (2)"/>
      <sheetName val="농민신문사 (3)"/>
      <sheetName val="계약내역"/>
      <sheetName val="EQUIPMENT -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원가분석(Cisco)"/>
      <sheetName val="계추보"/>
    </sheetNames>
    <sheetDataSet>
      <sheetData sheetId="0">
        <row r="1">
          <cell r="N1">
            <v>0.57999999999999996</v>
          </cell>
        </row>
        <row r="2">
          <cell r="L2">
            <v>0.75</v>
          </cell>
        </row>
      </sheetData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총정리"/>
      <sheetName val="총정리 (원가분석)"/>
      <sheetName val="장비비 (네트컴)"/>
      <sheetName val="공사비(네트컴)"/>
      <sheetName val="Sheet1 (후지쯔)"/>
      <sheetName val="자재,노무비(후지쯔)"/>
      <sheetName val="Sheet1 (콤텍)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종합"/>
      <sheetName val="All Cisco"/>
      <sheetName val="PassPort-60%"/>
      <sheetName val="PassPort-70% "/>
      <sheetName val="PassPort-75%"/>
      <sheetName val="타사GSR"/>
      <sheetName val="시스코"/>
      <sheetName val="자재,노무비(후지쯔)"/>
      <sheetName val="Parameters"/>
      <sheetName val="Y-WORK"/>
      <sheetName val="실행내역서 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물량"/>
      <sheetName val="경쟁사 가격"/>
      <sheetName val="원가보고"/>
      <sheetName val="원가보고 (1300)"/>
      <sheetName val="원가보고 (1301)"/>
      <sheetName val="계약추진보고서"/>
      <sheetName val="계약추진보고서 (2)"/>
      <sheetName val="계약추진보고서 (3)"/>
      <sheetName val="견적서 표지"/>
      <sheetName val="세부내역"/>
      <sheetName val="세부내역 (2)"/>
      <sheetName val="세부내역(0604)"/>
      <sheetName val="가격 제출 공문"/>
      <sheetName val="EPro"/>
      <sheetName val="한화 DR 원가 보고(2002.6.1)"/>
      <sheetName val="#REF"/>
      <sheetName val="2월가격표"/>
      <sheetName val="PassPort-60%"/>
      <sheetName val="수주단가"/>
      <sheetName val="DATA"/>
      <sheetName val="데이타"/>
      <sheetName val="Sheet1"/>
      <sheetName val="HPrp5405- 4cp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grades pricing"/>
      <sheetName val="2.1 Reg Part Numbers"/>
      <sheetName val="2.2 Reg Part Numbers"/>
      <sheetName val="2.3 Reg Part Numbers"/>
      <sheetName val="2.1  pricing"/>
      <sheetName val="2.2  pricing"/>
      <sheetName val="2.3  pricing"/>
      <sheetName val="Upgradespricing"/>
      <sheetName val="list price"/>
      <sheetName val="OPT"/>
      <sheetName val="Start"/>
      <sheetName val="DATA"/>
      <sheetName val="PriceMaster"/>
      <sheetName val="inputarea_ref"/>
      <sheetName val="Uplift"/>
      <sheetName val="T진도"/>
      <sheetName val="ARC95PRC"/>
      <sheetName val="11월가격"/>
      <sheetName val="Option"/>
      <sheetName val="DWDM 10M+SEC"/>
      <sheetName val="KASHTEO"/>
      <sheetName val="경"/>
      <sheetName val="Server"/>
      <sheetName val="9월가격"/>
      <sheetName val="Supplement2"/>
      <sheetName val="기본계획"/>
      <sheetName val="노임"/>
      <sheetName val="인건-측정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4"/>
  <sheetViews>
    <sheetView zoomScale="90" zoomScaleNormal="90" workbookViewId="0">
      <selection activeCell="B9" sqref="B9"/>
    </sheetView>
  </sheetViews>
  <sheetFormatPr defaultColWidth="9" defaultRowHeight="17"/>
  <cols>
    <col min="1" max="1" width="28.08203125" style="12" customWidth="1"/>
    <col min="2" max="2" width="69.58203125" style="12" customWidth="1"/>
    <col min="3" max="4" width="7.5" style="12" customWidth="1"/>
    <col min="5" max="7" width="14.58203125" style="12" customWidth="1"/>
    <col min="8" max="8" width="13.5" style="12" bestFit="1" customWidth="1"/>
    <col min="9" max="9" width="14.58203125" style="12" bestFit="1" customWidth="1"/>
    <col min="10" max="10" width="11.83203125" style="12" bestFit="1" customWidth="1"/>
    <col min="11" max="16384" width="9" style="12"/>
  </cols>
  <sheetData>
    <row r="1" spans="1:10" ht="36">
      <c r="A1" s="119" t="s">
        <v>0</v>
      </c>
      <c r="B1" s="119"/>
      <c r="C1" s="119"/>
      <c r="D1" s="119"/>
      <c r="E1" s="119"/>
      <c r="F1" s="119"/>
      <c r="G1" s="119"/>
    </row>
    <row r="2" spans="1:10">
      <c r="A2" s="13"/>
      <c r="B2" s="14"/>
      <c r="C2" s="14"/>
      <c r="D2" s="13"/>
      <c r="E2" s="13"/>
      <c r="F2" s="13"/>
      <c r="G2" s="15"/>
    </row>
    <row r="3" spans="1:10" ht="30">
      <c r="A3" s="16"/>
      <c r="B3" s="13"/>
      <c r="C3" s="13"/>
      <c r="D3" s="13"/>
      <c r="E3" s="13"/>
      <c r="F3" s="13"/>
      <c r="G3" s="15"/>
    </row>
    <row r="4" spans="1:10">
      <c r="A4" s="13"/>
      <c r="B4" s="13"/>
      <c r="C4" s="13"/>
      <c r="D4" s="13"/>
      <c r="E4" s="13"/>
      <c r="F4" s="13"/>
      <c r="G4" s="15"/>
    </row>
    <row r="5" spans="1:10" ht="24.75" customHeight="1">
      <c r="A5" s="17" t="s">
        <v>1</v>
      </c>
      <c r="B5" s="48" t="s">
        <v>2</v>
      </c>
      <c r="C5" s="122" t="s">
        <v>3</v>
      </c>
      <c r="D5" s="123"/>
      <c r="E5" s="35" t="s">
        <v>4</v>
      </c>
      <c r="F5" s="20"/>
      <c r="G5" s="21"/>
    </row>
    <row r="6" spans="1:10" ht="25.4" customHeight="1">
      <c r="A6" s="17" t="s">
        <v>5</v>
      </c>
      <c r="B6" s="18"/>
      <c r="C6" s="122" t="s">
        <v>6</v>
      </c>
      <c r="D6" s="123"/>
      <c r="E6" s="35" t="s">
        <v>7</v>
      </c>
      <c r="F6" s="22"/>
      <c r="G6" s="23"/>
    </row>
    <row r="7" spans="1:10" ht="25.4" customHeight="1">
      <c r="A7" s="17" t="s">
        <v>8</v>
      </c>
      <c r="B7" s="18" t="s">
        <v>195</v>
      </c>
      <c r="C7" s="122" t="s">
        <v>9</v>
      </c>
      <c r="D7" s="123"/>
      <c r="E7" s="35" t="s">
        <v>10</v>
      </c>
      <c r="F7" s="19" t="s">
        <v>11</v>
      </c>
      <c r="G7" s="24" t="s">
        <v>12</v>
      </c>
    </row>
    <row r="8" spans="1:10" ht="25.4" customHeight="1">
      <c r="A8" s="17" t="s">
        <v>13</v>
      </c>
      <c r="B8" s="25">
        <v>45608</v>
      </c>
      <c r="C8" s="122" t="s">
        <v>14</v>
      </c>
      <c r="D8" s="123"/>
      <c r="E8" s="120" t="s">
        <v>15</v>
      </c>
      <c r="F8" s="120"/>
      <c r="G8" s="121"/>
    </row>
    <row r="9" spans="1:10" ht="10.4" customHeight="1">
      <c r="A9" s="2"/>
      <c r="B9" s="26"/>
      <c r="C9" s="35"/>
      <c r="D9" s="35"/>
      <c r="E9" s="27"/>
      <c r="F9" s="27"/>
      <c r="G9" s="27"/>
    </row>
    <row r="10" spans="1:10" ht="25.4" customHeight="1">
      <c r="A10" s="1" t="s">
        <v>16</v>
      </c>
      <c r="B10" s="5" t="str">
        <f>(""&amp;" " &amp; "일금 "&amp;NUMBERSTRING(F33,1)&amp;"원정"&amp;"  (￦")&amp;TEXT(F33,"#,##0)"&amp;" (VAT포함)")</f>
        <v xml:space="preserve"> 일금 이십구억삼천팔만원정  (￦2,930,080,000) (VAT포함)</v>
      </c>
      <c r="C10" s="6"/>
      <c r="D10" s="6"/>
      <c r="E10" s="6"/>
      <c r="F10" s="6"/>
      <c r="G10" s="7"/>
    </row>
    <row r="11" spans="1:10" ht="10.4" customHeight="1">
      <c r="A11" s="13"/>
      <c r="B11" s="13"/>
      <c r="C11" s="13"/>
      <c r="D11" s="13"/>
      <c r="E11" s="13"/>
      <c r="F11" s="13"/>
      <c r="G11" s="15"/>
    </row>
    <row r="12" spans="1:10" ht="25.4" customHeight="1">
      <c r="A12" s="3" t="s">
        <v>17</v>
      </c>
      <c r="B12" s="4" t="s">
        <v>18</v>
      </c>
      <c r="C12" s="4" t="s">
        <v>19</v>
      </c>
      <c r="D12" s="37" t="s">
        <v>20</v>
      </c>
      <c r="E12" s="38" t="s">
        <v>21</v>
      </c>
      <c r="F12" s="38" t="s">
        <v>22</v>
      </c>
      <c r="G12" s="39" t="s">
        <v>23</v>
      </c>
    </row>
    <row r="13" spans="1:10" ht="25.4" customHeight="1">
      <c r="A13" s="47"/>
      <c r="B13" s="44"/>
      <c r="C13" s="44"/>
      <c r="D13" s="44"/>
      <c r="E13" s="45"/>
      <c r="F13" s="45"/>
      <c r="G13" s="46"/>
    </row>
    <row r="14" spans="1:10" ht="20.149999999999999" customHeight="1">
      <c r="A14" s="40"/>
      <c r="B14" s="41"/>
      <c r="C14" s="41"/>
      <c r="D14" s="41"/>
      <c r="E14" s="41"/>
      <c r="F14" s="42"/>
      <c r="G14" s="43"/>
    </row>
    <row r="15" spans="1:10" ht="24.75" customHeight="1">
      <c r="A15" s="100" t="s">
        <v>24</v>
      </c>
      <c r="B15" s="51" t="s">
        <v>25</v>
      </c>
      <c r="C15" s="103">
        <v>1</v>
      </c>
      <c r="D15" s="106" t="s">
        <v>26</v>
      </c>
      <c r="E15" s="109">
        <f>상세내역!J81</f>
        <v>943600000</v>
      </c>
      <c r="F15" s="113">
        <f>C15*E15</f>
        <v>943600000</v>
      </c>
      <c r="G15" s="116" t="s">
        <v>27</v>
      </c>
      <c r="I15" s="52"/>
      <c r="J15" s="53"/>
    </row>
    <row r="16" spans="1:10" ht="24.75" customHeight="1">
      <c r="A16" s="101"/>
      <c r="B16" s="36" t="s">
        <v>28</v>
      </c>
      <c r="C16" s="104"/>
      <c r="D16" s="107"/>
      <c r="E16" s="110"/>
      <c r="F16" s="114"/>
      <c r="G16" s="117"/>
      <c r="I16" s="52"/>
      <c r="J16" s="53"/>
    </row>
    <row r="17" spans="1:10" ht="24.75" customHeight="1">
      <c r="A17" s="101"/>
      <c r="B17" s="51" t="s">
        <v>29</v>
      </c>
      <c r="C17" s="104"/>
      <c r="D17" s="107"/>
      <c r="E17" s="110"/>
      <c r="F17" s="114"/>
      <c r="G17" s="117"/>
      <c r="H17" s="49"/>
      <c r="I17" s="52"/>
      <c r="J17" s="53"/>
    </row>
    <row r="18" spans="1:10" ht="24.75" customHeight="1">
      <c r="A18" s="101"/>
      <c r="B18" s="51" t="s">
        <v>30</v>
      </c>
      <c r="C18" s="104"/>
      <c r="D18" s="107"/>
      <c r="E18" s="110"/>
      <c r="F18" s="114"/>
      <c r="G18" s="117"/>
      <c r="H18" s="49"/>
      <c r="I18" s="52"/>
      <c r="J18" s="53"/>
    </row>
    <row r="19" spans="1:10" ht="24.75" customHeight="1">
      <c r="A19" s="102"/>
      <c r="B19" s="51" t="s">
        <v>31</v>
      </c>
      <c r="C19" s="105"/>
      <c r="D19" s="108"/>
      <c r="E19" s="111"/>
      <c r="F19" s="115"/>
      <c r="G19" s="117"/>
      <c r="H19" s="49"/>
      <c r="I19" s="52"/>
      <c r="J19" s="53"/>
    </row>
    <row r="20" spans="1:10" ht="24.75" customHeight="1">
      <c r="A20" s="100" t="s">
        <v>32</v>
      </c>
      <c r="B20" s="51" t="s">
        <v>25</v>
      </c>
      <c r="C20" s="103">
        <v>1</v>
      </c>
      <c r="D20" s="106" t="s">
        <v>26</v>
      </c>
      <c r="E20" s="109">
        <f>상세내역!K81</f>
        <v>968250000</v>
      </c>
      <c r="F20" s="113">
        <f>C20*E20</f>
        <v>968250000</v>
      </c>
      <c r="G20" s="117"/>
      <c r="I20" s="52"/>
      <c r="J20" s="53"/>
    </row>
    <row r="21" spans="1:10" ht="24.75" customHeight="1">
      <c r="A21" s="101"/>
      <c r="B21" s="36" t="s">
        <v>28</v>
      </c>
      <c r="C21" s="104"/>
      <c r="D21" s="107"/>
      <c r="E21" s="110"/>
      <c r="F21" s="114"/>
      <c r="G21" s="117"/>
      <c r="I21" s="52"/>
      <c r="J21" s="53"/>
    </row>
    <row r="22" spans="1:10" ht="24.75" customHeight="1">
      <c r="A22" s="101"/>
      <c r="B22" s="51" t="s">
        <v>29</v>
      </c>
      <c r="C22" s="104"/>
      <c r="D22" s="107"/>
      <c r="E22" s="110"/>
      <c r="F22" s="114"/>
      <c r="G22" s="117"/>
      <c r="H22" s="49"/>
      <c r="I22" s="52"/>
      <c r="J22" s="53"/>
    </row>
    <row r="23" spans="1:10" ht="24.75" customHeight="1">
      <c r="A23" s="101"/>
      <c r="B23" s="51" t="s">
        <v>30</v>
      </c>
      <c r="C23" s="104"/>
      <c r="D23" s="107"/>
      <c r="E23" s="110"/>
      <c r="F23" s="114"/>
      <c r="G23" s="117"/>
      <c r="H23" s="49"/>
      <c r="I23" s="52"/>
      <c r="J23" s="53"/>
    </row>
    <row r="24" spans="1:10" ht="24.75" customHeight="1">
      <c r="A24" s="102"/>
      <c r="B24" s="51" t="s">
        <v>31</v>
      </c>
      <c r="C24" s="105"/>
      <c r="D24" s="108"/>
      <c r="E24" s="111"/>
      <c r="F24" s="115"/>
      <c r="G24" s="117"/>
      <c r="H24" s="49"/>
      <c r="I24" s="52"/>
      <c r="J24" s="53"/>
    </row>
    <row r="25" spans="1:10" ht="24.75" customHeight="1">
      <c r="A25" s="100" t="s">
        <v>33</v>
      </c>
      <c r="B25" s="51" t="s">
        <v>25</v>
      </c>
      <c r="C25" s="103">
        <v>1</v>
      </c>
      <c r="D25" s="106" t="s">
        <v>26</v>
      </c>
      <c r="E25" s="109">
        <f>상세내역!L81</f>
        <v>969720000</v>
      </c>
      <c r="F25" s="113">
        <f>C25*E25</f>
        <v>969720000</v>
      </c>
      <c r="G25" s="117"/>
      <c r="I25" s="52"/>
      <c r="J25" s="53"/>
    </row>
    <row r="26" spans="1:10" ht="24.75" customHeight="1">
      <c r="A26" s="101"/>
      <c r="B26" s="36" t="s">
        <v>28</v>
      </c>
      <c r="C26" s="104"/>
      <c r="D26" s="107"/>
      <c r="E26" s="110"/>
      <c r="F26" s="114"/>
      <c r="G26" s="117"/>
      <c r="I26" s="52"/>
      <c r="J26" s="53"/>
    </row>
    <row r="27" spans="1:10" ht="24.75" customHeight="1">
      <c r="A27" s="101"/>
      <c r="B27" s="51" t="s">
        <v>29</v>
      </c>
      <c r="C27" s="104"/>
      <c r="D27" s="107"/>
      <c r="E27" s="110"/>
      <c r="F27" s="114"/>
      <c r="G27" s="117"/>
      <c r="H27" s="49"/>
      <c r="I27" s="52"/>
      <c r="J27" s="53"/>
    </row>
    <row r="28" spans="1:10" ht="24.75" customHeight="1">
      <c r="A28" s="101"/>
      <c r="B28" s="51" t="s">
        <v>30</v>
      </c>
      <c r="C28" s="104"/>
      <c r="D28" s="107"/>
      <c r="E28" s="110"/>
      <c r="F28" s="114"/>
      <c r="G28" s="117"/>
      <c r="H28" s="49"/>
      <c r="I28" s="52"/>
      <c r="J28" s="53"/>
    </row>
    <row r="29" spans="1:10" ht="24.75" customHeight="1">
      <c r="A29" s="102"/>
      <c r="B29" s="51" t="s">
        <v>31</v>
      </c>
      <c r="C29" s="105"/>
      <c r="D29" s="108"/>
      <c r="E29" s="111"/>
      <c r="F29" s="115"/>
      <c r="G29" s="117"/>
      <c r="H29" s="49"/>
      <c r="I29" s="52"/>
      <c r="J29" s="53"/>
    </row>
    <row r="30" spans="1:10" ht="24.75" customHeight="1">
      <c r="A30" s="100" t="s">
        <v>34</v>
      </c>
      <c r="B30" s="51" t="s">
        <v>35</v>
      </c>
      <c r="C30" s="55">
        <v>15</v>
      </c>
      <c r="D30" s="57" t="s">
        <v>36</v>
      </c>
      <c r="E30" s="59">
        <f>상세내역!I78</f>
        <v>1100000</v>
      </c>
      <c r="F30" s="61">
        <f>C30*E30</f>
        <v>16500000</v>
      </c>
      <c r="G30" s="117"/>
      <c r="H30" s="49"/>
      <c r="I30" s="52"/>
      <c r="J30" s="53"/>
    </row>
    <row r="31" spans="1:10" ht="24.75" customHeight="1">
      <c r="A31" s="101"/>
      <c r="B31" s="51" t="s">
        <v>37</v>
      </c>
      <c r="C31" s="64">
        <v>30</v>
      </c>
      <c r="D31" s="65" t="s">
        <v>36</v>
      </c>
      <c r="E31" s="62">
        <f>상세내역!I79</f>
        <v>800000</v>
      </c>
      <c r="F31" s="63">
        <f t="shared" ref="F31:F32" si="0">C31*E31</f>
        <v>24000000</v>
      </c>
      <c r="G31" s="117"/>
      <c r="H31" s="49"/>
      <c r="I31" s="52"/>
      <c r="J31" s="53"/>
    </row>
    <row r="32" spans="1:10" ht="24.75" customHeight="1">
      <c r="A32" s="112"/>
      <c r="B32" s="51" t="s">
        <v>38</v>
      </c>
      <c r="C32" s="56">
        <v>15</v>
      </c>
      <c r="D32" s="58" t="s">
        <v>36</v>
      </c>
      <c r="E32" s="60">
        <f>상세내역!I80</f>
        <v>534000</v>
      </c>
      <c r="F32" s="61">
        <f t="shared" si="0"/>
        <v>8010000</v>
      </c>
      <c r="G32" s="118"/>
      <c r="H32" s="49"/>
      <c r="I32" s="52"/>
      <c r="J32" s="53"/>
    </row>
    <row r="33" spans="1:11" ht="25" customHeight="1">
      <c r="A33" s="97" t="s">
        <v>39</v>
      </c>
      <c r="B33" s="98"/>
      <c r="C33" s="98"/>
      <c r="D33" s="98"/>
      <c r="E33" s="99"/>
      <c r="F33" s="50">
        <f>SUM(F15:F32)</f>
        <v>2930080000</v>
      </c>
      <c r="G33" s="8" t="s">
        <v>40</v>
      </c>
      <c r="I33" s="52"/>
      <c r="J33" s="53"/>
      <c r="K33" s="54"/>
    </row>
    <row r="34" spans="1:11" ht="10.4" customHeight="1">
      <c r="A34" s="33"/>
      <c r="B34" s="33"/>
      <c r="C34" s="33"/>
      <c r="D34" s="33"/>
      <c r="E34" s="33"/>
      <c r="F34" s="33"/>
      <c r="G34" s="34"/>
      <c r="I34" s="53"/>
    </row>
    <row r="35" spans="1:11" ht="8.15" customHeight="1">
      <c r="A35" s="20"/>
      <c r="B35" s="27"/>
      <c r="C35" s="27"/>
      <c r="D35" s="27"/>
      <c r="E35" s="27"/>
      <c r="F35" s="27"/>
      <c r="G35" s="21"/>
    </row>
    <row r="36" spans="1:11">
      <c r="A36" s="28" t="s">
        <v>41</v>
      </c>
      <c r="B36" s="11"/>
      <c r="C36" s="9" t="s">
        <v>42</v>
      </c>
      <c r="D36" s="9"/>
      <c r="E36" s="11"/>
      <c r="F36" s="11"/>
      <c r="G36" s="29"/>
    </row>
    <row r="37" spans="1:11">
      <c r="A37" s="32" t="s">
        <v>43</v>
      </c>
      <c r="B37" s="11"/>
      <c r="C37" s="10" t="s">
        <v>44</v>
      </c>
      <c r="D37" s="10"/>
      <c r="E37" s="11"/>
      <c r="F37" s="11"/>
      <c r="G37" s="29"/>
    </row>
    <row r="38" spans="1:11">
      <c r="A38" s="32" t="s">
        <v>45</v>
      </c>
      <c r="B38" s="11"/>
      <c r="C38" s="11" t="s">
        <v>46</v>
      </c>
      <c r="D38" s="11"/>
      <c r="E38" s="11"/>
      <c r="F38" s="11"/>
      <c r="G38" s="29"/>
    </row>
    <row r="39" spans="1:11">
      <c r="A39" s="32" t="s">
        <v>47</v>
      </c>
      <c r="B39" s="11"/>
      <c r="C39" s="11" t="s">
        <v>48</v>
      </c>
      <c r="D39" s="11"/>
      <c r="E39" s="11"/>
      <c r="F39" s="11"/>
      <c r="G39" s="29"/>
    </row>
    <row r="40" spans="1:11">
      <c r="A40" s="32" t="s">
        <v>49</v>
      </c>
      <c r="B40" s="11"/>
      <c r="C40" s="11"/>
      <c r="D40" s="11"/>
      <c r="E40" s="11"/>
      <c r="F40" s="11"/>
      <c r="G40" s="30"/>
    </row>
    <row r="41" spans="1:11">
      <c r="A41" s="32" t="s">
        <v>50</v>
      </c>
      <c r="B41" s="11"/>
      <c r="C41" s="11"/>
      <c r="D41" s="11"/>
      <c r="E41" s="11"/>
      <c r="F41" s="11"/>
      <c r="G41" s="30"/>
    </row>
    <row r="42" spans="1:11">
      <c r="A42" s="32"/>
      <c r="B42" s="11"/>
      <c r="C42" s="11"/>
      <c r="D42" s="11"/>
      <c r="E42" s="11"/>
      <c r="F42" s="11"/>
      <c r="G42" s="30"/>
    </row>
    <row r="43" spans="1:11">
      <c r="A43" s="32"/>
      <c r="B43" s="11"/>
      <c r="C43" s="11"/>
      <c r="D43" s="11"/>
      <c r="E43" s="11"/>
      <c r="F43" s="11"/>
      <c r="G43" s="30"/>
    </row>
    <row r="44" spans="1:11">
      <c r="A44" s="32"/>
      <c r="B44" s="11"/>
      <c r="C44" s="11"/>
      <c r="D44" s="11"/>
      <c r="E44" s="11"/>
      <c r="F44" s="11"/>
      <c r="G44" s="30"/>
    </row>
    <row r="45" spans="1:11">
      <c r="A45" s="32"/>
      <c r="B45" s="11"/>
      <c r="C45" s="11"/>
      <c r="D45" s="11"/>
      <c r="E45" s="11"/>
      <c r="F45" s="11"/>
      <c r="G45" s="30"/>
    </row>
    <row r="46" spans="1:11">
      <c r="A46" s="32"/>
      <c r="B46" s="11"/>
      <c r="C46" s="11"/>
      <c r="D46" s="11"/>
      <c r="E46" s="11"/>
      <c r="F46" s="11"/>
      <c r="G46" s="30"/>
    </row>
    <row r="47" spans="1:11">
      <c r="A47" s="32"/>
      <c r="B47" s="11"/>
      <c r="C47" s="11"/>
      <c r="D47" s="11"/>
      <c r="E47" s="11"/>
      <c r="F47" s="11"/>
      <c r="G47" s="30"/>
    </row>
    <row r="48" spans="1:11">
      <c r="A48" s="32"/>
      <c r="B48" s="11"/>
      <c r="C48" s="11"/>
      <c r="D48" s="11"/>
      <c r="E48" s="11"/>
      <c r="F48" s="11"/>
      <c r="G48" s="30"/>
    </row>
    <row r="49" spans="1:7">
      <c r="A49" s="32"/>
      <c r="B49" s="11"/>
      <c r="C49" s="11"/>
      <c r="D49" s="11"/>
      <c r="E49" s="11"/>
      <c r="F49" s="11"/>
      <c r="G49" s="30"/>
    </row>
    <row r="50" spans="1:7">
      <c r="A50" s="32"/>
      <c r="B50" s="11"/>
      <c r="C50" s="11"/>
      <c r="D50" s="11"/>
      <c r="E50" s="11"/>
      <c r="F50" s="11"/>
      <c r="G50" s="30"/>
    </row>
    <row r="51" spans="1:7">
      <c r="A51" s="32"/>
      <c r="B51" s="11"/>
      <c r="C51" s="11"/>
      <c r="D51" s="11"/>
      <c r="E51" s="11"/>
      <c r="F51" s="11"/>
      <c r="G51" s="30"/>
    </row>
    <row r="52" spans="1:7">
      <c r="A52" s="32"/>
      <c r="B52" s="11"/>
      <c r="C52" s="11"/>
      <c r="D52" s="11"/>
      <c r="E52" s="11"/>
      <c r="F52" s="11"/>
      <c r="G52" s="30"/>
    </row>
    <row r="53" spans="1:7">
      <c r="A53" s="32"/>
      <c r="B53" s="11"/>
      <c r="C53" s="11"/>
      <c r="D53" s="11"/>
      <c r="E53" s="11"/>
      <c r="F53" s="11"/>
      <c r="G53" s="30"/>
    </row>
    <row r="54" spans="1:7">
      <c r="A54" s="22"/>
      <c r="B54" s="31"/>
      <c r="C54" s="31"/>
      <c r="D54" s="31"/>
      <c r="E54" s="31"/>
      <c r="F54" s="31"/>
      <c r="G54" s="23"/>
    </row>
  </sheetData>
  <mergeCells count="24">
    <mergeCell ref="F20:F24"/>
    <mergeCell ref="G15:G32"/>
    <mergeCell ref="F15:F19"/>
    <mergeCell ref="F25:F29"/>
    <mergeCell ref="A1:G1"/>
    <mergeCell ref="E8:G8"/>
    <mergeCell ref="C5:D5"/>
    <mergeCell ref="C6:D6"/>
    <mergeCell ref="C7:D7"/>
    <mergeCell ref="C8:D8"/>
    <mergeCell ref="A33:E33"/>
    <mergeCell ref="A15:A19"/>
    <mergeCell ref="C15:C19"/>
    <mergeCell ref="D15:D19"/>
    <mergeCell ref="E15:E19"/>
    <mergeCell ref="A30:A32"/>
    <mergeCell ref="A25:A29"/>
    <mergeCell ref="C25:C29"/>
    <mergeCell ref="D25:D29"/>
    <mergeCell ref="E25:E29"/>
    <mergeCell ref="A20:A24"/>
    <mergeCell ref="C20:C24"/>
    <mergeCell ref="D20:D24"/>
    <mergeCell ref="E20:E24"/>
  </mergeCells>
  <phoneticPr fontId="42" type="noConversion"/>
  <pageMargins left="0.7" right="0.7" top="0.75" bottom="0.75" header="0.3" footer="0.3"/>
  <pageSetup paperSize="9" scale="5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33759-7C6D-4BF8-A460-73C3D35E5BED}">
  <sheetPr>
    <pageSetUpPr fitToPage="1"/>
  </sheetPr>
  <dimension ref="A2:R85"/>
  <sheetViews>
    <sheetView tabSelected="1" view="pageBreakPreview" topLeftCell="A47" zoomScale="70" zoomScaleNormal="100" zoomScaleSheetLayoutView="70" workbookViewId="0">
      <selection activeCell="L88" sqref="L88"/>
    </sheetView>
  </sheetViews>
  <sheetFormatPr defaultRowHeight="17"/>
  <cols>
    <col min="3" max="3" width="22.75" bestFit="1" customWidth="1"/>
    <col min="4" max="4" width="16.58203125" bestFit="1" customWidth="1"/>
    <col min="5" max="5" width="22.83203125" bestFit="1" customWidth="1"/>
    <col min="7" max="7" width="14" bestFit="1" customWidth="1"/>
    <col min="9" max="9" width="14.83203125" bestFit="1" customWidth="1"/>
    <col min="10" max="13" width="16.58203125" bestFit="1" customWidth="1"/>
    <col min="14" max="14" width="21.25" style="82" bestFit="1" customWidth="1"/>
  </cols>
  <sheetData>
    <row r="2" spans="1:14" ht="21">
      <c r="A2" s="66" t="s">
        <v>100</v>
      </c>
      <c r="B2" s="67"/>
      <c r="C2" s="67"/>
      <c r="D2" s="68"/>
      <c r="E2" s="68"/>
      <c r="F2" s="68"/>
      <c r="G2" s="67"/>
      <c r="H2" s="68"/>
      <c r="I2" s="68"/>
      <c r="J2" s="68"/>
      <c r="K2" s="68"/>
      <c r="L2" s="68"/>
      <c r="M2" s="68"/>
      <c r="N2" s="67"/>
    </row>
    <row r="3" spans="1:14">
      <c r="A3" s="67"/>
      <c r="B3" s="67"/>
      <c r="C3" s="67"/>
      <c r="D3" s="68"/>
      <c r="E3" s="68"/>
      <c r="F3" s="68"/>
      <c r="G3" s="67"/>
      <c r="H3" s="68"/>
      <c r="I3" s="68"/>
      <c r="J3" s="68"/>
      <c r="K3" s="68"/>
      <c r="L3" s="68"/>
      <c r="M3" s="68"/>
      <c r="N3" s="67"/>
    </row>
    <row r="4" spans="1:14" ht="34">
      <c r="A4" s="69" t="s">
        <v>51</v>
      </c>
      <c r="B4" s="69" t="s">
        <v>101</v>
      </c>
      <c r="C4" s="69" t="s">
        <v>52</v>
      </c>
      <c r="D4" s="69" t="s">
        <v>53</v>
      </c>
      <c r="E4" s="69" t="s">
        <v>102</v>
      </c>
      <c r="F4" s="69" t="s">
        <v>19</v>
      </c>
      <c r="G4" s="69" t="s">
        <v>103</v>
      </c>
      <c r="H4" s="69" t="s">
        <v>104</v>
      </c>
      <c r="I4" s="69" t="s">
        <v>105</v>
      </c>
      <c r="J4" s="70" t="s">
        <v>106</v>
      </c>
      <c r="K4" s="70" t="s">
        <v>107</v>
      </c>
      <c r="L4" s="70" t="s">
        <v>108</v>
      </c>
      <c r="M4" s="69" t="s">
        <v>99</v>
      </c>
      <c r="N4" s="69" t="s">
        <v>109</v>
      </c>
    </row>
    <row r="5" spans="1:14">
      <c r="A5" s="71">
        <v>1</v>
      </c>
      <c r="B5" s="71" t="s">
        <v>110</v>
      </c>
      <c r="C5" s="71" t="s">
        <v>64</v>
      </c>
      <c r="D5" s="72" t="s">
        <v>87</v>
      </c>
      <c r="E5" s="72" t="s">
        <v>65</v>
      </c>
      <c r="F5" s="73">
        <v>2</v>
      </c>
      <c r="G5" s="71" t="s">
        <v>111</v>
      </c>
      <c r="H5" s="74">
        <v>36</v>
      </c>
      <c r="I5" s="73">
        <v>80000</v>
      </c>
      <c r="J5" s="73">
        <f>I5*12</f>
        <v>960000</v>
      </c>
      <c r="K5" s="73">
        <f>I5*12</f>
        <v>960000</v>
      </c>
      <c r="L5" s="73">
        <f>I5*12</f>
        <v>960000</v>
      </c>
      <c r="M5" s="73">
        <f>SUM(J5:L5)</f>
        <v>2880000</v>
      </c>
      <c r="N5" s="71"/>
    </row>
    <row r="6" spans="1:14">
      <c r="A6" s="71">
        <v>2</v>
      </c>
      <c r="B6" s="71" t="s">
        <v>110</v>
      </c>
      <c r="C6" s="71" t="s">
        <v>90</v>
      </c>
      <c r="D6" s="72" t="s">
        <v>87</v>
      </c>
      <c r="E6" s="72" t="s">
        <v>112</v>
      </c>
      <c r="F6" s="73">
        <v>2</v>
      </c>
      <c r="G6" s="71" t="s">
        <v>111</v>
      </c>
      <c r="H6" s="74">
        <v>36</v>
      </c>
      <c r="I6" s="73">
        <v>10000</v>
      </c>
      <c r="J6" s="73">
        <f>I6*12</f>
        <v>120000</v>
      </c>
      <c r="K6" s="73">
        <f>I6*12</f>
        <v>120000</v>
      </c>
      <c r="L6" s="73">
        <f>I6*12</f>
        <v>120000</v>
      </c>
      <c r="M6" s="73">
        <f>SUM(J6:L6)</f>
        <v>360000</v>
      </c>
      <c r="N6" s="71"/>
    </row>
    <row r="7" spans="1:14">
      <c r="A7" s="71">
        <v>3</v>
      </c>
      <c r="B7" s="71" t="s">
        <v>110</v>
      </c>
      <c r="C7" s="71" t="s">
        <v>90</v>
      </c>
      <c r="D7" s="72" t="s">
        <v>87</v>
      </c>
      <c r="E7" s="72" t="s">
        <v>113</v>
      </c>
      <c r="F7" s="73">
        <v>87</v>
      </c>
      <c r="G7" s="71" t="s">
        <v>111</v>
      </c>
      <c r="H7" s="74">
        <v>36</v>
      </c>
      <c r="I7" s="73">
        <v>260000</v>
      </c>
      <c r="J7" s="73">
        <f t="shared" ref="J7:J70" si="0">I7*12</f>
        <v>3120000</v>
      </c>
      <c r="K7" s="73">
        <f t="shared" ref="K7:K14" si="1">I7*12</f>
        <v>3120000</v>
      </c>
      <c r="L7" s="73">
        <f t="shared" ref="L7:L14" si="2">I7*12</f>
        <v>3120000</v>
      </c>
      <c r="M7" s="73">
        <f t="shared" ref="M7:M15" si="3">SUM(J7:L7)</f>
        <v>9360000</v>
      </c>
      <c r="N7" s="71"/>
    </row>
    <row r="8" spans="1:14">
      <c r="A8" s="71">
        <v>4</v>
      </c>
      <c r="B8" s="71" t="s">
        <v>110</v>
      </c>
      <c r="C8" s="71" t="s">
        <v>90</v>
      </c>
      <c r="D8" s="72" t="s">
        <v>87</v>
      </c>
      <c r="E8" s="72" t="s">
        <v>114</v>
      </c>
      <c r="F8" s="73">
        <v>1</v>
      </c>
      <c r="G8" s="71" t="s">
        <v>111</v>
      </c>
      <c r="H8" s="74">
        <v>36</v>
      </c>
      <c r="I8" s="73">
        <v>10000</v>
      </c>
      <c r="J8" s="73">
        <f t="shared" si="0"/>
        <v>120000</v>
      </c>
      <c r="K8" s="73">
        <f t="shared" si="1"/>
        <v>120000</v>
      </c>
      <c r="L8" s="73">
        <f t="shared" si="2"/>
        <v>120000</v>
      </c>
      <c r="M8" s="73">
        <f t="shared" si="3"/>
        <v>360000</v>
      </c>
      <c r="N8" s="71"/>
    </row>
    <row r="9" spans="1:14">
      <c r="A9" s="71">
        <v>5</v>
      </c>
      <c r="B9" s="71" t="s">
        <v>110</v>
      </c>
      <c r="C9" s="71" t="s">
        <v>90</v>
      </c>
      <c r="D9" s="72" t="s">
        <v>87</v>
      </c>
      <c r="E9" s="72" t="s">
        <v>115</v>
      </c>
      <c r="F9" s="73">
        <v>35</v>
      </c>
      <c r="G9" s="71" t="s">
        <v>111</v>
      </c>
      <c r="H9" s="74">
        <v>36</v>
      </c>
      <c r="I9" s="73">
        <v>110000</v>
      </c>
      <c r="J9" s="73">
        <f t="shared" si="0"/>
        <v>1320000</v>
      </c>
      <c r="K9" s="73">
        <f t="shared" si="1"/>
        <v>1320000</v>
      </c>
      <c r="L9" s="73">
        <f t="shared" si="2"/>
        <v>1320000</v>
      </c>
      <c r="M9" s="73">
        <f t="shared" si="3"/>
        <v>3960000</v>
      </c>
      <c r="N9" s="71"/>
    </row>
    <row r="10" spans="1:14">
      <c r="A10" s="94">
        <v>6</v>
      </c>
      <c r="B10" s="94" t="s">
        <v>110</v>
      </c>
      <c r="C10" s="94" t="s">
        <v>90</v>
      </c>
      <c r="D10" s="95" t="s">
        <v>87</v>
      </c>
      <c r="E10" s="95" t="s">
        <v>116</v>
      </c>
      <c r="F10" s="77">
        <v>327</v>
      </c>
      <c r="G10" s="94" t="s">
        <v>111</v>
      </c>
      <c r="H10" s="76">
        <v>36</v>
      </c>
      <c r="I10" s="77">
        <v>1250000</v>
      </c>
      <c r="J10" s="77">
        <f t="shared" si="0"/>
        <v>15000000</v>
      </c>
      <c r="K10" s="77">
        <v>12000000</v>
      </c>
      <c r="L10" s="77">
        <v>12000000</v>
      </c>
      <c r="M10" s="77">
        <f t="shared" si="3"/>
        <v>39000000</v>
      </c>
      <c r="N10" s="96" t="s">
        <v>182</v>
      </c>
    </row>
    <row r="11" spans="1:14">
      <c r="A11" s="71">
        <v>7</v>
      </c>
      <c r="B11" s="71" t="s">
        <v>110</v>
      </c>
      <c r="C11" s="71" t="s">
        <v>90</v>
      </c>
      <c r="D11" s="72" t="s">
        <v>87</v>
      </c>
      <c r="E11" s="72" t="s">
        <v>117</v>
      </c>
      <c r="F11" s="73">
        <v>14</v>
      </c>
      <c r="G11" s="71" t="s">
        <v>111</v>
      </c>
      <c r="H11" s="74">
        <v>36</v>
      </c>
      <c r="I11" s="73">
        <v>170000</v>
      </c>
      <c r="J11" s="73">
        <f t="shared" si="0"/>
        <v>2040000</v>
      </c>
      <c r="K11" s="73">
        <f t="shared" si="1"/>
        <v>2040000</v>
      </c>
      <c r="L11" s="73">
        <f t="shared" si="2"/>
        <v>2040000</v>
      </c>
      <c r="M11" s="73">
        <f t="shared" si="3"/>
        <v>6120000</v>
      </c>
      <c r="N11" s="71"/>
    </row>
    <row r="12" spans="1:14">
      <c r="A12" s="71">
        <v>8</v>
      </c>
      <c r="B12" s="71" t="s">
        <v>110</v>
      </c>
      <c r="C12" s="71" t="s">
        <v>90</v>
      </c>
      <c r="D12" s="72" t="s">
        <v>87</v>
      </c>
      <c r="E12" s="72" t="s">
        <v>118</v>
      </c>
      <c r="F12" s="73">
        <v>26</v>
      </c>
      <c r="G12" s="71" t="s">
        <v>111</v>
      </c>
      <c r="H12" s="74">
        <v>36</v>
      </c>
      <c r="I12" s="73">
        <v>260000</v>
      </c>
      <c r="J12" s="73">
        <f t="shared" si="0"/>
        <v>3120000</v>
      </c>
      <c r="K12" s="73">
        <f t="shared" si="1"/>
        <v>3120000</v>
      </c>
      <c r="L12" s="73">
        <f t="shared" si="2"/>
        <v>3120000</v>
      </c>
      <c r="M12" s="73">
        <f t="shared" si="3"/>
        <v>9360000</v>
      </c>
      <c r="N12" s="71"/>
    </row>
    <row r="13" spans="1:14">
      <c r="A13" s="71">
        <v>9</v>
      </c>
      <c r="B13" s="71" t="s">
        <v>110</v>
      </c>
      <c r="C13" s="71" t="s">
        <v>90</v>
      </c>
      <c r="D13" s="72" t="s">
        <v>87</v>
      </c>
      <c r="E13" s="72" t="s">
        <v>119</v>
      </c>
      <c r="F13" s="73">
        <v>16</v>
      </c>
      <c r="G13" s="71" t="s">
        <v>111</v>
      </c>
      <c r="H13" s="74">
        <v>36</v>
      </c>
      <c r="I13" s="73">
        <v>160000</v>
      </c>
      <c r="J13" s="73">
        <f t="shared" si="0"/>
        <v>1920000</v>
      </c>
      <c r="K13" s="73">
        <f t="shared" si="1"/>
        <v>1920000</v>
      </c>
      <c r="L13" s="73">
        <f t="shared" si="2"/>
        <v>1920000</v>
      </c>
      <c r="M13" s="73">
        <f t="shared" si="3"/>
        <v>5760000</v>
      </c>
      <c r="N13" s="71"/>
    </row>
    <row r="14" spans="1:14">
      <c r="A14" s="71">
        <v>10</v>
      </c>
      <c r="B14" s="71" t="s">
        <v>110</v>
      </c>
      <c r="C14" s="71" t="s">
        <v>90</v>
      </c>
      <c r="D14" s="72" t="s">
        <v>87</v>
      </c>
      <c r="E14" s="72" t="s">
        <v>120</v>
      </c>
      <c r="F14" s="75">
        <v>25</v>
      </c>
      <c r="G14" s="71" t="s">
        <v>111</v>
      </c>
      <c r="H14" s="74">
        <v>36</v>
      </c>
      <c r="I14" s="73">
        <v>150000</v>
      </c>
      <c r="J14" s="73">
        <f t="shared" si="0"/>
        <v>1800000</v>
      </c>
      <c r="K14" s="73">
        <f t="shared" si="1"/>
        <v>1800000</v>
      </c>
      <c r="L14" s="73">
        <f t="shared" si="2"/>
        <v>1800000</v>
      </c>
      <c r="M14" s="73">
        <f t="shared" si="3"/>
        <v>5400000</v>
      </c>
      <c r="N14" s="71"/>
    </row>
    <row r="15" spans="1:14">
      <c r="A15" s="94">
        <v>11</v>
      </c>
      <c r="B15" s="94" t="s">
        <v>110</v>
      </c>
      <c r="C15" s="94" t="s">
        <v>90</v>
      </c>
      <c r="D15" s="95" t="s">
        <v>87</v>
      </c>
      <c r="E15" s="95" t="s">
        <v>121</v>
      </c>
      <c r="F15" s="77">
        <v>0</v>
      </c>
      <c r="G15" s="94" t="s">
        <v>111</v>
      </c>
      <c r="H15" s="76">
        <v>12</v>
      </c>
      <c r="I15" s="77">
        <v>20000</v>
      </c>
      <c r="J15" s="77">
        <f t="shared" si="0"/>
        <v>240000</v>
      </c>
      <c r="K15" s="77"/>
      <c r="L15" s="77"/>
      <c r="M15" s="77">
        <f t="shared" si="3"/>
        <v>240000</v>
      </c>
      <c r="N15" s="96" t="s">
        <v>183</v>
      </c>
    </row>
    <row r="16" spans="1:14">
      <c r="A16" s="71">
        <v>12</v>
      </c>
      <c r="B16" s="71" t="s">
        <v>110</v>
      </c>
      <c r="C16" s="71" t="s">
        <v>90</v>
      </c>
      <c r="D16" s="72" t="s">
        <v>87</v>
      </c>
      <c r="E16" s="72" t="s">
        <v>122</v>
      </c>
      <c r="F16" s="75">
        <v>21</v>
      </c>
      <c r="G16" s="71" t="s">
        <v>111</v>
      </c>
      <c r="H16" s="74">
        <v>36</v>
      </c>
      <c r="I16" s="73">
        <v>4160000</v>
      </c>
      <c r="J16" s="73">
        <f t="shared" si="0"/>
        <v>49920000</v>
      </c>
      <c r="K16" s="73">
        <f t="shared" ref="K16" si="4">I16*12</f>
        <v>49920000</v>
      </c>
      <c r="L16" s="73">
        <f t="shared" ref="L16" si="5">I16*12</f>
        <v>49920000</v>
      </c>
      <c r="M16" s="73">
        <f t="shared" ref="M16" si="6">SUM(J16:L16)</f>
        <v>149760000</v>
      </c>
      <c r="N16" s="71"/>
    </row>
    <row r="17" spans="1:14">
      <c r="A17" s="87">
        <v>13</v>
      </c>
      <c r="B17" s="87" t="s">
        <v>110</v>
      </c>
      <c r="C17" s="87" t="s">
        <v>90</v>
      </c>
      <c r="D17" s="88" t="s">
        <v>123</v>
      </c>
      <c r="E17" s="88" t="s">
        <v>88</v>
      </c>
      <c r="F17" s="89">
        <v>8</v>
      </c>
      <c r="G17" s="87" t="s">
        <v>124</v>
      </c>
      <c r="H17" s="90">
        <v>35</v>
      </c>
      <c r="I17" s="91">
        <v>160000</v>
      </c>
      <c r="J17" s="73">
        <f>I17*11</f>
        <v>1760000</v>
      </c>
      <c r="K17" s="73">
        <f t="shared" ref="K17:K77" si="7">I17*12</f>
        <v>1920000</v>
      </c>
      <c r="L17" s="73">
        <f t="shared" ref="L17:L77" si="8">I17*12</f>
        <v>1920000</v>
      </c>
      <c r="M17" s="73">
        <f t="shared" ref="M17:M77" si="9">SUM(J17:L17)</f>
        <v>5600000</v>
      </c>
      <c r="N17" s="92"/>
    </row>
    <row r="18" spans="1:14">
      <c r="A18" s="87">
        <v>14</v>
      </c>
      <c r="B18" s="87" t="s">
        <v>110</v>
      </c>
      <c r="C18" s="87" t="s">
        <v>90</v>
      </c>
      <c r="D18" s="88" t="s">
        <v>125</v>
      </c>
      <c r="E18" s="88" t="s">
        <v>96</v>
      </c>
      <c r="F18" s="89">
        <v>2</v>
      </c>
      <c r="G18" s="87" t="s">
        <v>111</v>
      </c>
      <c r="H18" s="90">
        <v>36</v>
      </c>
      <c r="I18" s="91">
        <v>10000</v>
      </c>
      <c r="J18" s="73">
        <f t="shared" si="0"/>
        <v>120000</v>
      </c>
      <c r="K18" s="73">
        <f t="shared" si="7"/>
        <v>120000</v>
      </c>
      <c r="L18" s="73">
        <f t="shared" si="8"/>
        <v>120000</v>
      </c>
      <c r="M18" s="73">
        <f t="shared" si="9"/>
        <v>360000</v>
      </c>
      <c r="N18" s="87"/>
    </row>
    <row r="19" spans="1:14">
      <c r="A19" s="87">
        <v>15</v>
      </c>
      <c r="B19" s="87" t="s">
        <v>110</v>
      </c>
      <c r="C19" s="87" t="s">
        <v>90</v>
      </c>
      <c r="D19" s="88" t="s">
        <v>95</v>
      </c>
      <c r="E19" s="88" t="s">
        <v>93</v>
      </c>
      <c r="F19" s="89">
        <v>2</v>
      </c>
      <c r="G19" s="87" t="s">
        <v>124</v>
      </c>
      <c r="H19" s="90">
        <v>35</v>
      </c>
      <c r="I19" s="91">
        <v>120000</v>
      </c>
      <c r="J19" s="73">
        <f>I19*11</f>
        <v>1320000</v>
      </c>
      <c r="K19" s="73">
        <f t="shared" si="7"/>
        <v>1440000</v>
      </c>
      <c r="L19" s="73">
        <f t="shared" si="8"/>
        <v>1440000</v>
      </c>
      <c r="M19" s="73">
        <f t="shared" si="9"/>
        <v>4200000</v>
      </c>
      <c r="N19" s="92"/>
    </row>
    <row r="20" spans="1:14">
      <c r="A20" s="87">
        <v>16</v>
      </c>
      <c r="B20" s="87" t="s">
        <v>110</v>
      </c>
      <c r="C20" s="87" t="s">
        <v>90</v>
      </c>
      <c r="D20" s="88" t="s">
        <v>95</v>
      </c>
      <c r="E20" s="88" t="s">
        <v>94</v>
      </c>
      <c r="F20" s="89">
        <v>2</v>
      </c>
      <c r="G20" s="87" t="s">
        <v>126</v>
      </c>
      <c r="H20" s="90">
        <v>34</v>
      </c>
      <c r="I20" s="89">
        <v>120000</v>
      </c>
      <c r="J20" s="73">
        <f>I20*10</f>
        <v>1200000</v>
      </c>
      <c r="K20" s="73">
        <f t="shared" si="7"/>
        <v>1440000</v>
      </c>
      <c r="L20" s="73">
        <f t="shared" si="8"/>
        <v>1440000</v>
      </c>
      <c r="M20" s="73">
        <f t="shared" si="9"/>
        <v>4080000</v>
      </c>
      <c r="N20" s="92"/>
    </row>
    <row r="21" spans="1:14">
      <c r="A21" s="87">
        <v>17</v>
      </c>
      <c r="B21" s="87" t="s">
        <v>110</v>
      </c>
      <c r="C21" s="87" t="s">
        <v>90</v>
      </c>
      <c r="D21" s="88" t="s">
        <v>95</v>
      </c>
      <c r="E21" s="88" t="s">
        <v>96</v>
      </c>
      <c r="F21" s="89">
        <v>1</v>
      </c>
      <c r="G21" s="87" t="s">
        <v>126</v>
      </c>
      <c r="H21" s="90">
        <v>34</v>
      </c>
      <c r="I21" s="89">
        <v>60000</v>
      </c>
      <c r="J21" s="73">
        <f>I21*10</f>
        <v>600000</v>
      </c>
      <c r="K21" s="73">
        <f t="shared" si="7"/>
        <v>720000</v>
      </c>
      <c r="L21" s="73">
        <f t="shared" si="8"/>
        <v>720000</v>
      </c>
      <c r="M21" s="73">
        <f t="shared" si="9"/>
        <v>2040000</v>
      </c>
      <c r="N21" s="92"/>
    </row>
    <row r="22" spans="1:14">
      <c r="A22" s="71">
        <v>18</v>
      </c>
      <c r="B22" s="71" t="s">
        <v>110</v>
      </c>
      <c r="C22" s="71" t="s">
        <v>89</v>
      </c>
      <c r="D22" s="72" t="s">
        <v>87</v>
      </c>
      <c r="E22" s="72" t="s">
        <v>118</v>
      </c>
      <c r="F22" s="75">
        <v>2</v>
      </c>
      <c r="G22" s="71" t="s">
        <v>111</v>
      </c>
      <c r="H22" s="74">
        <v>36</v>
      </c>
      <c r="I22" s="75">
        <v>20000</v>
      </c>
      <c r="J22" s="73">
        <f t="shared" si="0"/>
        <v>240000</v>
      </c>
      <c r="K22" s="73">
        <f t="shared" si="7"/>
        <v>240000</v>
      </c>
      <c r="L22" s="73">
        <f t="shared" si="8"/>
        <v>240000</v>
      </c>
      <c r="M22" s="73">
        <f t="shared" si="9"/>
        <v>720000</v>
      </c>
      <c r="N22" s="71"/>
    </row>
    <row r="23" spans="1:14">
      <c r="A23" s="71">
        <v>19</v>
      </c>
      <c r="B23" s="71" t="s">
        <v>110</v>
      </c>
      <c r="C23" s="71" t="s">
        <v>89</v>
      </c>
      <c r="D23" s="72" t="s">
        <v>87</v>
      </c>
      <c r="E23" s="72" t="s">
        <v>127</v>
      </c>
      <c r="F23" s="75">
        <v>4</v>
      </c>
      <c r="G23" s="71" t="s">
        <v>111</v>
      </c>
      <c r="H23" s="74">
        <v>36</v>
      </c>
      <c r="I23" s="73">
        <v>50000</v>
      </c>
      <c r="J23" s="73">
        <f t="shared" si="0"/>
        <v>600000</v>
      </c>
      <c r="K23" s="73">
        <f t="shared" si="7"/>
        <v>600000</v>
      </c>
      <c r="L23" s="73">
        <f t="shared" si="8"/>
        <v>600000</v>
      </c>
      <c r="M23" s="73">
        <f t="shared" si="9"/>
        <v>1800000</v>
      </c>
      <c r="N23" s="71"/>
    </row>
    <row r="24" spans="1:14">
      <c r="A24" s="71">
        <v>20</v>
      </c>
      <c r="B24" s="71" t="s">
        <v>110</v>
      </c>
      <c r="C24" s="71" t="s">
        <v>89</v>
      </c>
      <c r="D24" s="72" t="s">
        <v>87</v>
      </c>
      <c r="E24" s="72" t="s">
        <v>119</v>
      </c>
      <c r="F24" s="75">
        <v>11</v>
      </c>
      <c r="G24" s="71" t="s">
        <v>111</v>
      </c>
      <c r="H24" s="74">
        <v>36</v>
      </c>
      <c r="I24" s="73">
        <v>110000</v>
      </c>
      <c r="J24" s="73">
        <f t="shared" si="0"/>
        <v>1320000</v>
      </c>
      <c r="K24" s="73">
        <f t="shared" si="7"/>
        <v>1320000</v>
      </c>
      <c r="L24" s="73">
        <f t="shared" si="8"/>
        <v>1320000</v>
      </c>
      <c r="M24" s="73">
        <f t="shared" si="9"/>
        <v>3960000</v>
      </c>
      <c r="N24" s="71"/>
    </row>
    <row r="25" spans="1:14">
      <c r="A25" s="71">
        <v>21</v>
      </c>
      <c r="B25" s="71" t="s">
        <v>110</v>
      </c>
      <c r="C25" s="71" t="s">
        <v>89</v>
      </c>
      <c r="D25" s="72" t="s">
        <v>87</v>
      </c>
      <c r="E25" s="72" t="s">
        <v>67</v>
      </c>
      <c r="F25" s="75">
        <v>36</v>
      </c>
      <c r="G25" s="71" t="s">
        <v>111</v>
      </c>
      <c r="H25" s="74">
        <v>36</v>
      </c>
      <c r="I25" s="73">
        <v>22100000</v>
      </c>
      <c r="J25" s="73">
        <f t="shared" si="0"/>
        <v>265200000</v>
      </c>
      <c r="K25" s="73">
        <f t="shared" si="7"/>
        <v>265200000</v>
      </c>
      <c r="L25" s="73">
        <f t="shared" si="8"/>
        <v>265200000</v>
      </c>
      <c r="M25" s="73">
        <f t="shared" si="9"/>
        <v>795600000</v>
      </c>
      <c r="N25" s="71"/>
    </row>
    <row r="26" spans="1:14">
      <c r="A26" s="71">
        <v>22</v>
      </c>
      <c r="B26" s="71" t="s">
        <v>110</v>
      </c>
      <c r="C26" s="71" t="s">
        <v>89</v>
      </c>
      <c r="D26" s="72" t="s">
        <v>87</v>
      </c>
      <c r="E26" s="72" t="s">
        <v>128</v>
      </c>
      <c r="F26" s="75">
        <v>6</v>
      </c>
      <c r="G26" s="71" t="s">
        <v>111</v>
      </c>
      <c r="H26" s="74">
        <v>36</v>
      </c>
      <c r="I26" s="73">
        <v>6150000</v>
      </c>
      <c r="J26" s="73">
        <f t="shared" si="0"/>
        <v>73800000</v>
      </c>
      <c r="K26" s="73">
        <f t="shared" si="7"/>
        <v>73800000</v>
      </c>
      <c r="L26" s="73">
        <f t="shared" si="8"/>
        <v>73800000</v>
      </c>
      <c r="M26" s="73">
        <f t="shared" si="9"/>
        <v>221400000</v>
      </c>
      <c r="N26" s="71"/>
    </row>
    <row r="27" spans="1:14">
      <c r="A27" s="71">
        <v>23</v>
      </c>
      <c r="B27" s="71" t="s">
        <v>110</v>
      </c>
      <c r="C27" s="71" t="s">
        <v>89</v>
      </c>
      <c r="D27" s="72" t="s">
        <v>87</v>
      </c>
      <c r="E27" s="72" t="s">
        <v>80</v>
      </c>
      <c r="F27" s="75">
        <v>2</v>
      </c>
      <c r="G27" s="71" t="s">
        <v>111</v>
      </c>
      <c r="H27" s="74">
        <v>36</v>
      </c>
      <c r="I27" s="73">
        <v>50000</v>
      </c>
      <c r="J27" s="73">
        <f t="shared" si="0"/>
        <v>600000</v>
      </c>
      <c r="K27" s="73">
        <f t="shared" si="7"/>
        <v>600000</v>
      </c>
      <c r="L27" s="73">
        <f t="shared" si="8"/>
        <v>600000</v>
      </c>
      <c r="M27" s="73">
        <f t="shared" si="9"/>
        <v>1800000</v>
      </c>
      <c r="N27" s="71"/>
    </row>
    <row r="28" spans="1:14">
      <c r="A28" s="71">
        <v>24</v>
      </c>
      <c r="B28" s="71" t="s">
        <v>110</v>
      </c>
      <c r="C28" s="71" t="s">
        <v>89</v>
      </c>
      <c r="D28" s="72" t="s">
        <v>87</v>
      </c>
      <c r="E28" s="72" t="s">
        <v>129</v>
      </c>
      <c r="F28" s="75">
        <v>2</v>
      </c>
      <c r="G28" s="71" t="s">
        <v>111</v>
      </c>
      <c r="H28" s="74">
        <v>36</v>
      </c>
      <c r="I28" s="73">
        <v>970000</v>
      </c>
      <c r="J28" s="73">
        <f t="shared" si="0"/>
        <v>11640000</v>
      </c>
      <c r="K28" s="73">
        <f t="shared" si="7"/>
        <v>11640000</v>
      </c>
      <c r="L28" s="73">
        <f t="shared" si="8"/>
        <v>11640000</v>
      </c>
      <c r="M28" s="73">
        <f t="shared" si="9"/>
        <v>34920000</v>
      </c>
      <c r="N28" s="71"/>
    </row>
    <row r="29" spans="1:14">
      <c r="A29" s="71">
        <v>25</v>
      </c>
      <c r="B29" s="71" t="s">
        <v>110</v>
      </c>
      <c r="C29" s="71" t="s">
        <v>89</v>
      </c>
      <c r="D29" s="72" t="s">
        <v>87</v>
      </c>
      <c r="E29" s="72" t="s">
        <v>130</v>
      </c>
      <c r="F29" s="75">
        <v>1</v>
      </c>
      <c r="G29" s="71" t="s">
        <v>111</v>
      </c>
      <c r="H29" s="74">
        <v>36</v>
      </c>
      <c r="I29" s="73">
        <v>120000</v>
      </c>
      <c r="J29" s="73">
        <f t="shared" si="0"/>
        <v>1440000</v>
      </c>
      <c r="K29" s="73">
        <f t="shared" si="7"/>
        <v>1440000</v>
      </c>
      <c r="L29" s="73">
        <f t="shared" si="8"/>
        <v>1440000</v>
      </c>
      <c r="M29" s="73">
        <f t="shared" si="9"/>
        <v>4320000</v>
      </c>
      <c r="N29" s="71"/>
    </row>
    <row r="30" spans="1:14">
      <c r="A30" s="71">
        <v>26</v>
      </c>
      <c r="B30" s="71" t="s">
        <v>110</v>
      </c>
      <c r="C30" s="71" t="s">
        <v>89</v>
      </c>
      <c r="D30" s="72" t="s">
        <v>87</v>
      </c>
      <c r="E30" s="72" t="s">
        <v>131</v>
      </c>
      <c r="F30" s="75">
        <v>4</v>
      </c>
      <c r="G30" s="71" t="s">
        <v>111</v>
      </c>
      <c r="H30" s="74">
        <v>36</v>
      </c>
      <c r="I30" s="73">
        <v>40000</v>
      </c>
      <c r="J30" s="73">
        <f t="shared" si="0"/>
        <v>480000</v>
      </c>
      <c r="K30" s="73">
        <f t="shared" si="7"/>
        <v>480000</v>
      </c>
      <c r="L30" s="73">
        <f t="shared" si="8"/>
        <v>480000</v>
      </c>
      <c r="M30" s="73">
        <f t="shared" si="9"/>
        <v>1440000</v>
      </c>
      <c r="N30" s="71"/>
    </row>
    <row r="31" spans="1:14">
      <c r="A31" s="71">
        <v>27</v>
      </c>
      <c r="B31" s="71" t="s">
        <v>110</v>
      </c>
      <c r="C31" s="71" t="s">
        <v>89</v>
      </c>
      <c r="D31" s="72" t="s">
        <v>87</v>
      </c>
      <c r="E31" s="72" t="s">
        <v>57</v>
      </c>
      <c r="F31" s="75">
        <v>2</v>
      </c>
      <c r="G31" s="71" t="s">
        <v>111</v>
      </c>
      <c r="H31" s="74">
        <v>36</v>
      </c>
      <c r="I31" s="73">
        <v>30000</v>
      </c>
      <c r="J31" s="73">
        <f t="shared" si="0"/>
        <v>360000</v>
      </c>
      <c r="K31" s="73">
        <f t="shared" si="7"/>
        <v>360000</v>
      </c>
      <c r="L31" s="73">
        <f t="shared" si="8"/>
        <v>360000</v>
      </c>
      <c r="M31" s="73">
        <f t="shared" si="9"/>
        <v>1080000</v>
      </c>
      <c r="N31" s="71"/>
    </row>
    <row r="32" spans="1:14">
      <c r="A32" s="71">
        <v>28</v>
      </c>
      <c r="B32" s="71" t="s">
        <v>110</v>
      </c>
      <c r="C32" s="71" t="s">
        <v>89</v>
      </c>
      <c r="D32" s="72" t="s">
        <v>87</v>
      </c>
      <c r="E32" s="72" t="s">
        <v>66</v>
      </c>
      <c r="F32" s="75">
        <v>2</v>
      </c>
      <c r="G32" s="71" t="s">
        <v>111</v>
      </c>
      <c r="H32" s="74">
        <v>36</v>
      </c>
      <c r="I32" s="73">
        <v>20000</v>
      </c>
      <c r="J32" s="73">
        <f t="shared" si="0"/>
        <v>240000</v>
      </c>
      <c r="K32" s="73">
        <f t="shared" si="7"/>
        <v>240000</v>
      </c>
      <c r="L32" s="73">
        <f t="shared" si="8"/>
        <v>240000</v>
      </c>
      <c r="M32" s="73">
        <f t="shared" si="9"/>
        <v>720000</v>
      </c>
      <c r="N32" s="71"/>
    </row>
    <row r="33" spans="1:18">
      <c r="A33" s="71">
        <v>29</v>
      </c>
      <c r="B33" s="71" t="s">
        <v>110</v>
      </c>
      <c r="C33" s="71" t="s">
        <v>89</v>
      </c>
      <c r="D33" s="72" t="s">
        <v>87</v>
      </c>
      <c r="E33" s="72" t="s">
        <v>56</v>
      </c>
      <c r="F33" s="75">
        <v>44</v>
      </c>
      <c r="G33" s="71" t="s">
        <v>111</v>
      </c>
      <c r="H33" s="74">
        <v>36</v>
      </c>
      <c r="I33" s="73">
        <v>880000</v>
      </c>
      <c r="J33" s="73">
        <f t="shared" si="0"/>
        <v>10560000</v>
      </c>
      <c r="K33" s="73">
        <f t="shared" si="7"/>
        <v>10560000</v>
      </c>
      <c r="L33" s="73">
        <f t="shared" si="8"/>
        <v>10560000</v>
      </c>
      <c r="M33" s="73">
        <f t="shared" si="9"/>
        <v>31680000</v>
      </c>
      <c r="N33" s="71"/>
    </row>
    <row r="34" spans="1:18">
      <c r="A34" s="71">
        <v>30</v>
      </c>
      <c r="B34" s="71" t="s">
        <v>110</v>
      </c>
      <c r="C34" s="71" t="s">
        <v>89</v>
      </c>
      <c r="D34" s="72" t="s">
        <v>87</v>
      </c>
      <c r="E34" s="72" t="s">
        <v>55</v>
      </c>
      <c r="F34" s="75">
        <v>14</v>
      </c>
      <c r="G34" s="71" t="s">
        <v>111</v>
      </c>
      <c r="H34" s="74">
        <v>36</v>
      </c>
      <c r="I34" s="73">
        <v>11130000</v>
      </c>
      <c r="J34" s="73">
        <f t="shared" si="0"/>
        <v>133560000</v>
      </c>
      <c r="K34" s="73">
        <f t="shared" si="7"/>
        <v>133560000</v>
      </c>
      <c r="L34" s="73">
        <f t="shared" si="8"/>
        <v>133560000</v>
      </c>
      <c r="M34" s="73">
        <f t="shared" si="9"/>
        <v>400680000</v>
      </c>
      <c r="N34" s="71"/>
    </row>
    <row r="35" spans="1:18">
      <c r="A35" s="71">
        <v>31</v>
      </c>
      <c r="B35" s="71" t="s">
        <v>110</v>
      </c>
      <c r="C35" s="71" t="s">
        <v>89</v>
      </c>
      <c r="D35" s="72" t="s">
        <v>87</v>
      </c>
      <c r="E35" s="72" t="s">
        <v>58</v>
      </c>
      <c r="F35" s="75">
        <v>6</v>
      </c>
      <c r="G35" s="71" t="s">
        <v>111</v>
      </c>
      <c r="H35" s="74">
        <v>36</v>
      </c>
      <c r="I35" s="73">
        <v>70000</v>
      </c>
      <c r="J35" s="73">
        <f t="shared" si="0"/>
        <v>840000</v>
      </c>
      <c r="K35" s="73">
        <f t="shared" si="7"/>
        <v>840000</v>
      </c>
      <c r="L35" s="73">
        <f t="shared" si="8"/>
        <v>840000</v>
      </c>
      <c r="M35" s="73">
        <f t="shared" si="9"/>
        <v>2520000</v>
      </c>
      <c r="N35" s="71"/>
    </row>
    <row r="36" spans="1:18">
      <c r="A36" s="87">
        <v>32</v>
      </c>
      <c r="B36" s="87" t="s">
        <v>110</v>
      </c>
      <c r="C36" s="87" t="s">
        <v>89</v>
      </c>
      <c r="D36" s="88" t="s">
        <v>123</v>
      </c>
      <c r="E36" s="88" t="s">
        <v>88</v>
      </c>
      <c r="F36" s="89">
        <v>2</v>
      </c>
      <c r="G36" s="87" t="s">
        <v>124</v>
      </c>
      <c r="H36" s="90">
        <v>35</v>
      </c>
      <c r="I36" s="91">
        <v>40000</v>
      </c>
      <c r="J36" s="73">
        <f>I36*11</f>
        <v>440000</v>
      </c>
      <c r="K36" s="73">
        <f t="shared" si="7"/>
        <v>480000</v>
      </c>
      <c r="L36" s="73">
        <f t="shared" si="8"/>
        <v>480000</v>
      </c>
      <c r="M36" s="73">
        <f t="shared" si="9"/>
        <v>1400000</v>
      </c>
      <c r="N36" s="92"/>
      <c r="O36" s="93"/>
      <c r="P36" s="93"/>
      <c r="Q36" s="93"/>
      <c r="R36" s="93"/>
    </row>
    <row r="37" spans="1:18">
      <c r="A37" s="87">
        <v>33</v>
      </c>
      <c r="B37" s="87" t="s">
        <v>110</v>
      </c>
      <c r="C37" s="87" t="s">
        <v>92</v>
      </c>
      <c r="D37" s="88" t="s">
        <v>132</v>
      </c>
      <c r="E37" s="88" t="s">
        <v>133</v>
      </c>
      <c r="F37" s="89">
        <v>52</v>
      </c>
      <c r="G37" s="87" t="s">
        <v>111</v>
      </c>
      <c r="H37" s="90">
        <v>36</v>
      </c>
      <c r="I37" s="91">
        <v>6770000</v>
      </c>
      <c r="J37" s="73">
        <f>I37*12</f>
        <v>81240000</v>
      </c>
      <c r="K37" s="73">
        <f>I37*12</f>
        <v>81240000</v>
      </c>
      <c r="L37" s="73">
        <f>I37*12</f>
        <v>81240000</v>
      </c>
      <c r="M37" s="73">
        <f t="shared" si="9"/>
        <v>243720000</v>
      </c>
      <c r="N37" s="87"/>
      <c r="O37" s="93"/>
      <c r="P37" s="93"/>
      <c r="Q37" s="93"/>
      <c r="R37" s="93"/>
    </row>
    <row r="38" spans="1:18">
      <c r="A38" s="87">
        <v>34</v>
      </c>
      <c r="B38" s="87" t="s">
        <v>110</v>
      </c>
      <c r="C38" s="87" t="s">
        <v>92</v>
      </c>
      <c r="D38" s="88" t="s">
        <v>134</v>
      </c>
      <c r="E38" s="88" t="s">
        <v>91</v>
      </c>
      <c r="F38" s="89">
        <v>2</v>
      </c>
      <c r="G38" s="87" t="s">
        <v>124</v>
      </c>
      <c r="H38" s="90">
        <v>35</v>
      </c>
      <c r="I38" s="91">
        <v>600000</v>
      </c>
      <c r="J38" s="73">
        <f>I38*11</f>
        <v>6600000</v>
      </c>
      <c r="K38" s="73">
        <f>I38*12</f>
        <v>7200000</v>
      </c>
      <c r="L38" s="73">
        <f>I38*12</f>
        <v>7200000</v>
      </c>
      <c r="M38" s="73">
        <f t="shared" si="9"/>
        <v>21000000</v>
      </c>
      <c r="N38" s="92"/>
      <c r="O38" s="93"/>
      <c r="P38" s="93"/>
      <c r="Q38" s="93"/>
      <c r="R38" s="93"/>
    </row>
    <row r="39" spans="1:18">
      <c r="A39" s="87">
        <v>35</v>
      </c>
      <c r="B39" s="87" t="s">
        <v>110</v>
      </c>
      <c r="C39" s="87" t="s">
        <v>86</v>
      </c>
      <c r="D39" s="88" t="s">
        <v>87</v>
      </c>
      <c r="E39" s="88" t="s">
        <v>135</v>
      </c>
      <c r="F39" s="89">
        <v>16</v>
      </c>
      <c r="G39" s="87" t="s">
        <v>111</v>
      </c>
      <c r="H39" s="90">
        <v>36</v>
      </c>
      <c r="I39" s="91">
        <v>50000</v>
      </c>
      <c r="J39" s="73">
        <f t="shared" si="0"/>
        <v>600000</v>
      </c>
      <c r="K39" s="73">
        <f t="shared" si="7"/>
        <v>600000</v>
      </c>
      <c r="L39" s="73">
        <f t="shared" si="8"/>
        <v>600000</v>
      </c>
      <c r="M39" s="73">
        <f t="shared" si="9"/>
        <v>1800000</v>
      </c>
      <c r="N39" s="87"/>
      <c r="O39" s="93"/>
      <c r="P39" s="93"/>
      <c r="Q39" s="93"/>
      <c r="R39" s="93"/>
    </row>
    <row r="40" spans="1:18">
      <c r="A40" s="87">
        <v>36</v>
      </c>
      <c r="B40" s="87" t="s">
        <v>110</v>
      </c>
      <c r="C40" s="87" t="s">
        <v>86</v>
      </c>
      <c r="D40" s="88" t="s">
        <v>87</v>
      </c>
      <c r="E40" s="88" t="s">
        <v>136</v>
      </c>
      <c r="F40" s="89">
        <v>40</v>
      </c>
      <c r="G40" s="87" t="s">
        <v>111</v>
      </c>
      <c r="H40" s="90">
        <v>36</v>
      </c>
      <c r="I40" s="91">
        <v>480000</v>
      </c>
      <c r="J40" s="73">
        <f t="shared" si="0"/>
        <v>5760000</v>
      </c>
      <c r="K40" s="73">
        <f t="shared" si="7"/>
        <v>5760000</v>
      </c>
      <c r="L40" s="73">
        <f t="shared" si="8"/>
        <v>5760000</v>
      </c>
      <c r="M40" s="73">
        <f t="shared" si="9"/>
        <v>17280000</v>
      </c>
      <c r="N40" s="87"/>
      <c r="O40" s="93"/>
      <c r="P40" s="93"/>
      <c r="Q40" s="93"/>
      <c r="R40" s="93"/>
    </row>
    <row r="41" spans="1:18">
      <c r="A41" s="87">
        <v>37</v>
      </c>
      <c r="B41" s="87" t="s">
        <v>110</v>
      </c>
      <c r="C41" s="87" t="s">
        <v>86</v>
      </c>
      <c r="D41" s="88" t="s">
        <v>87</v>
      </c>
      <c r="E41" s="88" t="s">
        <v>77</v>
      </c>
      <c r="F41" s="89">
        <v>15</v>
      </c>
      <c r="G41" s="87" t="s">
        <v>111</v>
      </c>
      <c r="H41" s="90">
        <v>36</v>
      </c>
      <c r="I41" s="91">
        <v>300000</v>
      </c>
      <c r="J41" s="73">
        <f t="shared" si="0"/>
        <v>3600000</v>
      </c>
      <c r="K41" s="73">
        <f t="shared" si="7"/>
        <v>3600000</v>
      </c>
      <c r="L41" s="73">
        <f t="shared" si="8"/>
        <v>3600000</v>
      </c>
      <c r="M41" s="73">
        <f t="shared" si="9"/>
        <v>10800000</v>
      </c>
      <c r="N41" s="87"/>
      <c r="O41" s="93"/>
      <c r="P41" s="93"/>
      <c r="Q41" s="93"/>
      <c r="R41" s="93"/>
    </row>
    <row r="42" spans="1:18">
      <c r="A42" s="71">
        <v>38</v>
      </c>
      <c r="B42" s="71" t="s">
        <v>110</v>
      </c>
      <c r="C42" s="71" t="s">
        <v>86</v>
      </c>
      <c r="D42" s="72" t="s">
        <v>87</v>
      </c>
      <c r="E42" s="72" t="s">
        <v>137</v>
      </c>
      <c r="F42" s="75">
        <v>79</v>
      </c>
      <c r="G42" s="71" t="s">
        <v>111</v>
      </c>
      <c r="H42" s="74">
        <v>36</v>
      </c>
      <c r="I42" s="73">
        <v>790000</v>
      </c>
      <c r="J42" s="73">
        <f t="shared" si="0"/>
        <v>9480000</v>
      </c>
      <c r="K42" s="73">
        <f t="shared" si="7"/>
        <v>9480000</v>
      </c>
      <c r="L42" s="73">
        <f t="shared" si="8"/>
        <v>9480000</v>
      </c>
      <c r="M42" s="73">
        <f t="shared" si="9"/>
        <v>28440000</v>
      </c>
      <c r="N42" s="71"/>
    </row>
    <row r="43" spans="1:18">
      <c r="A43" s="71">
        <v>39</v>
      </c>
      <c r="B43" s="71" t="s">
        <v>110</v>
      </c>
      <c r="C43" s="71" t="s">
        <v>86</v>
      </c>
      <c r="D43" s="72" t="s">
        <v>87</v>
      </c>
      <c r="E43" s="72" t="s">
        <v>138</v>
      </c>
      <c r="F43" s="75">
        <v>1</v>
      </c>
      <c r="G43" s="71" t="s">
        <v>111</v>
      </c>
      <c r="H43" s="74">
        <v>36</v>
      </c>
      <c r="I43" s="73">
        <v>10000</v>
      </c>
      <c r="J43" s="73">
        <f t="shared" si="0"/>
        <v>120000</v>
      </c>
      <c r="K43" s="73">
        <f t="shared" si="7"/>
        <v>120000</v>
      </c>
      <c r="L43" s="73">
        <f t="shared" si="8"/>
        <v>120000</v>
      </c>
      <c r="M43" s="73">
        <f t="shared" si="9"/>
        <v>360000</v>
      </c>
      <c r="N43" s="71"/>
    </row>
    <row r="44" spans="1:18">
      <c r="A44" s="71">
        <v>40</v>
      </c>
      <c r="B44" s="71" t="s">
        <v>110</v>
      </c>
      <c r="C44" s="71" t="s">
        <v>86</v>
      </c>
      <c r="D44" s="72" t="s">
        <v>123</v>
      </c>
      <c r="E44" s="72" t="s">
        <v>139</v>
      </c>
      <c r="F44" s="75">
        <v>20</v>
      </c>
      <c r="G44" s="71" t="s">
        <v>111</v>
      </c>
      <c r="H44" s="74">
        <v>36</v>
      </c>
      <c r="I44" s="73">
        <v>200000</v>
      </c>
      <c r="J44" s="73">
        <f t="shared" si="0"/>
        <v>2400000</v>
      </c>
      <c r="K44" s="73">
        <f t="shared" si="7"/>
        <v>2400000</v>
      </c>
      <c r="L44" s="73">
        <f t="shared" si="8"/>
        <v>2400000</v>
      </c>
      <c r="M44" s="73">
        <f t="shared" si="9"/>
        <v>7200000</v>
      </c>
      <c r="N44" s="81"/>
    </row>
    <row r="45" spans="1:18">
      <c r="A45" s="71">
        <v>41</v>
      </c>
      <c r="B45" s="71" t="s">
        <v>110</v>
      </c>
      <c r="C45" s="71" t="s">
        <v>86</v>
      </c>
      <c r="D45" s="72" t="s">
        <v>123</v>
      </c>
      <c r="E45" s="72" t="s">
        <v>137</v>
      </c>
      <c r="F45" s="75">
        <v>36</v>
      </c>
      <c r="G45" s="71" t="s">
        <v>111</v>
      </c>
      <c r="H45" s="74">
        <v>36</v>
      </c>
      <c r="I45" s="73">
        <v>360000</v>
      </c>
      <c r="J45" s="73">
        <f t="shared" si="0"/>
        <v>4320000</v>
      </c>
      <c r="K45" s="73">
        <f t="shared" si="7"/>
        <v>4320000</v>
      </c>
      <c r="L45" s="73">
        <f t="shared" si="8"/>
        <v>4320000</v>
      </c>
      <c r="M45" s="73">
        <f t="shared" si="9"/>
        <v>12960000</v>
      </c>
      <c r="N45" s="81"/>
    </row>
    <row r="46" spans="1:18">
      <c r="A46" s="71">
        <v>42</v>
      </c>
      <c r="B46" s="71" t="s">
        <v>110</v>
      </c>
      <c r="C46" s="71" t="s">
        <v>59</v>
      </c>
      <c r="D46" s="72" t="s">
        <v>140</v>
      </c>
      <c r="E46" s="72" t="s">
        <v>69</v>
      </c>
      <c r="F46" s="75">
        <v>28</v>
      </c>
      <c r="G46" s="71" t="s">
        <v>111</v>
      </c>
      <c r="H46" s="74">
        <v>36</v>
      </c>
      <c r="I46" s="73">
        <v>650000</v>
      </c>
      <c r="J46" s="73">
        <f t="shared" si="0"/>
        <v>7800000</v>
      </c>
      <c r="K46" s="73">
        <f t="shared" si="7"/>
        <v>7800000</v>
      </c>
      <c r="L46" s="73">
        <f t="shared" si="8"/>
        <v>7800000</v>
      </c>
      <c r="M46" s="73">
        <f t="shared" si="9"/>
        <v>23400000</v>
      </c>
      <c r="N46" s="71"/>
    </row>
    <row r="47" spans="1:18">
      <c r="A47" s="71">
        <v>43</v>
      </c>
      <c r="B47" s="71" t="s">
        <v>110</v>
      </c>
      <c r="C47" s="71" t="s">
        <v>59</v>
      </c>
      <c r="D47" s="72" t="s">
        <v>140</v>
      </c>
      <c r="E47" s="72" t="s">
        <v>60</v>
      </c>
      <c r="F47" s="75">
        <v>2</v>
      </c>
      <c r="G47" s="71" t="s">
        <v>111</v>
      </c>
      <c r="H47" s="74">
        <v>36</v>
      </c>
      <c r="I47" s="73">
        <v>50000</v>
      </c>
      <c r="J47" s="73">
        <f t="shared" si="0"/>
        <v>600000</v>
      </c>
      <c r="K47" s="73">
        <f t="shared" si="7"/>
        <v>600000</v>
      </c>
      <c r="L47" s="73">
        <f t="shared" si="8"/>
        <v>600000</v>
      </c>
      <c r="M47" s="73">
        <f t="shared" si="9"/>
        <v>1800000</v>
      </c>
      <c r="N47" s="71"/>
    </row>
    <row r="48" spans="1:18">
      <c r="A48" s="71">
        <v>44</v>
      </c>
      <c r="B48" s="71" t="s">
        <v>110</v>
      </c>
      <c r="C48" s="71" t="s">
        <v>59</v>
      </c>
      <c r="D48" s="72" t="s">
        <v>141</v>
      </c>
      <c r="E48" s="72" t="s">
        <v>68</v>
      </c>
      <c r="F48" s="75">
        <v>3</v>
      </c>
      <c r="G48" s="71" t="s">
        <v>111</v>
      </c>
      <c r="H48" s="74">
        <v>36</v>
      </c>
      <c r="I48" s="73">
        <v>240000</v>
      </c>
      <c r="J48" s="73">
        <f t="shared" si="0"/>
        <v>2880000</v>
      </c>
      <c r="K48" s="73">
        <f t="shared" si="7"/>
        <v>2880000</v>
      </c>
      <c r="L48" s="73">
        <f t="shared" si="8"/>
        <v>2880000</v>
      </c>
      <c r="M48" s="73">
        <f t="shared" si="9"/>
        <v>8640000</v>
      </c>
      <c r="N48" s="71"/>
    </row>
    <row r="49" spans="1:14">
      <c r="A49" s="71">
        <v>45</v>
      </c>
      <c r="B49" s="71" t="s">
        <v>110</v>
      </c>
      <c r="C49" s="71" t="s">
        <v>59</v>
      </c>
      <c r="D49" s="72" t="s">
        <v>141</v>
      </c>
      <c r="E49" s="72" t="s">
        <v>142</v>
      </c>
      <c r="F49" s="75">
        <v>10</v>
      </c>
      <c r="G49" s="71" t="s">
        <v>111</v>
      </c>
      <c r="H49" s="74">
        <v>36</v>
      </c>
      <c r="I49" s="73">
        <v>220000</v>
      </c>
      <c r="J49" s="73">
        <f t="shared" si="0"/>
        <v>2640000</v>
      </c>
      <c r="K49" s="73">
        <f t="shared" si="7"/>
        <v>2640000</v>
      </c>
      <c r="L49" s="73">
        <f t="shared" si="8"/>
        <v>2640000</v>
      </c>
      <c r="M49" s="73">
        <f t="shared" si="9"/>
        <v>7920000</v>
      </c>
      <c r="N49" s="71"/>
    </row>
    <row r="50" spans="1:14">
      <c r="A50" s="71">
        <v>46</v>
      </c>
      <c r="B50" s="71" t="s">
        <v>110</v>
      </c>
      <c r="C50" s="71" t="s">
        <v>143</v>
      </c>
      <c r="D50" s="72" t="s">
        <v>87</v>
      </c>
      <c r="E50" s="72" t="s">
        <v>84</v>
      </c>
      <c r="F50" s="75">
        <v>2</v>
      </c>
      <c r="G50" s="71" t="s">
        <v>111</v>
      </c>
      <c r="H50" s="74">
        <v>36</v>
      </c>
      <c r="I50" s="73">
        <v>30000</v>
      </c>
      <c r="J50" s="73">
        <f t="shared" si="0"/>
        <v>360000</v>
      </c>
      <c r="K50" s="73">
        <f t="shared" si="7"/>
        <v>360000</v>
      </c>
      <c r="L50" s="73">
        <f t="shared" si="8"/>
        <v>360000</v>
      </c>
      <c r="M50" s="73">
        <f t="shared" si="9"/>
        <v>1080000</v>
      </c>
      <c r="N50" s="71"/>
    </row>
    <row r="51" spans="1:14">
      <c r="A51" s="94">
        <v>47</v>
      </c>
      <c r="B51" s="94" t="s">
        <v>110</v>
      </c>
      <c r="C51" s="94" t="s">
        <v>144</v>
      </c>
      <c r="D51" s="95" t="s">
        <v>87</v>
      </c>
      <c r="E51" s="95" t="s">
        <v>83</v>
      </c>
      <c r="F51" s="77">
        <v>5</v>
      </c>
      <c r="G51" s="94" t="s">
        <v>111</v>
      </c>
      <c r="H51" s="76">
        <v>36</v>
      </c>
      <c r="I51" s="77">
        <v>630000</v>
      </c>
      <c r="J51" s="77">
        <f t="shared" si="0"/>
        <v>7560000</v>
      </c>
      <c r="K51" s="77">
        <v>480000</v>
      </c>
      <c r="L51" s="77">
        <v>480000</v>
      </c>
      <c r="M51" s="77">
        <f t="shared" si="9"/>
        <v>8520000</v>
      </c>
      <c r="N51" s="96" t="s">
        <v>184</v>
      </c>
    </row>
    <row r="52" spans="1:14">
      <c r="A52" s="71">
        <v>48</v>
      </c>
      <c r="B52" s="71" t="s">
        <v>110</v>
      </c>
      <c r="C52" s="71" t="s">
        <v>144</v>
      </c>
      <c r="D52" s="72" t="s">
        <v>87</v>
      </c>
      <c r="E52" s="72" t="s">
        <v>85</v>
      </c>
      <c r="F52" s="75">
        <v>142</v>
      </c>
      <c r="G52" s="71" t="s">
        <v>111</v>
      </c>
      <c r="H52" s="74">
        <v>36</v>
      </c>
      <c r="I52" s="73">
        <v>1420000</v>
      </c>
      <c r="J52" s="73">
        <f t="shared" si="0"/>
        <v>17040000</v>
      </c>
      <c r="K52" s="73">
        <f t="shared" si="7"/>
        <v>17040000</v>
      </c>
      <c r="L52" s="73">
        <f t="shared" si="8"/>
        <v>17040000</v>
      </c>
      <c r="M52" s="73">
        <f t="shared" si="9"/>
        <v>51120000</v>
      </c>
      <c r="N52" s="71"/>
    </row>
    <row r="53" spans="1:14">
      <c r="A53" s="71">
        <v>49</v>
      </c>
      <c r="B53" s="71" t="s">
        <v>110</v>
      </c>
      <c r="C53" s="71" t="s">
        <v>144</v>
      </c>
      <c r="D53" s="72" t="s">
        <v>87</v>
      </c>
      <c r="E53" s="72" t="s">
        <v>145</v>
      </c>
      <c r="F53" s="75">
        <v>10</v>
      </c>
      <c r="G53" s="71" t="s">
        <v>111</v>
      </c>
      <c r="H53" s="74">
        <v>36</v>
      </c>
      <c r="I53" s="73">
        <v>400000</v>
      </c>
      <c r="J53" s="73">
        <f t="shared" si="0"/>
        <v>4800000</v>
      </c>
      <c r="K53" s="73">
        <f t="shared" si="7"/>
        <v>4800000</v>
      </c>
      <c r="L53" s="73">
        <f t="shared" si="8"/>
        <v>4800000</v>
      </c>
      <c r="M53" s="73">
        <f t="shared" si="9"/>
        <v>14400000</v>
      </c>
      <c r="N53" s="71"/>
    </row>
    <row r="54" spans="1:14">
      <c r="A54" s="71">
        <v>50</v>
      </c>
      <c r="B54" s="71" t="s">
        <v>146</v>
      </c>
      <c r="C54" s="71" t="s">
        <v>76</v>
      </c>
      <c r="D54" s="72" t="s">
        <v>87</v>
      </c>
      <c r="E54" s="72" t="s">
        <v>147</v>
      </c>
      <c r="F54" s="75">
        <v>450</v>
      </c>
      <c r="G54" s="71" t="s">
        <v>111</v>
      </c>
      <c r="H54" s="74">
        <v>36</v>
      </c>
      <c r="I54" s="73">
        <v>4500000</v>
      </c>
      <c r="J54" s="73">
        <f t="shared" si="0"/>
        <v>54000000</v>
      </c>
      <c r="K54" s="73">
        <f t="shared" si="7"/>
        <v>54000000</v>
      </c>
      <c r="L54" s="73">
        <f t="shared" si="8"/>
        <v>54000000</v>
      </c>
      <c r="M54" s="73">
        <f t="shared" si="9"/>
        <v>162000000</v>
      </c>
      <c r="N54" s="71"/>
    </row>
    <row r="55" spans="1:14">
      <c r="A55" s="71">
        <v>51</v>
      </c>
      <c r="B55" s="71" t="s">
        <v>146</v>
      </c>
      <c r="C55" s="71" t="s">
        <v>78</v>
      </c>
      <c r="D55" s="72" t="s">
        <v>87</v>
      </c>
      <c r="E55" s="72" t="s">
        <v>148</v>
      </c>
      <c r="F55" s="75">
        <v>116</v>
      </c>
      <c r="G55" s="71" t="s">
        <v>111</v>
      </c>
      <c r="H55" s="74">
        <v>36</v>
      </c>
      <c r="I55" s="73">
        <v>70000</v>
      </c>
      <c r="J55" s="73">
        <f t="shared" si="0"/>
        <v>840000</v>
      </c>
      <c r="K55" s="73">
        <f t="shared" si="7"/>
        <v>840000</v>
      </c>
      <c r="L55" s="73">
        <f t="shared" si="8"/>
        <v>840000</v>
      </c>
      <c r="M55" s="73">
        <f t="shared" si="9"/>
        <v>2520000</v>
      </c>
      <c r="N55" s="71"/>
    </row>
    <row r="56" spans="1:14">
      <c r="A56" s="71">
        <v>52</v>
      </c>
      <c r="B56" s="71" t="s">
        <v>146</v>
      </c>
      <c r="C56" s="71" t="s">
        <v>81</v>
      </c>
      <c r="D56" s="72" t="s">
        <v>82</v>
      </c>
      <c r="E56" s="72" t="s">
        <v>149</v>
      </c>
      <c r="F56" s="75">
        <v>1</v>
      </c>
      <c r="G56" s="71" t="s">
        <v>111</v>
      </c>
      <c r="H56" s="74">
        <v>36</v>
      </c>
      <c r="I56" s="73">
        <v>240000</v>
      </c>
      <c r="J56" s="73">
        <f t="shared" si="0"/>
        <v>2880000</v>
      </c>
      <c r="K56" s="73">
        <f t="shared" si="7"/>
        <v>2880000</v>
      </c>
      <c r="L56" s="73">
        <f t="shared" si="8"/>
        <v>2880000</v>
      </c>
      <c r="M56" s="73">
        <f t="shared" si="9"/>
        <v>8640000</v>
      </c>
      <c r="N56" s="71"/>
    </row>
    <row r="57" spans="1:14">
      <c r="A57" s="71">
        <v>53</v>
      </c>
      <c r="B57" s="71" t="s">
        <v>146</v>
      </c>
      <c r="C57" s="71" t="s">
        <v>81</v>
      </c>
      <c r="D57" s="72" t="s">
        <v>82</v>
      </c>
      <c r="E57" s="72" t="s">
        <v>150</v>
      </c>
      <c r="F57" s="75">
        <v>2</v>
      </c>
      <c r="G57" s="71" t="s">
        <v>111</v>
      </c>
      <c r="H57" s="74">
        <v>36</v>
      </c>
      <c r="I57" s="73">
        <v>1400000</v>
      </c>
      <c r="J57" s="73">
        <f t="shared" si="0"/>
        <v>16800000</v>
      </c>
      <c r="K57" s="73">
        <f t="shared" si="7"/>
        <v>16800000</v>
      </c>
      <c r="L57" s="73">
        <f t="shared" si="8"/>
        <v>16800000</v>
      </c>
      <c r="M57" s="73">
        <f t="shared" si="9"/>
        <v>50400000</v>
      </c>
      <c r="N57" s="71"/>
    </row>
    <row r="58" spans="1:14">
      <c r="A58" s="71">
        <v>54</v>
      </c>
      <c r="B58" s="71" t="s">
        <v>146</v>
      </c>
      <c r="C58" s="71" t="s">
        <v>79</v>
      </c>
      <c r="D58" s="72" t="s">
        <v>87</v>
      </c>
      <c r="E58" s="72" t="s">
        <v>151</v>
      </c>
      <c r="F58" s="75">
        <v>2</v>
      </c>
      <c r="G58" s="71" t="s">
        <v>111</v>
      </c>
      <c r="H58" s="74">
        <v>36</v>
      </c>
      <c r="I58" s="73">
        <v>740000</v>
      </c>
      <c r="J58" s="73">
        <f t="shared" si="0"/>
        <v>8880000</v>
      </c>
      <c r="K58" s="73">
        <f t="shared" si="7"/>
        <v>8880000</v>
      </c>
      <c r="L58" s="73">
        <f t="shared" si="8"/>
        <v>8880000</v>
      </c>
      <c r="M58" s="73">
        <f t="shared" si="9"/>
        <v>26640000</v>
      </c>
      <c r="N58" s="71"/>
    </row>
    <row r="59" spans="1:14">
      <c r="A59" s="87">
        <v>55</v>
      </c>
      <c r="B59" s="87" t="s">
        <v>152</v>
      </c>
      <c r="C59" s="87" t="s">
        <v>153</v>
      </c>
      <c r="D59" s="88" t="s">
        <v>154</v>
      </c>
      <c r="E59" s="88" t="s">
        <v>155</v>
      </c>
      <c r="F59" s="89">
        <v>1</v>
      </c>
      <c r="G59" s="87" t="s">
        <v>156</v>
      </c>
      <c r="H59" s="90">
        <v>24</v>
      </c>
      <c r="I59" s="89">
        <v>1190000</v>
      </c>
      <c r="J59" s="73">
        <v>0</v>
      </c>
      <c r="K59" s="73">
        <f t="shared" si="7"/>
        <v>14280000</v>
      </c>
      <c r="L59" s="73">
        <f t="shared" si="8"/>
        <v>14280000</v>
      </c>
      <c r="M59" s="73">
        <f t="shared" si="9"/>
        <v>28560000</v>
      </c>
      <c r="N59" s="87"/>
    </row>
    <row r="60" spans="1:14">
      <c r="A60" s="71">
        <v>56</v>
      </c>
      <c r="B60" s="71" t="s">
        <v>152</v>
      </c>
      <c r="C60" s="71" t="s">
        <v>157</v>
      </c>
      <c r="D60" s="72" t="s">
        <v>158</v>
      </c>
      <c r="E60" s="72" t="s">
        <v>159</v>
      </c>
      <c r="F60" s="75">
        <v>4</v>
      </c>
      <c r="G60" s="71" t="s">
        <v>111</v>
      </c>
      <c r="H60" s="74">
        <v>36</v>
      </c>
      <c r="I60" s="73">
        <v>1300000</v>
      </c>
      <c r="J60" s="73">
        <f t="shared" si="0"/>
        <v>15600000</v>
      </c>
      <c r="K60" s="73">
        <f t="shared" si="7"/>
        <v>15600000</v>
      </c>
      <c r="L60" s="73">
        <f t="shared" si="8"/>
        <v>15600000</v>
      </c>
      <c r="M60" s="73">
        <f t="shared" si="9"/>
        <v>46800000</v>
      </c>
      <c r="N60" s="71"/>
    </row>
    <row r="61" spans="1:14">
      <c r="A61" s="71">
        <v>57</v>
      </c>
      <c r="B61" s="71" t="s">
        <v>152</v>
      </c>
      <c r="C61" s="71" t="s">
        <v>160</v>
      </c>
      <c r="D61" s="72" t="s">
        <v>87</v>
      </c>
      <c r="E61" s="72" t="s">
        <v>161</v>
      </c>
      <c r="F61" s="75">
        <v>1</v>
      </c>
      <c r="G61" s="71" t="s">
        <v>111</v>
      </c>
      <c r="H61" s="74">
        <v>36</v>
      </c>
      <c r="I61" s="73">
        <v>300000</v>
      </c>
      <c r="J61" s="73">
        <f t="shared" si="0"/>
        <v>3600000</v>
      </c>
      <c r="K61" s="73">
        <f t="shared" si="7"/>
        <v>3600000</v>
      </c>
      <c r="L61" s="73">
        <f t="shared" si="8"/>
        <v>3600000</v>
      </c>
      <c r="M61" s="73">
        <f t="shared" si="9"/>
        <v>10800000</v>
      </c>
      <c r="N61" s="71"/>
    </row>
    <row r="62" spans="1:14">
      <c r="A62" s="71">
        <v>58</v>
      </c>
      <c r="B62" s="71" t="s">
        <v>152</v>
      </c>
      <c r="C62" s="71" t="s">
        <v>162</v>
      </c>
      <c r="D62" s="72" t="s">
        <v>163</v>
      </c>
      <c r="E62" s="72" t="s">
        <v>164</v>
      </c>
      <c r="F62" s="75">
        <v>1</v>
      </c>
      <c r="G62" s="71" t="s">
        <v>111</v>
      </c>
      <c r="H62" s="74">
        <v>36</v>
      </c>
      <c r="I62" s="73">
        <v>1200000</v>
      </c>
      <c r="J62" s="73">
        <f t="shared" si="0"/>
        <v>14400000</v>
      </c>
      <c r="K62" s="73">
        <f t="shared" si="7"/>
        <v>14400000</v>
      </c>
      <c r="L62" s="73">
        <f t="shared" si="8"/>
        <v>14400000</v>
      </c>
      <c r="M62" s="73">
        <f t="shared" si="9"/>
        <v>43200000</v>
      </c>
      <c r="N62" s="71"/>
    </row>
    <row r="63" spans="1:14">
      <c r="A63" s="71">
        <v>59</v>
      </c>
      <c r="B63" s="71" t="s">
        <v>152</v>
      </c>
      <c r="C63" s="71" t="s">
        <v>165</v>
      </c>
      <c r="D63" s="72" t="s">
        <v>166</v>
      </c>
      <c r="E63" s="72" t="s">
        <v>54</v>
      </c>
      <c r="F63" s="75">
        <v>8</v>
      </c>
      <c r="G63" s="71" t="s">
        <v>111</v>
      </c>
      <c r="H63" s="74">
        <v>36</v>
      </c>
      <c r="I63" s="73">
        <v>1440000</v>
      </c>
      <c r="J63" s="73">
        <f t="shared" si="0"/>
        <v>17280000</v>
      </c>
      <c r="K63" s="73">
        <f t="shared" si="7"/>
        <v>17280000</v>
      </c>
      <c r="L63" s="73">
        <f t="shared" si="8"/>
        <v>17280000</v>
      </c>
      <c r="M63" s="73">
        <f t="shared" si="9"/>
        <v>51840000</v>
      </c>
      <c r="N63" s="71"/>
    </row>
    <row r="64" spans="1:14">
      <c r="A64" s="71">
        <v>60</v>
      </c>
      <c r="B64" s="71" t="s">
        <v>167</v>
      </c>
      <c r="C64" s="71" t="s">
        <v>168</v>
      </c>
      <c r="D64" s="72" t="s">
        <v>169</v>
      </c>
      <c r="E64" s="72" t="s">
        <v>170</v>
      </c>
      <c r="F64" s="75">
        <v>100</v>
      </c>
      <c r="G64" s="71" t="s">
        <v>111</v>
      </c>
      <c r="H64" s="74">
        <v>36</v>
      </c>
      <c r="I64" s="73">
        <v>100000</v>
      </c>
      <c r="J64" s="73">
        <f t="shared" si="0"/>
        <v>1200000</v>
      </c>
      <c r="K64" s="73">
        <f t="shared" si="7"/>
        <v>1200000</v>
      </c>
      <c r="L64" s="73">
        <f t="shared" si="8"/>
        <v>1200000</v>
      </c>
      <c r="M64" s="73">
        <f t="shared" si="9"/>
        <v>3600000</v>
      </c>
      <c r="N64" s="71"/>
    </row>
    <row r="65" spans="1:14">
      <c r="A65" s="71">
        <v>61</v>
      </c>
      <c r="B65" s="71" t="s">
        <v>167</v>
      </c>
      <c r="C65" s="71" t="s">
        <v>168</v>
      </c>
      <c r="D65" s="72" t="s">
        <v>169</v>
      </c>
      <c r="E65" s="72" t="s">
        <v>73</v>
      </c>
      <c r="F65" s="75">
        <v>2</v>
      </c>
      <c r="G65" s="71" t="s">
        <v>111</v>
      </c>
      <c r="H65" s="74">
        <v>36</v>
      </c>
      <c r="I65" s="73">
        <v>200000</v>
      </c>
      <c r="J65" s="73">
        <f t="shared" si="0"/>
        <v>2400000</v>
      </c>
      <c r="K65" s="73">
        <f t="shared" si="7"/>
        <v>2400000</v>
      </c>
      <c r="L65" s="73">
        <f t="shared" si="8"/>
        <v>2400000</v>
      </c>
      <c r="M65" s="73">
        <f t="shared" si="9"/>
        <v>7200000</v>
      </c>
      <c r="N65" s="71"/>
    </row>
    <row r="66" spans="1:14">
      <c r="A66" s="71">
        <v>62</v>
      </c>
      <c r="B66" s="71" t="s">
        <v>167</v>
      </c>
      <c r="C66" s="71" t="s">
        <v>168</v>
      </c>
      <c r="D66" s="72" t="s">
        <v>169</v>
      </c>
      <c r="E66" s="72" t="s">
        <v>171</v>
      </c>
      <c r="F66" s="75">
        <v>1</v>
      </c>
      <c r="G66" s="71" t="s">
        <v>111</v>
      </c>
      <c r="H66" s="74">
        <v>36</v>
      </c>
      <c r="I66" s="73">
        <v>50000</v>
      </c>
      <c r="J66" s="73">
        <f t="shared" si="0"/>
        <v>600000</v>
      </c>
      <c r="K66" s="73">
        <f t="shared" si="7"/>
        <v>600000</v>
      </c>
      <c r="L66" s="73">
        <f t="shared" si="8"/>
        <v>600000</v>
      </c>
      <c r="M66" s="73">
        <f t="shared" si="9"/>
        <v>1800000</v>
      </c>
      <c r="N66" s="71"/>
    </row>
    <row r="67" spans="1:14">
      <c r="A67" s="71">
        <v>63</v>
      </c>
      <c r="B67" s="71" t="s">
        <v>167</v>
      </c>
      <c r="C67" s="71" t="s">
        <v>62</v>
      </c>
      <c r="D67" s="72" t="s">
        <v>172</v>
      </c>
      <c r="E67" s="72" t="s">
        <v>75</v>
      </c>
      <c r="F67" s="75">
        <v>4</v>
      </c>
      <c r="G67" s="71" t="s">
        <v>111</v>
      </c>
      <c r="H67" s="74">
        <v>36</v>
      </c>
      <c r="I67" s="73">
        <v>400000</v>
      </c>
      <c r="J67" s="73">
        <f t="shared" si="0"/>
        <v>4800000</v>
      </c>
      <c r="K67" s="73">
        <f t="shared" si="7"/>
        <v>4800000</v>
      </c>
      <c r="L67" s="73">
        <f t="shared" si="8"/>
        <v>4800000</v>
      </c>
      <c r="M67" s="73">
        <f t="shared" si="9"/>
        <v>14400000</v>
      </c>
      <c r="N67" s="71"/>
    </row>
    <row r="68" spans="1:14">
      <c r="A68" s="71">
        <v>64</v>
      </c>
      <c r="B68" s="71" t="s">
        <v>167</v>
      </c>
      <c r="C68" s="71" t="s">
        <v>62</v>
      </c>
      <c r="D68" s="72" t="s">
        <v>173</v>
      </c>
      <c r="E68" s="72" t="s">
        <v>174</v>
      </c>
      <c r="F68" s="75">
        <v>2</v>
      </c>
      <c r="G68" s="71" t="s">
        <v>111</v>
      </c>
      <c r="H68" s="74">
        <v>36</v>
      </c>
      <c r="I68" s="73">
        <v>100000</v>
      </c>
      <c r="J68" s="73">
        <f t="shared" si="0"/>
        <v>1200000</v>
      </c>
      <c r="K68" s="73">
        <f t="shared" si="7"/>
        <v>1200000</v>
      </c>
      <c r="L68" s="73">
        <f t="shared" si="8"/>
        <v>1200000</v>
      </c>
      <c r="M68" s="73">
        <f t="shared" si="9"/>
        <v>3600000</v>
      </c>
      <c r="N68" s="71"/>
    </row>
    <row r="69" spans="1:14">
      <c r="A69" s="71">
        <v>65</v>
      </c>
      <c r="B69" s="71" t="s">
        <v>167</v>
      </c>
      <c r="C69" s="71" t="s">
        <v>62</v>
      </c>
      <c r="D69" s="72" t="s">
        <v>169</v>
      </c>
      <c r="E69" s="72" t="s">
        <v>71</v>
      </c>
      <c r="F69" s="75">
        <v>11</v>
      </c>
      <c r="G69" s="71" t="s">
        <v>111</v>
      </c>
      <c r="H69" s="74">
        <v>36</v>
      </c>
      <c r="I69" s="73">
        <v>280000</v>
      </c>
      <c r="J69" s="73">
        <f t="shared" si="0"/>
        <v>3360000</v>
      </c>
      <c r="K69" s="73">
        <f t="shared" si="7"/>
        <v>3360000</v>
      </c>
      <c r="L69" s="73">
        <f t="shared" si="8"/>
        <v>3360000</v>
      </c>
      <c r="M69" s="73">
        <f t="shared" si="9"/>
        <v>10080000</v>
      </c>
      <c r="N69" s="71"/>
    </row>
    <row r="70" spans="1:14">
      <c r="A70" s="71">
        <v>66</v>
      </c>
      <c r="B70" s="71" t="s">
        <v>167</v>
      </c>
      <c r="C70" s="71" t="s">
        <v>62</v>
      </c>
      <c r="D70" s="72" t="s">
        <v>169</v>
      </c>
      <c r="E70" s="72" t="s">
        <v>74</v>
      </c>
      <c r="F70" s="75">
        <v>2</v>
      </c>
      <c r="G70" s="71" t="s">
        <v>111</v>
      </c>
      <c r="H70" s="74">
        <v>36</v>
      </c>
      <c r="I70" s="73">
        <v>200000</v>
      </c>
      <c r="J70" s="73">
        <f t="shared" si="0"/>
        <v>2400000</v>
      </c>
      <c r="K70" s="73">
        <f t="shared" si="7"/>
        <v>2400000</v>
      </c>
      <c r="L70" s="73">
        <f t="shared" si="8"/>
        <v>2400000</v>
      </c>
      <c r="M70" s="73">
        <f t="shared" si="9"/>
        <v>7200000</v>
      </c>
      <c r="N70" s="71"/>
    </row>
    <row r="71" spans="1:14">
      <c r="A71" s="71">
        <v>67</v>
      </c>
      <c r="B71" s="71" t="s">
        <v>167</v>
      </c>
      <c r="C71" s="71" t="s">
        <v>62</v>
      </c>
      <c r="D71" s="72" t="s">
        <v>169</v>
      </c>
      <c r="E71" s="72" t="s">
        <v>70</v>
      </c>
      <c r="F71" s="75">
        <v>9</v>
      </c>
      <c r="G71" s="71" t="s">
        <v>111</v>
      </c>
      <c r="H71" s="74">
        <v>36</v>
      </c>
      <c r="I71" s="73">
        <v>1080000</v>
      </c>
      <c r="J71" s="73">
        <f t="shared" ref="J71:J75" si="10">I71*12</f>
        <v>12960000</v>
      </c>
      <c r="K71" s="73">
        <f t="shared" si="7"/>
        <v>12960000</v>
      </c>
      <c r="L71" s="73">
        <f t="shared" si="8"/>
        <v>12960000</v>
      </c>
      <c r="M71" s="73">
        <f t="shared" si="9"/>
        <v>38880000</v>
      </c>
      <c r="N71" s="71"/>
    </row>
    <row r="72" spans="1:14">
      <c r="A72" s="71">
        <v>68</v>
      </c>
      <c r="B72" s="71" t="s">
        <v>167</v>
      </c>
      <c r="C72" s="71" t="s">
        <v>62</v>
      </c>
      <c r="D72" s="72" t="s">
        <v>169</v>
      </c>
      <c r="E72" s="72" t="s">
        <v>63</v>
      </c>
      <c r="F72" s="75">
        <v>59</v>
      </c>
      <c r="G72" s="71" t="s">
        <v>111</v>
      </c>
      <c r="H72" s="74">
        <v>36</v>
      </c>
      <c r="I72" s="73">
        <v>1210000</v>
      </c>
      <c r="J72" s="73">
        <f t="shared" si="10"/>
        <v>14520000</v>
      </c>
      <c r="K72" s="73">
        <f t="shared" si="7"/>
        <v>14520000</v>
      </c>
      <c r="L72" s="73">
        <f t="shared" si="8"/>
        <v>14520000</v>
      </c>
      <c r="M72" s="73">
        <f t="shared" si="9"/>
        <v>43560000</v>
      </c>
      <c r="N72" s="71"/>
    </row>
    <row r="73" spans="1:14">
      <c r="A73" s="71">
        <v>69</v>
      </c>
      <c r="B73" s="71" t="s">
        <v>167</v>
      </c>
      <c r="C73" s="71" t="s">
        <v>62</v>
      </c>
      <c r="D73" s="72" t="s">
        <v>169</v>
      </c>
      <c r="E73" s="72" t="s">
        <v>61</v>
      </c>
      <c r="F73" s="75">
        <v>6</v>
      </c>
      <c r="G73" s="71" t="s">
        <v>111</v>
      </c>
      <c r="H73" s="74">
        <v>36</v>
      </c>
      <c r="I73" s="73">
        <v>1440000</v>
      </c>
      <c r="J73" s="73">
        <f t="shared" si="10"/>
        <v>17280000</v>
      </c>
      <c r="K73" s="73">
        <f t="shared" si="7"/>
        <v>17280000</v>
      </c>
      <c r="L73" s="73">
        <f t="shared" si="8"/>
        <v>17280000</v>
      </c>
      <c r="M73" s="73">
        <f t="shared" si="9"/>
        <v>51840000</v>
      </c>
      <c r="N73" s="71"/>
    </row>
    <row r="74" spans="1:14">
      <c r="A74" s="71">
        <v>70</v>
      </c>
      <c r="B74" s="71" t="s">
        <v>167</v>
      </c>
      <c r="C74" s="71" t="s">
        <v>62</v>
      </c>
      <c r="D74" s="72" t="s">
        <v>169</v>
      </c>
      <c r="E74" s="72" t="s">
        <v>175</v>
      </c>
      <c r="F74" s="75">
        <v>3</v>
      </c>
      <c r="G74" s="71" t="s">
        <v>111</v>
      </c>
      <c r="H74" s="74">
        <v>36</v>
      </c>
      <c r="I74" s="73">
        <v>90000</v>
      </c>
      <c r="J74" s="73">
        <f t="shared" si="10"/>
        <v>1080000</v>
      </c>
      <c r="K74" s="73">
        <f t="shared" si="7"/>
        <v>1080000</v>
      </c>
      <c r="L74" s="73">
        <f t="shared" si="8"/>
        <v>1080000</v>
      </c>
      <c r="M74" s="73">
        <f t="shared" si="9"/>
        <v>3240000</v>
      </c>
      <c r="N74" s="71"/>
    </row>
    <row r="75" spans="1:14">
      <c r="A75" s="71">
        <v>71</v>
      </c>
      <c r="B75" s="71" t="s">
        <v>167</v>
      </c>
      <c r="C75" s="71" t="s">
        <v>176</v>
      </c>
      <c r="D75" s="72" t="s">
        <v>169</v>
      </c>
      <c r="E75" s="72" t="s">
        <v>72</v>
      </c>
      <c r="F75" s="75">
        <v>2</v>
      </c>
      <c r="G75" s="71" t="s">
        <v>111</v>
      </c>
      <c r="H75" s="74">
        <v>36</v>
      </c>
      <c r="I75" s="73">
        <v>310000</v>
      </c>
      <c r="J75" s="73">
        <f t="shared" si="10"/>
        <v>3720000</v>
      </c>
      <c r="K75" s="73">
        <f t="shared" ref="K75" si="11">I75*12</f>
        <v>3720000</v>
      </c>
      <c r="L75" s="73">
        <f t="shared" ref="L75:L76" si="12">I75*12</f>
        <v>3720000</v>
      </c>
      <c r="M75" s="73">
        <f t="shared" ref="M75:M76" si="13">SUM(J75:L75)</f>
        <v>11160000</v>
      </c>
      <c r="N75" s="71"/>
    </row>
    <row r="76" spans="1:14">
      <c r="A76" s="94">
        <v>72</v>
      </c>
      <c r="B76" s="94" t="s">
        <v>110</v>
      </c>
      <c r="C76" s="94" t="s">
        <v>185</v>
      </c>
      <c r="D76" s="95" t="s">
        <v>187</v>
      </c>
      <c r="E76" s="95" t="s">
        <v>189</v>
      </c>
      <c r="F76" s="77">
        <v>8</v>
      </c>
      <c r="G76" s="94" t="s">
        <v>191</v>
      </c>
      <c r="H76" s="76">
        <v>21</v>
      </c>
      <c r="I76" s="77">
        <v>490000</v>
      </c>
      <c r="J76" s="77">
        <v>0</v>
      </c>
      <c r="K76" s="77">
        <f>I76*9</f>
        <v>4410000</v>
      </c>
      <c r="L76" s="77">
        <f t="shared" si="12"/>
        <v>5880000</v>
      </c>
      <c r="M76" s="77">
        <f t="shared" si="13"/>
        <v>10290000</v>
      </c>
      <c r="N76" s="95" t="s">
        <v>193</v>
      </c>
    </row>
    <row r="77" spans="1:14">
      <c r="A77" s="94">
        <v>73</v>
      </c>
      <c r="B77" s="94" t="s">
        <v>152</v>
      </c>
      <c r="C77" s="94" t="s">
        <v>186</v>
      </c>
      <c r="D77" s="95" t="s">
        <v>188</v>
      </c>
      <c r="E77" s="95" t="s">
        <v>190</v>
      </c>
      <c r="F77" s="77">
        <v>5</v>
      </c>
      <c r="G77" s="94" t="s">
        <v>192</v>
      </c>
      <c r="H77" s="76">
        <v>24</v>
      </c>
      <c r="I77" s="77">
        <v>1250000</v>
      </c>
      <c r="J77" s="77"/>
      <c r="K77" s="77">
        <f t="shared" si="7"/>
        <v>15000000</v>
      </c>
      <c r="L77" s="77">
        <f t="shared" si="8"/>
        <v>15000000</v>
      </c>
      <c r="M77" s="77">
        <f t="shared" si="9"/>
        <v>30000000</v>
      </c>
      <c r="N77" s="95" t="s">
        <v>194</v>
      </c>
    </row>
    <row r="78" spans="1:14">
      <c r="A78" s="83">
        <v>74</v>
      </c>
      <c r="B78" s="83" t="s">
        <v>177</v>
      </c>
      <c r="C78" s="83" t="s">
        <v>97</v>
      </c>
      <c r="D78" s="84" t="s">
        <v>178</v>
      </c>
      <c r="E78" s="84"/>
      <c r="F78" s="85">
        <v>15</v>
      </c>
      <c r="G78" s="83"/>
      <c r="H78" s="86"/>
      <c r="I78" s="85">
        <v>1100000</v>
      </c>
      <c r="J78" s="85">
        <v>5500000</v>
      </c>
      <c r="K78" s="85">
        <v>5500000</v>
      </c>
      <c r="L78" s="85">
        <v>5500000</v>
      </c>
      <c r="M78" s="85">
        <f>SUM(J78:L78)</f>
        <v>16500000</v>
      </c>
      <c r="N78" s="83"/>
    </row>
    <row r="79" spans="1:14">
      <c r="A79" s="83">
        <v>75</v>
      </c>
      <c r="B79" s="83" t="s">
        <v>177</v>
      </c>
      <c r="C79" s="83" t="s">
        <v>179</v>
      </c>
      <c r="D79" s="84" t="s">
        <v>178</v>
      </c>
      <c r="E79" s="84"/>
      <c r="F79" s="85">
        <v>30</v>
      </c>
      <c r="G79" s="83"/>
      <c r="H79" s="86"/>
      <c r="I79" s="85">
        <v>800000</v>
      </c>
      <c r="J79" s="85">
        <v>8000000</v>
      </c>
      <c r="K79" s="85">
        <v>8000000</v>
      </c>
      <c r="L79" s="85">
        <v>8000000</v>
      </c>
      <c r="M79" s="85">
        <f>SUM(J79:L79)</f>
        <v>24000000</v>
      </c>
      <c r="N79" s="83"/>
    </row>
    <row r="80" spans="1:14">
      <c r="A80" s="83">
        <v>76</v>
      </c>
      <c r="B80" s="83" t="s">
        <v>177</v>
      </c>
      <c r="C80" s="83" t="s">
        <v>98</v>
      </c>
      <c r="D80" s="84" t="s">
        <v>178</v>
      </c>
      <c r="E80" s="84"/>
      <c r="F80" s="85">
        <v>15</v>
      </c>
      <c r="G80" s="83"/>
      <c r="H80" s="86"/>
      <c r="I80" s="85">
        <v>534000</v>
      </c>
      <c r="J80" s="85">
        <v>2670000</v>
      </c>
      <c r="K80" s="85">
        <v>2670000</v>
      </c>
      <c r="L80" s="85">
        <v>2670000</v>
      </c>
      <c r="M80" s="85">
        <f>SUM(J80:L80)</f>
        <v>8010000</v>
      </c>
      <c r="N80" s="83"/>
    </row>
    <row r="81" spans="1:14">
      <c r="A81" s="78"/>
      <c r="B81" s="78"/>
      <c r="C81" s="78" t="s">
        <v>180</v>
      </c>
      <c r="D81" s="79"/>
      <c r="E81" s="79"/>
      <c r="F81" s="80">
        <f>SUM(F5:F77)</f>
        <v>1972</v>
      </c>
      <c r="G81" s="78"/>
      <c r="H81" s="80"/>
      <c r="I81" s="80">
        <f>SUM(I5:I77)</f>
        <v>81670000</v>
      </c>
      <c r="J81" s="80">
        <f>SUM(J5:J77)</f>
        <v>943600000</v>
      </c>
      <c r="K81" s="80">
        <f>SUM(K5:K77)</f>
        <v>968250000</v>
      </c>
      <c r="L81" s="80">
        <f>SUM(L5:L77)</f>
        <v>969720000</v>
      </c>
      <c r="M81" s="80">
        <f>SUM(M5:M77)</f>
        <v>2881570000</v>
      </c>
      <c r="N81" s="78"/>
    </row>
    <row r="82" spans="1:14">
      <c r="A82" s="78"/>
      <c r="B82" s="78"/>
      <c r="C82" s="78" t="s">
        <v>181</v>
      </c>
      <c r="D82" s="79"/>
      <c r="E82" s="79"/>
      <c r="F82" s="80">
        <f>SUM(F5:F80)</f>
        <v>2032</v>
      </c>
      <c r="G82" s="78"/>
      <c r="H82" s="80"/>
      <c r="I82" s="80">
        <f>SUM(I5:I80)</f>
        <v>84104000</v>
      </c>
      <c r="J82" s="80">
        <f>SUM(J5:J80)</f>
        <v>959770000</v>
      </c>
      <c r="K82" s="80">
        <f t="shared" ref="K82:L82" si="14">SUM(K5:K80)</f>
        <v>984420000</v>
      </c>
      <c r="L82" s="80">
        <f t="shared" si="14"/>
        <v>985890000</v>
      </c>
      <c r="M82" s="80">
        <f>SUM(M5:M80)</f>
        <v>2930080000</v>
      </c>
      <c r="N82" s="78"/>
    </row>
    <row r="84" spans="1:14">
      <c r="K84" s="124"/>
    </row>
    <row r="85" spans="1:14">
      <c r="K85" s="125"/>
    </row>
  </sheetData>
  <phoneticPr fontId="42" type="noConversion"/>
  <pageMargins left="0.7" right="0.7" top="0.75" bottom="0.75" header="0.3" footer="0.3"/>
  <pageSetup paperSize="9" scale="5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견적서</vt:lpstr>
      <vt:lpstr>상세내역</vt:lpstr>
      <vt:lpstr>견적서!Print_Area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임종훈</dc:creator>
  <cp:keywords/>
  <dc:description/>
  <cp:lastModifiedBy>Sangeun Lee</cp:lastModifiedBy>
  <cp:revision/>
  <cp:lastPrinted>2024-11-05T07:42:42Z</cp:lastPrinted>
  <dcterms:created xsi:type="dcterms:W3CDTF">2017-02-14T04:46:55Z</dcterms:created>
  <dcterms:modified xsi:type="dcterms:W3CDTF">2024-11-11T23:55:03Z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