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. 문서함\00. NetBackup\- 테이프 구매\2025.0915_테이프현황조사\"/>
    </mc:Choice>
  </mc:AlternateContent>
  <bookViews>
    <workbookView xWindow="0" yWindow="0" windowWidth="23550" windowHeight="8535"/>
  </bookViews>
  <sheets>
    <sheet name="2025년연소산" sheetId="3" r:id="rId1"/>
    <sheet name="년월소산수량" sheetId="14" r:id="rId2"/>
    <sheet name="미디어사용내역" sheetId="2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4" l="1"/>
  <c r="I13" i="14" l="1"/>
  <c r="N13" i="14"/>
  <c r="S13" i="14"/>
  <c r="X13" i="14"/>
  <c r="E13" i="14" l="1"/>
  <c r="L2" i="24" l="1"/>
  <c r="L3" i="24"/>
  <c r="K3" i="24"/>
  <c r="I3" i="24"/>
  <c r="I2" i="24"/>
  <c r="G2" i="24"/>
  <c r="J2" i="24"/>
  <c r="K2" i="24"/>
  <c r="P25" i="3" l="1"/>
  <c r="P24" i="3"/>
  <c r="T24" i="3" s="1"/>
  <c r="P15" i="3"/>
  <c r="T15" i="3" s="1"/>
  <c r="P14" i="3"/>
  <c r="T14" i="3" s="1"/>
  <c r="P13" i="3"/>
  <c r="P23" i="3"/>
  <c r="P12" i="3"/>
  <c r="P11" i="3"/>
  <c r="T11" i="3" s="1"/>
  <c r="P21" i="3"/>
  <c r="P22" i="3"/>
  <c r="T22" i="3" s="1"/>
  <c r="P20" i="3"/>
  <c r="T20" i="3" s="1"/>
  <c r="P10" i="3"/>
  <c r="Q16" i="3"/>
  <c r="Q17" i="3" s="1"/>
  <c r="R13" i="3" l="1"/>
  <c r="R10" i="3"/>
  <c r="R11" i="3"/>
  <c r="R12" i="3"/>
  <c r="T21" i="3"/>
  <c r="P17" i="3"/>
  <c r="T13" i="3"/>
  <c r="R15" i="3"/>
  <c r="T12" i="3"/>
  <c r="T23" i="3"/>
  <c r="T10" i="3"/>
  <c r="P16" i="3"/>
  <c r="R14" i="3"/>
  <c r="T25" i="3"/>
  <c r="Q51" i="3"/>
  <c r="Q50" i="3"/>
  <c r="P49" i="3"/>
  <c r="T49" i="3" s="1"/>
  <c r="P48" i="3"/>
  <c r="T48" i="3" s="1"/>
  <c r="P47" i="3"/>
  <c r="T47" i="3" s="1"/>
  <c r="P46" i="3"/>
  <c r="T46" i="3" s="1"/>
  <c r="P45" i="3"/>
  <c r="T45" i="3" s="1"/>
  <c r="P44" i="3"/>
  <c r="T44" i="3" s="1"/>
  <c r="P43" i="3"/>
  <c r="T43" i="3" s="1"/>
  <c r="P42" i="3"/>
  <c r="T42" i="3" s="1"/>
  <c r="Q39" i="3"/>
  <c r="Q38" i="3"/>
  <c r="P37" i="3"/>
  <c r="T37" i="3" s="1"/>
  <c r="P36" i="3"/>
  <c r="P35" i="3"/>
  <c r="T35" i="3" s="1"/>
  <c r="P34" i="3"/>
  <c r="P33" i="3"/>
  <c r="R23" i="3" s="1"/>
  <c r="P32" i="3"/>
  <c r="R22" i="3" s="1"/>
  <c r="P31" i="3"/>
  <c r="T31" i="3" s="1"/>
  <c r="P30" i="3"/>
  <c r="R20" i="3" s="1"/>
  <c r="Q27" i="3"/>
  <c r="Q26" i="3"/>
  <c r="R21" i="3" l="1"/>
  <c r="R25" i="3"/>
  <c r="T36" i="3"/>
  <c r="R24" i="3"/>
  <c r="R33" i="3"/>
  <c r="P27" i="3"/>
  <c r="R17" i="3" s="1"/>
  <c r="R32" i="3"/>
  <c r="T32" i="3"/>
  <c r="R37" i="3"/>
  <c r="R34" i="3"/>
  <c r="T34" i="3"/>
  <c r="P39" i="3"/>
  <c r="R35" i="3"/>
  <c r="P38" i="3"/>
  <c r="P51" i="3"/>
  <c r="R30" i="3"/>
  <c r="T33" i="3"/>
  <c r="P26" i="3"/>
  <c r="R16" i="3" s="1"/>
  <c r="T30" i="3"/>
  <c r="R36" i="3"/>
  <c r="R31" i="3"/>
  <c r="P50" i="3"/>
  <c r="R27" i="3" l="1"/>
  <c r="R39" i="3"/>
  <c r="R38" i="3"/>
  <c r="R26" i="3"/>
</calcChain>
</file>

<file path=xl/sharedStrings.xml><?xml version="1.0" encoding="utf-8"?>
<sst xmlns="http://schemas.openxmlformats.org/spreadsheetml/2006/main" count="488" uniqueCount="323">
  <si>
    <t>2022년 연소산</t>
    <phoneticPr fontId="2" type="noConversion"/>
  </si>
  <si>
    <t>2021년 연소산</t>
    <phoneticPr fontId="2" type="noConversion"/>
  </si>
  <si>
    <t>2020년 연소산</t>
    <phoneticPr fontId="2" type="noConversion"/>
  </si>
  <si>
    <t>백업명</t>
    <phoneticPr fontId="2" type="noConversion"/>
  </si>
  <si>
    <t>테이프라벨</t>
    <phoneticPr fontId="2" type="noConversion"/>
  </si>
  <si>
    <t>백업량</t>
    <phoneticPr fontId="2" type="noConversion"/>
  </si>
  <si>
    <t>- 2020년 차세대 첫 연소산 시행</t>
    <phoneticPr fontId="2" type="noConversion"/>
  </si>
  <si>
    <t>[Exadata] EDW DB</t>
    <phoneticPr fontId="2" type="noConversion"/>
  </si>
  <si>
    <t>000227</t>
    <phoneticPr fontId="2" type="noConversion"/>
  </si>
  <si>
    <t>000185</t>
  </si>
  <si>
    <t>000424</t>
  </si>
  <si>
    <t>000228</t>
    <phoneticPr fontId="2" type="noConversion"/>
  </si>
  <si>
    <t>000394</t>
  </si>
  <si>
    <t>000426</t>
  </si>
  <si>
    <t>000229</t>
    <phoneticPr fontId="2" type="noConversion"/>
  </si>
  <si>
    <t>A00190</t>
  </si>
  <si>
    <t>000427</t>
  </si>
  <si>
    <t>000230</t>
    <phoneticPr fontId="2" type="noConversion"/>
  </si>
  <si>
    <t>A00218</t>
  </si>
  <si>
    <t>000428</t>
  </si>
  <si>
    <t>000231</t>
    <phoneticPr fontId="2" type="noConversion"/>
  </si>
  <si>
    <t>A00334</t>
  </si>
  <si>
    <t>000429</t>
  </si>
  <si>
    <t>백업용량</t>
    <phoneticPr fontId="2" type="noConversion"/>
  </si>
  <si>
    <t>Tape 수량</t>
    <phoneticPr fontId="2" type="noConversion"/>
  </si>
  <si>
    <t>전년대비 증가량</t>
    <phoneticPr fontId="2" type="noConversion"/>
  </si>
  <si>
    <t>000233</t>
    <phoneticPr fontId="2" type="noConversion"/>
  </si>
  <si>
    <t>A00349</t>
  </si>
  <si>
    <t>A00254</t>
  </si>
  <si>
    <t>000234</t>
    <phoneticPr fontId="2" type="noConversion"/>
  </si>
  <si>
    <t>A00521</t>
  </si>
  <si>
    <t>A00411</t>
  </si>
  <si>
    <t>코어뱅킹 DB</t>
  </si>
  <si>
    <t>000235</t>
    <phoneticPr fontId="2" type="noConversion"/>
  </si>
  <si>
    <t>A00432</t>
  </si>
  <si>
    <t>운영내부</t>
    <phoneticPr fontId="2" type="noConversion"/>
  </si>
  <si>
    <t>000241</t>
    <phoneticPr fontId="2" type="noConversion"/>
  </si>
  <si>
    <t>운영외부</t>
    <phoneticPr fontId="2" type="noConversion"/>
  </si>
  <si>
    <t>000242</t>
    <phoneticPr fontId="2" type="noConversion"/>
  </si>
  <si>
    <t>유지내부</t>
    <phoneticPr fontId="2" type="noConversion"/>
  </si>
  <si>
    <t>000420</t>
    <phoneticPr fontId="2" type="noConversion"/>
  </si>
  <si>
    <t>유지외부</t>
    <phoneticPr fontId="2" type="noConversion"/>
  </si>
  <si>
    <t>000178</t>
  </si>
  <si>
    <t>000181</t>
  </si>
  <si>
    <t>000442</t>
  </si>
  <si>
    <t>정보보호내부</t>
    <phoneticPr fontId="2" type="noConversion"/>
  </si>
  <si>
    <t>000179</t>
  </si>
  <si>
    <t>A00171</t>
  </si>
  <si>
    <t>A00047</t>
  </si>
  <si>
    <t>정보보호외부</t>
    <phoneticPr fontId="2" type="noConversion"/>
  </si>
  <si>
    <t>000245</t>
  </si>
  <si>
    <t>A00187</t>
  </si>
  <si>
    <t>A00158</t>
  </si>
  <si>
    <t>전체용량</t>
    <phoneticPr fontId="2" type="noConversion"/>
  </si>
  <si>
    <t>000258</t>
  </si>
  <si>
    <t>A00277</t>
  </si>
  <si>
    <t>A00175</t>
  </si>
  <si>
    <t>000260</t>
  </si>
  <si>
    <t>A00408</t>
  </si>
  <si>
    <t>A00199</t>
  </si>
  <si>
    <t>000265</t>
  </si>
  <si>
    <t>A00516</t>
  </si>
  <si>
    <t>A00264</t>
  </si>
  <si>
    <t>000266</t>
  </si>
  <si>
    <t>A00517</t>
  </si>
  <si>
    <t>A00274</t>
  </si>
  <si>
    <t>000379</t>
  </si>
  <si>
    <t>000215</t>
  </si>
  <si>
    <t>A00336</t>
  </si>
  <si>
    <t>000403</t>
  </si>
  <si>
    <t>000445</t>
  </si>
  <si>
    <t>A00120</t>
  </si>
  <si>
    <t>A00133</t>
  </si>
  <si>
    <t>A00422</t>
  </si>
  <si>
    <t>000378</t>
  </si>
  <si>
    <t>A00251</t>
  </si>
  <si>
    <t>000257</t>
  </si>
  <si>
    <t>000279</t>
  </si>
  <si>
    <t>A00043</t>
  </si>
  <si>
    <t>000259</t>
  </si>
  <si>
    <t>A00101</t>
  </si>
  <si>
    <t>A00279</t>
  </si>
  <si>
    <t>000422</t>
  </si>
  <si>
    <t>A00227</t>
  </si>
  <si>
    <t>A00288</t>
  </si>
  <si>
    <t>A00016</t>
  </si>
  <si>
    <t>A00298</t>
  </si>
  <si>
    <t>A00042</t>
  </si>
  <si>
    <t>A00382</t>
  </si>
  <si>
    <t>000337</t>
  </si>
  <si>
    <t>000141</t>
  </si>
  <si>
    <t>A00482</t>
  </si>
  <si>
    <t>A00509</t>
  </si>
  <si>
    <t>A00497</t>
  </si>
  <si>
    <t>A00500</t>
  </si>
  <si>
    <t>0295L7</t>
  </si>
  <si>
    <t>0267L7</t>
  </si>
  <si>
    <t>0309L7</t>
  </si>
  <si>
    <t>0434L7</t>
  </si>
  <si>
    <t>KI0001</t>
  </si>
  <si>
    <t>000016</t>
  </si>
  <si>
    <t>000017</t>
  </si>
  <si>
    <t>000018</t>
  </si>
  <si>
    <t>코어뱅킹 DB</t>
    <phoneticPr fontId="2" type="noConversion"/>
  </si>
  <si>
    <t>- 백업 테이프 타입 LTO7 (정보보호 외부만 LTO6)</t>
    <phoneticPr fontId="2" type="noConversion"/>
  </si>
  <si>
    <t>정보보호외부제외 (LTO6)</t>
    <phoneticPr fontId="2" type="noConversion"/>
  </si>
  <si>
    <t>- 2021년 정보보호부 백업장비 운용 후 2022년 첫 내,외부 연소산 시행</t>
    <phoneticPr fontId="2" type="noConversion"/>
  </si>
  <si>
    <t>2024년 연소산</t>
    <phoneticPr fontId="2" type="noConversion"/>
  </si>
  <si>
    <t>2023년 연소산</t>
    <phoneticPr fontId="2" type="noConversion"/>
  </si>
  <si>
    <t>A00113</t>
  </si>
  <si>
    <t>A00584</t>
  </si>
  <si>
    <t>A00585</t>
  </si>
  <si>
    <t>A00591</t>
  </si>
  <si>
    <t>A00596</t>
  </si>
  <si>
    <t>A00597</t>
  </si>
  <si>
    <t>A00598</t>
  </si>
  <si>
    <t>A00599</t>
  </si>
  <si>
    <t>A00602</t>
  </si>
  <si>
    <t>A00605</t>
  </si>
  <si>
    <t>000037</t>
  </si>
  <si>
    <t>000307</t>
  </si>
  <si>
    <t>A00178</t>
  </si>
  <si>
    <t>A00592</t>
  </si>
  <si>
    <t>A00593</t>
  </si>
  <si>
    <t>A00594</t>
  </si>
  <si>
    <t>A00595</t>
  </si>
  <si>
    <t>A00601</t>
  </si>
  <si>
    <t>A00603</t>
  </si>
  <si>
    <t>A00604</t>
  </si>
  <si>
    <t>000291</t>
  </si>
  <si>
    <t>A00031</t>
  </si>
  <si>
    <t>A00089</t>
  </si>
  <si>
    <t>A00414</t>
  </si>
  <si>
    <t>A00600</t>
  </si>
  <si>
    <t>000144</t>
  </si>
  <si>
    <t>000338</t>
  </si>
  <si>
    <t>0229L7</t>
  </si>
  <si>
    <t>0242L7</t>
  </si>
  <si>
    <t>0245L7</t>
  </si>
  <si>
    <t>0370L7</t>
  </si>
  <si>
    <t>0320L7</t>
  </si>
  <si>
    <t>KI0029</t>
  </si>
  <si>
    <t>000071</t>
  </si>
  <si>
    <t>000072</t>
  </si>
  <si>
    <t>000466</t>
  </si>
  <si>
    <t>A00219</t>
  </si>
  <si>
    <t>A00303</t>
  </si>
  <si>
    <t>A00871</t>
  </si>
  <si>
    <t>A00872</t>
  </si>
  <si>
    <t>A00873</t>
  </si>
  <si>
    <t>A00876</t>
  </si>
  <si>
    <t>A00879</t>
  </si>
  <si>
    <t>A00880</t>
  </si>
  <si>
    <t>A00881</t>
  </si>
  <si>
    <t>A00882</t>
  </si>
  <si>
    <t>A00890</t>
  </si>
  <si>
    <t>000357</t>
  </si>
  <si>
    <t>A00040</t>
  </si>
  <si>
    <t>A00262</t>
  </si>
  <si>
    <t>A00578</t>
  </si>
  <si>
    <t>A00875</t>
  </si>
  <si>
    <t>000391</t>
  </si>
  <si>
    <t>A00002</t>
  </si>
  <si>
    <t>A00874</t>
  </si>
  <si>
    <t>A00877</t>
  </si>
  <si>
    <t>A00878</t>
  </si>
  <si>
    <t>A00883</t>
  </si>
  <si>
    <t>A00884</t>
  </si>
  <si>
    <t>A00886</t>
  </si>
  <si>
    <t>A00887</t>
  </si>
  <si>
    <t>A00888</t>
  </si>
  <si>
    <t>A00889</t>
  </si>
  <si>
    <t>A00522</t>
  </si>
  <si>
    <t>A00492</t>
  </si>
  <si>
    <t>KI0021</t>
  </si>
  <si>
    <t>000038</t>
  </si>
  <si>
    <t>운영통합</t>
    <phoneticPr fontId="2" type="noConversion"/>
  </si>
  <si>
    <t>-</t>
    <phoneticPr fontId="2" type="noConversion"/>
  </si>
  <si>
    <t>- 2018년 10월부터 테이프 백업 시행</t>
    <phoneticPr fontId="2" type="noConversion"/>
  </si>
  <si>
    <t>- 2021년 유지 백업장비(PTL) 통합 후 2022년 첫 유지 내,외부 I6000으로 연소산 시행</t>
    <phoneticPr fontId="2" type="noConversion"/>
  </si>
  <si>
    <r>
      <t xml:space="preserve">- 2023년 유지백업 마스터 </t>
    </r>
    <r>
      <rPr>
        <sz val="11"/>
        <color theme="1"/>
        <rFont val="맑은 고딕"/>
        <family val="3"/>
        <charset val="129"/>
      </rPr>
      <t xml:space="preserve">→ </t>
    </r>
    <r>
      <rPr>
        <sz val="11"/>
        <color theme="1"/>
        <rFont val="맑은 고딕"/>
        <family val="3"/>
        <charset val="129"/>
        <scheme val="minor"/>
      </rPr>
      <t>운영 백업 마스터로 통합 (내부,외부)</t>
    </r>
    <phoneticPr fontId="2" type="noConversion"/>
  </si>
  <si>
    <t>전년대비 증가량</t>
  </si>
  <si>
    <t>-</t>
  </si>
  <si>
    <t>2025년 연소산</t>
    <phoneticPr fontId="2" type="noConversion"/>
  </si>
  <si>
    <t>000201</t>
  </si>
  <si>
    <t>000286</t>
  </si>
  <si>
    <t>000450</t>
  </si>
  <si>
    <t>A00247</t>
  </si>
  <si>
    <t>A00865</t>
  </si>
  <si>
    <t>A01007</t>
  </si>
  <si>
    <t>A01008</t>
  </si>
  <si>
    <t>A01009</t>
  </si>
  <si>
    <t>A01010</t>
  </si>
  <si>
    <t>A01011</t>
  </si>
  <si>
    <t>A01031</t>
  </si>
  <si>
    <t>A01032</t>
  </si>
  <si>
    <t>A01033</t>
  </si>
  <si>
    <t>A00777</t>
  </si>
  <si>
    <t>A01001</t>
  </si>
  <si>
    <t>A01003</t>
  </si>
  <si>
    <t>A01005</t>
  </si>
  <si>
    <t>A00568</t>
  </si>
  <si>
    <t>A01022</t>
  </si>
  <si>
    <t>A01026</t>
  </si>
  <si>
    <t>A01034</t>
  </si>
  <si>
    <t>000039</t>
  </si>
  <si>
    <t>000372</t>
  </si>
  <si>
    <t>000527</t>
  </si>
  <si>
    <t>A00067</t>
  </si>
  <si>
    <t>A00407</t>
  </si>
  <si>
    <t>A00430</t>
  </si>
  <si>
    <t>A00471</t>
  </si>
  <si>
    <t>A00789</t>
  </si>
  <si>
    <t>A00835</t>
  </si>
  <si>
    <t>A00947</t>
  </si>
  <si>
    <t>A01020</t>
  </si>
  <si>
    <t>A01024</t>
  </si>
  <si>
    <t>A01027</t>
  </si>
  <si>
    <t>A01029</t>
  </si>
  <si>
    <t>A01035</t>
  </si>
  <si>
    <t>A00515</t>
  </si>
  <si>
    <t>A00487</t>
  </si>
  <si>
    <t>KI0039</t>
  </si>
  <si>
    <t>000011</t>
  </si>
  <si>
    <t>000067</t>
  </si>
  <si>
    <t xml:space="preserve">□ 정기백업용 테이프 추가 소요량 (데이터 증가에 따른 추가 소요량) (단위 : 개)      </t>
    <phoneticPr fontId="2" type="noConversion"/>
  </si>
  <si>
    <t>합</t>
    <phoneticPr fontId="2" type="noConversion"/>
  </si>
  <si>
    <t>DB</t>
  </si>
  <si>
    <t>NetBackup</t>
  </si>
  <si>
    <t>DB_DW</t>
  </si>
  <si>
    <t>LOG</t>
  </si>
  <si>
    <t>Vault_Monthly_Sosan</t>
  </si>
  <si>
    <t>Vault_Monthly</t>
  </si>
  <si>
    <t>OS</t>
  </si>
  <si>
    <t>REQ2_2025</t>
  </si>
  <si>
    <t>REQ1_2025</t>
  </si>
  <si>
    <t>Vault_Yearly_Sosan2</t>
  </si>
  <si>
    <t>Vault_Yearly_Sosan</t>
  </si>
  <si>
    <t>SEND</t>
  </si>
  <si>
    <t>SEND_LOG</t>
  </si>
  <si>
    <t>REQUEST</t>
  </si>
  <si>
    <t>AVAMAR_2015_1</t>
  </si>
  <si>
    <t>AVAMAR_2015_2</t>
  </si>
  <si>
    <t>AVAMAR_1</t>
  </si>
  <si>
    <t>AVAMAR_2</t>
  </si>
  <si>
    <t>LOG2</t>
  </si>
  <si>
    <t>BAD</t>
  </si>
  <si>
    <t>ASIS_DATA</t>
  </si>
  <si>
    <t>Old</t>
  </si>
  <si>
    <t>Scratch</t>
  </si>
  <si>
    <t>8월</t>
  </si>
  <si>
    <t>9월</t>
  </si>
  <si>
    <t>10월</t>
  </si>
  <si>
    <t>11월</t>
  </si>
  <si>
    <t>12월</t>
  </si>
  <si>
    <t>1월</t>
    <phoneticPr fontId="2" type="noConversion"/>
  </si>
  <si>
    <t>2월</t>
    <phoneticPr fontId="2" type="noConversion"/>
  </si>
  <si>
    <t>3월</t>
    <phoneticPr fontId="2" type="noConversion"/>
  </si>
  <si>
    <t>5월</t>
  </si>
  <si>
    <t>6월</t>
  </si>
  <si>
    <t>7월</t>
  </si>
  <si>
    <t>Request_Backup</t>
  </si>
  <si>
    <t>Writ_Failure</t>
  </si>
  <si>
    <t>2025년</t>
    <phoneticPr fontId="2" type="noConversion"/>
  </si>
  <si>
    <t>년도</t>
    <phoneticPr fontId="2" type="noConversion"/>
  </si>
  <si>
    <t>월별</t>
    <phoneticPr fontId="2" type="noConversion"/>
  </si>
  <si>
    <r>
      <rPr>
        <b/>
        <sz val="10"/>
        <color rgb="FFFF0000"/>
        <rFont val="맑은 고딕"/>
        <family val="3"/>
        <charset val="129"/>
        <scheme val="minor"/>
      </rPr>
      <t>운영내부</t>
    </r>
    <r>
      <rPr>
        <b/>
        <sz val="10"/>
        <color theme="1"/>
        <rFont val="맑은 고딕"/>
        <family val="3"/>
        <charset val="129"/>
        <scheme val="minor"/>
      </rPr>
      <t xml:space="preserve">
테이프수량</t>
    </r>
    <phoneticPr fontId="2" type="noConversion"/>
  </si>
  <si>
    <r>
      <rPr>
        <b/>
        <sz val="10"/>
        <color rgb="FFFF0000"/>
        <rFont val="맑은 고딕"/>
        <family val="3"/>
        <charset val="129"/>
        <scheme val="minor"/>
      </rPr>
      <t>운영외부</t>
    </r>
    <r>
      <rPr>
        <b/>
        <sz val="10"/>
        <color theme="1"/>
        <rFont val="맑은 고딕"/>
        <family val="3"/>
        <charset val="129"/>
        <scheme val="minor"/>
      </rPr>
      <t xml:space="preserve">
테이프수량</t>
    </r>
    <phoneticPr fontId="2" type="noConversion"/>
  </si>
  <si>
    <r>
      <rPr>
        <b/>
        <sz val="10"/>
        <color rgb="FFFF0000"/>
        <rFont val="맑은 고딕"/>
        <family val="3"/>
        <charset val="129"/>
        <scheme val="minor"/>
      </rPr>
      <t>정보내부</t>
    </r>
    <r>
      <rPr>
        <b/>
        <sz val="10"/>
        <color theme="1"/>
        <rFont val="맑은 고딕"/>
        <family val="3"/>
        <charset val="129"/>
        <scheme val="minor"/>
      </rPr>
      <t xml:space="preserve">
테이프수량</t>
    </r>
    <phoneticPr fontId="2" type="noConversion"/>
  </si>
  <si>
    <r>
      <rPr>
        <b/>
        <sz val="10"/>
        <color rgb="FFFF0000"/>
        <rFont val="맑은 고딕"/>
        <family val="3"/>
        <charset val="129"/>
        <scheme val="minor"/>
      </rPr>
      <t>정보외부</t>
    </r>
    <r>
      <rPr>
        <b/>
        <sz val="10"/>
        <color theme="1"/>
        <rFont val="맑은 고딕"/>
        <family val="3"/>
        <charset val="129"/>
        <scheme val="minor"/>
      </rPr>
      <t xml:space="preserve">
테이프수량</t>
    </r>
    <phoneticPr fontId="2" type="noConversion"/>
  </si>
  <si>
    <t>연소산 수</t>
    <phoneticPr fontId="2" type="noConversion"/>
  </si>
  <si>
    <t>월소산 수</t>
    <phoneticPr fontId="2" type="noConversion"/>
  </si>
  <si>
    <t>1월</t>
  </si>
  <si>
    <t>2월</t>
  </si>
  <si>
    <t>3월</t>
  </si>
  <si>
    <t>2025년</t>
  </si>
  <si>
    <t>설명</t>
    <phoneticPr fontId="2" type="noConversion"/>
  </si>
  <si>
    <t>수량</t>
    <phoneticPr fontId="2" type="noConversion"/>
  </si>
  <si>
    <t>Frozen 2</t>
    <phoneticPr fontId="2" type="noConversion"/>
  </si>
  <si>
    <t>Frozen 10</t>
    <phoneticPr fontId="2" type="noConversion"/>
  </si>
  <si>
    <t>Frozen 5</t>
    <phoneticPr fontId="2" type="noConversion"/>
  </si>
  <si>
    <t>비고</t>
    <phoneticPr fontId="2" type="noConversion"/>
  </si>
  <si>
    <t>내부보관용 월백업</t>
    <phoneticPr fontId="2" type="noConversion"/>
  </si>
  <si>
    <t>발신로그 장기보관용</t>
    <phoneticPr fontId="2" type="noConversion"/>
  </si>
  <si>
    <t>여유분</t>
    <phoneticPr fontId="2" type="noConversion"/>
  </si>
  <si>
    <t>요청백업</t>
    <phoneticPr fontId="2" type="noConversion"/>
  </si>
  <si>
    <t>요청백업(2024이전)</t>
    <phoneticPr fontId="2" type="noConversion"/>
  </si>
  <si>
    <t>요청백업(2025년)</t>
    <phoneticPr fontId="2" type="noConversion"/>
  </si>
  <si>
    <t>월 OS백업</t>
    <phoneticPr fontId="2" type="noConversion"/>
  </si>
  <si>
    <t>마운트횟수 많은 폐기대상</t>
    <phoneticPr fontId="2" type="noConversion"/>
  </si>
  <si>
    <t>서버로그 백업(장기보관용)</t>
    <phoneticPr fontId="2" type="noConversion"/>
  </si>
  <si>
    <t>DWDL 풀백업</t>
    <phoneticPr fontId="2" type="noConversion"/>
  </si>
  <si>
    <t>DB archive 백업</t>
    <phoneticPr fontId="2" type="noConversion"/>
  </si>
  <si>
    <t>불량</t>
    <phoneticPr fontId="2" type="noConversion"/>
  </si>
  <si>
    <t>이전 avamar 백업(장기보관용)</t>
    <phoneticPr fontId="2" type="noConversion"/>
  </si>
  <si>
    <t>asis 데이터 백업(장기보관용)</t>
    <phoneticPr fontId="2" type="noConversion"/>
  </si>
  <si>
    <t>Frozen 21</t>
    <phoneticPr fontId="2" type="noConversion"/>
  </si>
  <si>
    <t>구분</t>
    <phoneticPr fontId="2" type="noConversion"/>
  </si>
  <si>
    <t>운영내부</t>
    <phoneticPr fontId="2" type="noConversion"/>
  </si>
  <si>
    <t>운영외부</t>
    <phoneticPr fontId="2" type="noConversion"/>
  </si>
  <si>
    <t>-</t>
    <phoneticPr fontId="2" type="noConversion"/>
  </si>
  <si>
    <t>요청백업(2024년이전)</t>
    <phoneticPr fontId="2" type="noConversion"/>
  </si>
  <si>
    <t>장기보관용</t>
    <phoneticPr fontId="2" type="noConversion"/>
  </si>
  <si>
    <t>주간백업
(DWDL)</t>
    <phoneticPr fontId="2" type="noConversion"/>
  </si>
  <si>
    <t>월간백업
(소산용)</t>
    <phoneticPr fontId="2" type="noConversion"/>
  </si>
  <si>
    <t>월간백업
(복구용)</t>
    <phoneticPr fontId="2" type="noConversion"/>
  </si>
  <si>
    <t>불량
(Frozen포함)</t>
    <phoneticPr fontId="2" type="noConversion"/>
  </si>
  <si>
    <r>
      <t>- 창고 보관중인 테이프 32개 (여유분에 포함안함, 포함시 전체</t>
    </r>
    <r>
      <rPr>
        <b/>
        <sz val="10"/>
        <color theme="1"/>
        <rFont val="맑은 고딕"/>
        <family val="3"/>
        <charset val="129"/>
        <scheme val="minor"/>
      </rPr>
      <t xml:space="preserve"> 94개</t>
    </r>
    <r>
      <rPr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</si>
  <si>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- 2016년도 반입되는 테이프 개수 12개</t>
    <phoneticPr fontId="2" type="noConversion"/>
  </si>
  <si>
    <t>- 2026년 4월 연소산 시 2025년 연소산 기준으로 적용시 10개 남음 (72개사용기준)</t>
    <phoneticPr fontId="2" type="noConversion"/>
  </si>
  <si>
    <t>- 2026년 연소산 후 여유 테이프 + 반입 테이프 = 22개</t>
    <phoneticPr fontId="2" type="noConversion"/>
  </si>
  <si>
    <t>32+54+8</t>
    <phoneticPr fontId="2" type="noConversion"/>
  </si>
  <si>
    <t>- 10월~3월 6개월간 ±12개 월소산 사용 후 82개</t>
    <phoneticPr fontId="2" type="noConversion"/>
  </si>
  <si>
    <t>연소산2</t>
    <phoneticPr fontId="2" type="noConversion"/>
  </si>
  <si>
    <t>연소산</t>
    <phoneticPr fontId="2" type="noConversion"/>
  </si>
  <si>
    <t>월소산</t>
    <phoneticPr fontId="2" type="noConversion"/>
  </si>
  <si>
    <t>- 월간백업(소산용) 9월 소산기준 테이프 개수 (2024.10~2025.09)</t>
    <phoneticPr fontId="2" type="noConversion"/>
  </si>
  <si>
    <t>LTO7 재사용 가능수량</t>
    <phoneticPr fontId="2" type="noConversion"/>
  </si>
  <si>
    <t>2024년</t>
    <phoneticPr fontId="2" type="noConversion"/>
  </si>
  <si>
    <t>- 2024년 구입후 사용된 테이프 내역</t>
    <phoneticPr fontId="2" type="noConversion"/>
  </si>
  <si>
    <t>전체수</t>
    <phoneticPr fontId="2" type="noConversion"/>
  </si>
  <si>
    <t>-</t>
    <phoneticPr fontId="2" type="noConversion"/>
  </si>
  <si>
    <t xml:space="preserve"> : 2026년 22개로 운영 (테이프 불량 및 소산 시 추가분 및 대비용으로 여유분 확보 필요)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</si>
</sst>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[Blue][&lt;0]&quot;▼&quot;0.00%;[Red][&gt;0]&quot;▲&quot;0.00%;&quot;-&quot;"/>
    <numFmt numFmtId="177" formatCode="#,##0_ "/>
    <numFmt numFmtId="178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/>
    </xf>
    <xf numFmtId="177" fontId="1" fillId="2" borderId="3" xfId="0" applyNumberFormat="1" applyFont="1" applyFill="1" applyBorder="1" applyAlignment="1">
      <alignment horizontal="center" vertical="center"/>
    </xf>
    <xf numFmtId="177" fontId="1" fillId="2" borderId="4" xfId="0" applyNumberFormat="1" applyFont="1" applyFill="1" applyBorder="1" applyAlignment="1">
      <alignment horizontal="center" vertical="center"/>
    </xf>
    <xf numFmtId="49" fontId="1" fillId="0" borderId="7" xfId="0" quotePrefix="1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quotePrefix="1" applyFont="1">
      <alignment vertical="center"/>
    </xf>
    <xf numFmtId="49" fontId="1" fillId="0" borderId="7" xfId="0" applyNumberFormat="1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Fill="1" applyBorder="1">
      <alignment vertical="center"/>
    </xf>
    <xf numFmtId="49" fontId="1" fillId="0" borderId="12" xfId="0" quotePrefix="1" applyNumberFormat="1" applyFont="1" applyBorder="1" applyAlignment="1">
      <alignment horizontal="center" vertical="center"/>
    </xf>
    <xf numFmtId="177" fontId="1" fillId="0" borderId="13" xfId="0" applyNumberFormat="1" applyFont="1" applyBorder="1" applyAlignment="1">
      <alignment horizontal="right" vertical="center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Fill="1" applyBorder="1">
      <alignment vertical="center"/>
    </xf>
    <xf numFmtId="177" fontId="1" fillId="0" borderId="16" xfId="0" applyNumberFormat="1" applyFont="1" applyBorder="1" applyAlignment="1">
      <alignment horizontal="right" vertical="center"/>
    </xf>
    <xf numFmtId="49" fontId="1" fillId="0" borderId="15" xfId="0" applyNumberFormat="1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49" fontId="1" fillId="0" borderId="12" xfId="0" applyNumberFormat="1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7" xfId="0" applyFont="1" applyFill="1" applyBorder="1">
      <alignment vertical="center"/>
    </xf>
    <xf numFmtId="177" fontId="1" fillId="0" borderId="16" xfId="0" applyNumberFormat="1" applyFont="1" applyBorder="1">
      <alignment vertical="center"/>
    </xf>
    <xf numFmtId="0" fontId="1" fillId="0" borderId="8" xfId="0" applyFont="1" applyBorder="1">
      <alignment vertical="center"/>
    </xf>
    <xf numFmtId="49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right" vertical="center"/>
    </xf>
    <xf numFmtId="0" fontId="1" fillId="0" borderId="4" xfId="0" applyFont="1" applyFill="1" applyBorder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3" xfId="0" applyFont="1" applyBorder="1" applyAlignment="1">
      <alignment horizontal="right" vertical="center"/>
    </xf>
    <xf numFmtId="177" fontId="1" fillId="0" borderId="3" xfId="0" applyNumberFormat="1" applyFont="1" applyBorder="1">
      <alignment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" fillId="0" borderId="16" xfId="0" applyFont="1" applyBorder="1" applyAlignment="1">
      <alignment horizontal="right" vertical="center"/>
    </xf>
    <xf numFmtId="0" fontId="1" fillId="0" borderId="16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177" fontId="1" fillId="0" borderId="8" xfId="0" applyNumberFormat="1" applyFont="1" applyBorder="1">
      <alignment vertical="center"/>
    </xf>
    <xf numFmtId="0" fontId="1" fillId="0" borderId="12" xfId="0" applyFont="1" applyBorder="1" applyAlignment="1">
      <alignment horizontal="center" vertical="center"/>
    </xf>
    <xf numFmtId="177" fontId="1" fillId="0" borderId="13" xfId="0" applyNumberFormat="1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177" fontId="1" fillId="0" borderId="0" xfId="0" applyNumberFormat="1" applyFont="1" applyBorder="1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0" xfId="0" applyFont="1">
      <alignment vertical="center"/>
    </xf>
    <xf numFmtId="177" fontId="0" fillId="0" borderId="0" xfId="0" quotePrefix="1" applyNumberFormat="1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177" fontId="1" fillId="0" borderId="0" xfId="0" applyNumberFormat="1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14" xfId="0" applyFont="1" applyBorder="1">
      <alignment vertical="center"/>
    </xf>
    <xf numFmtId="177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177" fontId="1" fillId="2" borderId="15" xfId="0" applyNumberFormat="1" applyFont="1" applyFill="1" applyBorder="1" applyAlignment="1">
      <alignment horizontal="center" vertical="center"/>
    </xf>
    <xf numFmtId="177" fontId="1" fillId="2" borderId="16" xfId="0" applyNumberFormat="1" applyFont="1" applyFill="1" applyBorder="1" applyAlignment="1">
      <alignment horizontal="center" vertical="center"/>
    </xf>
    <xf numFmtId="49" fontId="1" fillId="0" borderId="15" xfId="0" quotePrefix="1" applyNumberFormat="1" applyFont="1" applyBorder="1" applyAlignment="1">
      <alignment horizontal="center" vertical="center"/>
    </xf>
    <xf numFmtId="177" fontId="1" fillId="0" borderId="17" xfId="0" applyNumberFormat="1" applyFont="1" applyBorder="1" applyAlignment="1">
      <alignment horizontal="right" vertical="center"/>
    </xf>
    <xf numFmtId="177" fontId="1" fillId="0" borderId="14" xfId="0" applyNumberFormat="1" applyFont="1" applyBorder="1" applyAlignment="1">
      <alignment horizontal="right" vertical="center"/>
    </xf>
    <xf numFmtId="177" fontId="1" fillId="0" borderId="4" xfId="0" applyNumberFormat="1" applyFont="1" applyBorder="1" applyAlignment="1">
      <alignment horizontal="right" vertical="center"/>
    </xf>
    <xf numFmtId="177" fontId="1" fillId="5" borderId="10" xfId="0" applyNumberFormat="1" applyFont="1" applyFill="1" applyBorder="1" applyAlignment="1">
      <alignment horizontal="center" vertical="center"/>
    </xf>
    <xf numFmtId="177" fontId="1" fillId="3" borderId="10" xfId="0" applyNumberFormat="1" applyFont="1" applyFill="1" applyBorder="1" applyAlignment="1">
      <alignment horizontal="center" vertical="center"/>
    </xf>
    <xf numFmtId="177" fontId="1" fillId="4" borderId="10" xfId="0" applyNumberFormat="1" applyFont="1" applyFill="1" applyBorder="1" applyAlignment="1">
      <alignment horizontal="center" vertical="center"/>
    </xf>
    <xf numFmtId="177" fontId="1" fillId="0" borderId="10" xfId="0" applyNumberFormat="1" applyFont="1" applyBorder="1" applyAlignment="1">
      <alignment horizontal="center" vertical="center"/>
    </xf>
    <xf numFmtId="177" fontId="1" fillId="0" borderId="16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7" fontId="1" fillId="0" borderId="13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178" fontId="9" fillId="0" borderId="10" xfId="0" applyNumberFormat="1" applyFont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17" fontId="10" fillId="6" borderId="10" xfId="0" quotePrefix="1" applyNumberFormat="1" applyFont="1" applyFill="1" applyBorder="1" applyAlignment="1">
      <alignment horizontal="center" vertical="center"/>
    </xf>
    <xf numFmtId="17" fontId="10" fillId="6" borderId="10" xfId="0" quotePrefix="1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178" fontId="9" fillId="0" borderId="10" xfId="0" applyNumberFormat="1" applyFont="1" applyFill="1" applyBorder="1" applyAlignment="1">
      <alignment horizontal="center" vertical="center"/>
    </xf>
    <xf numFmtId="178" fontId="9" fillId="0" borderId="18" xfId="0" applyNumberFormat="1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8" fontId="9" fillId="0" borderId="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0" borderId="10" xfId="0" applyFont="1" applyBorder="1">
      <alignment vertical="center"/>
    </xf>
    <xf numFmtId="0" fontId="9" fillId="8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 wrapText="1"/>
    </xf>
    <xf numFmtId="0" fontId="9" fillId="0" borderId="0" xfId="0" quotePrefix="1" applyFont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8" fillId="6" borderId="10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Fill="1">
      <alignment vertical="center"/>
    </xf>
    <xf numFmtId="0" fontId="9" fillId="0" borderId="0" xfId="0" applyFont="1" applyFill="1">
      <alignment vertical="center"/>
    </xf>
    <xf numFmtId="178" fontId="0" fillId="0" borderId="0" xfId="0" applyNumberFormat="1" applyFill="1">
      <alignment vertical="center"/>
    </xf>
    <xf numFmtId="0" fontId="10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9"/>
  <sheetViews>
    <sheetView tabSelected="1" zoomScale="85" zoomScaleNormal="85" workbookViewId="0"/>
  </sheetViews>
  <sheetFormatPr defaultRowHeight="16.5" x14ac:dyDescent="0.3"/>
  <cols>
    <col min="1" max="1" width="18" style="48" bestFit="1" customWidth="1"/>
    <col min="2" max="3" width="18" style="48" customWidth="1"/>
    <col min="4" max="4" width="15.125" style="48" customWidth="1"/>
    <col min="5" max="5" width="15.125" style="49" customWidth="1"/>
    <col min="6" max="6" width="15.125" style="48" customWidth="1"/>
    <col min="7" max="7" width="15.625" style="50" bestFit="1" customWidth="1"/>
    <col min="8" max="8" width="11" style="48" bestFit="1" customWidth="1"/>
    <col min="9" max="9" width="15.625" style="49" bestFit="1" customWidth="1"/>
    <col min="10" max="10" width="11" style="50" hidden="1" customWidth="1"/>
    <col min="11" max="11" width="15.625" style="50" hidden="1" customWidth="1"/>
    <col min="12" max="12" width="11" style="14" hidden="1" customWidth="1"/>
    <col min="13" max="13" width="15.625" style="50" hidden="1" customWidth="1"/>
    <col min="14" max="14" width="7.75" customWidth="1"/>
    <col min="15" max="15" width="22.625" style="50" customWidth="1"/>
    <col min="16" max="16" width="23.5" style="50" bestFit="1" customWidth="1"/>
    <col min="17" max="17" width="20.25" style="50" customWidth="1"/>
    <col min="18" max="18" width="32.625" style="62" customWidth="1"/>
    <col min="19" max="19" width="7.625" customWidth="1"/>
    <col min="20" max="20" width="17.5" style="52" customWidth="1"/>
    <col min="21" max="21" width="21.375" bestFit="1" customWidth="1"/>
    <col min="22" max="22" width="13" style="2" customWidth="1"/>
    <col min="23" max="23" width="26.25" bestFit="1" customWidth="1"/>
    <col min="24" max="24" width="10.375" customWidth="1"/>
  </cols>
  <sheetData>
    <row r="1" spans="1:24" ht="20.25" customHeight="1" thickBot="1" x14ac:dyDescent="0.35">
      <c r="A1" s="1"/>
      <c r="B1" s="134" t="s">
        <v>183</v>
      </c>
      <c r="C1" s="135"/>
      <c r="D1" s="134" t="s">
        <v>107</v>
      </c>
      <c r="E1" s="135"/>
      <c r="F1" s="134" t="s">
        <v>108</v>
      </c>
      <c r="G1" s="135"/>
      <c r="H1" s="134" t="s">
        <v>0</v>
      </c>
      <c r="I1" s="135"/>
      <c r="J1" s="134" t="s">
        <v>1</v>
      </c>
      <c r="K1" s="135"/>
      <c r="L1" s="136" t="s">
        <v>2</v>
      </c>
      <c r="M1" s="135"/>
      <c r="O1" s="10" t="s">
        <v>178</v>
      </c>
    </row>
    <row r="2" spans="1:24" ht="18" thickBot="1" x14ac:dyDescent="0.35">
      <c r="A2" s="3" t="s">
        <v>3</v>
      </c>
      <c r="B2" s="4" t="s">
        <v>4</v>
      </c>
      <c r="C2" s="5" t="s">
        <v>5</v>
      </c>
      <c r="D2" s="4" t="s">
        <v>4</v>
      </c>
      <c r="E2" s="5" t="s">
        <v>5</v>
      </c>
      <c r="F2" s="4" t="s">
        <v>4</v>
      </c>
      <c r="G2" s="5" t="s">
        <v>5</v>
      </c>
      <c r="H2" s="75" t="s">
        <v>4</v>
      </c>
      <c r="I2" s="76" t="s">
        <v>5</v>
      </c>
      <c r="J2" s="4" t="s">
        <v>4</v>
      </c>
      <c r="K2" s="5" t="s">
        <v>5</v>
      </c>
      <c r="L2" s="6" t="s">
        <v>4</v>
      </c>
      <c r="M2" s="5" t="s">
        <v>5</v>
      </c>
      <c r="O2" s="53" t="s">
        <v>6</v>
      </c>
      <c r="Q2" s="48"/>
      <c r="R2" s="50"/>
      <c r="X2" s="59"/>
    </row>
    <row r="3" spans="1:24" ht="17.25" x14ac:dyDescent="0.3">
      <c r="A3" s="67" t="s">
        <v>7</v>
      </c>
      <c r="B3" s="77" t="s">
        <v>184</v>
      </c>
      <c r="C3" s="20">
        <v>18008993600</v>
      </c>
      <c r="D3" s="77" t="s">
        <v>144</v>
      </c>
      <c r="E3" s="20">
        <v>31974511456</v>
      </c>
      <c r="F3" s="88" t="s">
        <v>109</v>
      </c>
      <c r="G3" s="20">
        <v>30497171392</v>
      </c>
      <c r="H3" s="77" t="s">
        <v>8</v>
      </c>
      <c r="I3" s="20">
        <v>2901143072</v>
      </c>
      <c r="J3" s="72" t="s">
        <v>9</v>
      </c>
      <c r="K3" s="8">
        <v>14298884672</v>
      </c>
      <c r="L3" s="9" t="s">
        <v>10</v>
      </c>
      <c r="M3" s="8">
        <v>18755840896</v>
      </c>
      <c r="O3" s="54" t="s">
        <v>179</v>
      </c>
      <c r="Q3" s="48"/>
      <c r="R3" s="50"/>
      <c r="X3" s="59"/>
    </row>
    <row r="4" spans="1:24" ht="17.25" x14ac:dyDescent="0.3">
      <c r="A4" s="68"/>
      <c r="B4" s="7" t="s">
        <v>185</v>
      </c>
      <c r="C4" s="8">
        <v>10387595296</v>
      </c>
      <c r="D4" s="7" t="s">
        <v>145</v>
      </c>
      <c r="E4" s="8">
        <v>31406491488</v>
      </c>
      <c r="F4" s="89" t="s">
        <v>110</v>
      </c>
      <c r="G4" s="8">
        <v>32764296352</v>
      </c>
      <c r="H4" s="7" t="s">
        <v>11</v>
      </c>
      <c r="I4" s="8">
        <v>6470793504</v>
      </c>
      <c r="J4" s="72" t="s">
        <v>12</v>
      </c>
      <c r="K4" s="8">
        <v>27228590976</v>
      </c>
      <c r="L4" s="9" t="s">
        <v>13</v>
      </c>
      <c r="M4" s="8">
        <v>6773244032</v>
      </c>
      <c r="O4" s="10" t="s">
        <v>106</v>
      </c>
      <c r="Q4" s="48"/>
      <c r="R4" s="50"/>
      <c r="X4" s="59"/>
    </row>
    <row r="5" spans="1:24" ht="17.25" x14ac:dyDescent="0.3">
      <c r="A5" s="68"/>
      <c r="B5" s="7" t="s">
        <v>186</v>
      </c>
      <c r="C5" s="8">
        <v>12555896608</v>
      </c>
      <c r="D5" s="7" t="s">
        <v>146</v>
      </c>
      <c r="E5" s="8">
        <v>29902531808</v>
      </c>
      <c r="F5" s="89" t="s">
        <v>111</v>
      </c>
      <c r="G5" s="8">
        <v>31175200480</v>
      </c>
      <c r="H5" s="7" t="s">
        <v>14</v>
      </c>
      <c r="I5" s="8">
        <v>15892402784</v>
      </c>
      <c r="J5" s="72" t="s">
        <v>15</v>
      </c>
      <c r="K5" s="8">
        <v>34283385600</v>
      </c>
      <c r="L5" s="9" t="s">
        <v>16</v>
      </c>
      <c r="M5" s="8">
        <v>22695139552</v>
      </c>
      <c r="O5" s="10" t="s">
        <v>180</v>
      </c>
      <c r="Q5" s="48"/>
      <c r="R5" s="50"/>
      <c r="X5" s="59"/>
    </row>
    <row r="6" spans="1:24" ht="17.25" x14ac:dyDescent="0.3">
      <c r="A6" s="68"/>
      <c r="B6" s="7" t="s">
        <v>187</v>
      </c>
      <c r="C6" s="8">
        <v>22124640288</v>
      </c>
      <c r="D6" s="7" t="s">
        <v>147</v>
      </c>
      <c r="E6" s="8">
        <v>20615464256</v>
      </c>
      <c r="F6" s="89" t="s">
        <v>112</v>
      </c>
      <c r="G6" s="8">
        <v>34918225120</v>
      </c>
      <c r="H6" s="7" t="s">
        <v>17</v>
      </c>
      <c r="I6" s="8">
        <v>16834257888</v>
      </c>
      <c r="J6" s="72" t="s">
        <v>18</v>
      </c>
      <c r="K6" s="8">
        <v>33343243520</v>
      </c>
      <c r="L6" s="9" t="s">
        <v>19</v>
      </c>
      <c r="M6" s="8">
        <v>13849743744</v>
      </c>
      <c r="O6" s="10" t="s">
        <v>104</v>
      </c>
      <c r="Q6" s="48"/>
      <c r="R6" s="50"/>
      <c r="X6" s="59"/>
    </row>
    <row r="7" spans="1:24" ht="17.25" x14ac:dyDescent="0.3">
      <c r="A7" s="68"/>
      <c r="B7" s="7" t="s">
        <v>188</v>
      </c>
      <c r="C7" s="8">
        <v>12793858336</v>
      </c>
      <c r="D7" s="7" t="s">
        <v>148</v>
      </c>
      <c r="E7" s="8">
        <v>1755991584</v>
      </c>
      <c r="F7" s="11" t="s">
        <v>113</v>
      </c>
      <c r="G7" s="8">
        <v>28918677888</v>
      </c>
      <c r="H7" s="7" t="s">
        <v>20</v>
      </c>
      <c r="I7" s="8">
        <v>2146561568</v>
      </c>
      <c r="J7" s="73" t="s">
        <v>21</v>
      </c>
      <c r="K7" s="8">
        <v>28931529056</v>
      </c>
      <c r="L7" s="9" t="s">
        <v>22</v>
      </c>
      <c r="M7" s="8">
        <v>26792646176</v>
      </c>
      <c r="O7" s="10"/>
      <c r="Q7" s="48"/>
      <c r="R7" s="50"/>
      <c r="X7" s="59"/>
    </row>
    <row r="8" spans="1:24" ht="17.25" x14ac:dyDescent="0.3">
      <c r="A8" s="68"/>
      <c r="B8" s="7" t="s">
        <v>189</v>
      </c>
      <c r="C8" s="8">
        <v>31513820864</v>
      </c>
      <c r="D8" s="7" t="s">
        <v>149</v>
      </c>
      <c r="E8" s="8">
        <v>8140887072</v>
      </c>
      <c r="F8" s="11" t="s">
        <v>114</v>
      </c>
      <c r="G8" s="8">
        <v>25030201440</v>
      </c>
      <c r="H8" s="7" t="s">
        <v>26</v>
      </c>
      <c r="I8" s="8">
        <v>31910262144</v>
      </c>
      <c r="J8" s="73" t="s">
        <v>27</v>
      </c>
      <c r="K8" s="8">
        <v>24685193472</v>
      </c>
      <c r="L8" s="9" t="s">
        <v>28</v>
      </c>
      <c r="M8" s="8">
        <v>20981708480</v>
      </c>
      <c r="O8" s="58" t="s">
        <v>225</v>
      </c>
      <c r="R8" s="50"/>
      <c r="X8" s="59"/>
    </row>
    <row r="9" spans="1:24" ht="17.25" x14ac:dyDescent="0.3">
      <c r="A9" s="68"/>
      <c r="B9" s="7" t="s">
        <v>190</v>
      </c>
      <c r="C9" s="8">
        <v>30360279840</v>
      </c>
      <c r="D9" s="7" t="s">
        <v>150</v>
      </c>
      <c r="E9" s="8">
        <v>24493204608</v>
      </c>
      <c r="F9" s="11" t="s">
        <v>115</v>
      </c>
      <c r="G9" s="8">
        <v>29963198144</v>
      </c>
      <c r="H9" s="7" t="s">
        <v>29</v>
      </c>
      <c r="I9" s="8">
        <v>32530184224</v>
      </c>
      <c r="J9" s="73" t="s">
        <v>30</v>
      </c>
      <c r="K9" s="8">
        <v>13022763360</v>
      </c>
      <c r="L9" s="9" t="s">
        <v>31</v>
      </c>
      <c r="M9" s="8">
        <v>27019237152</v>
      </c>
      <c r="O9" s="63" t="s">
        <v>183</v>
      </c>
      <c r="P9" s="63" t="s">
        <v>23</v>
      </c>
      <c r="Q9" s="63" t="s">
        <v>24</v>
      </c>
      <c r="R9" s="64" t="s">
        <v>25</v>
      </c>
      <c r="T9" s="48"/>
      <c r="X9" s="61"/>
    </row>
    <row r="10" spans="1:24" ht="17.25" x14ac:dyDescent="0.3">
      <c r="A10" s="68"/>
      <c r="B10" s="7" t="s">
        <v>191</v>
      </c>
      <c r="C10" s="8">
        <v>28565435744</v>
      </c>
      <c r="D10" s="7" t="s">
        <v>151</v>
      </c>
      <c r="E10" s="8">
        <v>35110126912</v>
      </c>
      <c r="F10" s="40" t="s">
        <v>116</v>
      </c>
      <c r="G10" s="8">
        <v>28792679936</v>
      </c>
      <c r="H10" s="7" t="s">
        <v>33</v>
      </c>
      <c r="I10" s="8">
        <v>34197763776</v>
      </c>
      <c r="J10" s="46"/>
      <c r="K10" s="13"/>
      <c r="L10" s="9" t="s">
        <v>34</v>
      </c>
      <c r="M10" s="8">
        <v>216178496</v>
      </c>
      <c r="O10" s="57" t="s">
        <v>7</v>
      </c>
      <c r="P10" s="81">
        <f>SUM(C3:C15)/1024/1024/1024</f>
        <v>305.45453330874443</v>
      </c>
      <c r="Q10" s="57">
        <v>13</v>
      </c>
      <c r="R10" s="65">
        <f t="shared" ref="R10:R17" si="0">P10/P20-1</f>
        <v>7.3712713754175097E-2</v>
      </c>
      <c r="T10" s="48">
        <f>ROUNDUP(P10/9.6,0)</f>
        <v>32</v>
      </c>
      <c r="X10" s="61"/>
    </row>
    <row r="11" spans="1:24" ht="17.25" x14ac:dyDescent="0.3">
      <c r="A11" s="68"/>
      <c r="B11" s="7" t="s">
        <v>192</v>
      </c>
      <c r="C11" s="8">
        <v>31536936832</v>
      </c>
      <c r="D11" s="7" t="s">
        <v>152</v>
      </c>
      <c r="E11" s="8">
        <v>31552273760</v>
      </c>
      <c r="F11" s="40" t="s">
        <v>117</v>
      </c>
      <c r="G11" s="8">
        <v>10912826912</v>
      </c>
      <c r="H11" s="7" t="s">
        <v>36</v>
      </c>
      <c r="I11" s="8">
        <v>32491564128</v>
      </c>
      <c r="J11" s="46"/>
      <c r="K11" s="13"/>
      <c r="M11" s="13"/>
      <c r="O11" s="57" t="s">
        <v>32</v>
      </c>
      <c r="P11" s="81">
        <f>SUM(C34:C38)/1024/1024/1024</f>
        <v>81.790421187877655</v>
      </c>
      <c r="Q11" s="57">
        <v>5</v>
      </c>
      <c r="R11" s="65">
        <f t="shared" si="0"/>
        <v>7.8704879364891012E-2</v>
      </c>
      <c r="T11" s="48">
        <f t="shared" ref="T11:T15" si="1">ROUNDUP(P11/9.6,0)</f>
        <v>9</v>
      </c>
      <c r="X11" s="61"/>
    </row>
    <row r="12" spans="1:24" x14ac:dyDescent="0.3">
      <c r="A12" s="68"/>
      <c r="B12" s="7" t="s">
        <v>193</v>
      </c>
      <c r="C12" s="8">
        <v>39308541088</v>
      </c>
      <c r="D12" s="7" t="s">
        <v>153</v>
      </c>
      <c r="E12" s="8">
        <v>30952288352</v>
      </c>
      <c r="F12" s="40" t="s">
        <v>118</v>
      </c>
      <c r="G12" s="8">
        <v>1196856096</v>
      </c>
      <c r="H12" s="7" t="s">
        <v>38</v>
      </c>
      <c r="I12" s="8">
        <v>33691780864</v>
      </c>
      <c r="J12" s="46"/>
      <c r="K12" s="13"/>
      <c r="M12" s="13"/>
      <c r="O12" s="57" t="s">
        <v>35</v>
      </c>
      <c r="P12" s="82">
        <f>SUM(C16:C33)/1024/1024/1024</f>
        <v>106.31435336638242</v>
      </c>
      <c r="Q12" s="57">
        <v>18</v>
      </c>
      <c r="R12" s="65">
        <f t="shared" si="0"/>
        <v>0.11405407795518396</v>
      </c>
      <c r="T12" s="48">
        <f t="shared" si="1"/>
        <v>12</v>
      </c>
    </row>
    <row r="13" spans="1:24" ht="17.25" thickBot="1" x14ac:dyDescent="0.35">
      <c r="A13" s="68"/>
      <c r="B13" s="7" t="s">
        <v>194</v>
      </c>
      <c r="C13" s="8">
        <v>31990155840</v>
      </c>
      <c r="D13" s="7" t="s">
        <v>154</v>
      </c>
      <c r="E13" s="8">
        <v>28168451424</v>
      </c>
      <c r="F13" s="40"/>
      <c r="G13" s="8"/>
      <c r="H13" s="7" t="s">
        <v>40</v>
      </c>
      <c r="I13" s="8">
        <v>5403233312</v>
      </c>
      <c r="J13" s="70"/>
      <c r="K13" s="18"/>
      <c r="L13" s="19"/>
      <c r="M13" s="18"/>
      <c r="O13" s="57" t="s">
        <v>37</v>
      </c>
      <c r="P13" s="83">
        <f>SUM(C39:C40)/1024/1024/1024</f>
        <v>4.2200015783309937</v>
      </c>
      <c r="Q13" s="57">
        <v>2</v>
      </c>
      <c r="R13" s="65">
        <f t="shared" si="0"/>
        <v>2.1827913864294723E-2</v>
      </c>
      <c r="T13" s="48">
        <f t="shared" si="1"/>
        <v>1</v>
      </c>
    </row>
    <row r="14" spans="1:24" x14ac:dyDescent="0.3">
      <c r="A14" s="68"/>
      <c r="B14" s="7" t="s">
        <v>195</v>
      </c>
      <c r="C14" s="8">
        <v>31623730944</v>
      </c>
      <c r="D14" s="7" t="s">
        <v>155</v>
      </c>
      <c r="E14" s="8">
        <v>31390592000</v>
      </c>
      <c r="F14" s="40"/>
      <c r="G14" s="8"/>
      <c r="H14" s="7"/>
      <c r="I14" s="8"/>
      <c r="J14" s="74" t="s">
        <v>43</v>
      </c>
      <c r="K14" s="20">
        <v>297459072</v>
      </c>
      <c r="L14" s="22" t="s">
        <v>44</v>
      </c>
      <c r="M14" s="20">
        <v>6409540740</v>
      </c>
      <c r="O14" s="57" t="s">
        <v>45</v>
      </c>
      <c r="P14" s="82">
        <f>SUM(C46)/1024/1024/1024</f>
        <v>7.2736578155308962</v>
      </c>
      <c r="Q14" s="57">
        <v>1</v>
      </c>
      <c r="R14" s="65">
        <f t="shared" si="0"/>
        <v>0.13732985041639845</v>
      </c>
      <c r="T14" s="48">
        <f t="shared" si="1"/>
        <v>1</v>
      </c>
    </row>
    <row r="15" spans="1:24" ht="17.25" thickBot="1" x14ac:dyDescent="0.35">
      <c r="A15" s="69"/>
      <c r="B15" s="15" t="s">
        <v>196</v>
      </c>
      <c r="C15" s="16">
        <v>27209422464</v>
      </c>
      <c r="D15" s="15"/>
      <c r="E15" s="16"/>
      <c r="F15" s="42"/>
      <c r="G15" s="16"/>
      <c r="H15" s="15"/>
      <c r="I15" s="16"/>
      <c r="J15" s="11" t="s">
        <v>47</v>
      </c>
      <c r="K15" s="8">
        <v>6664613024</v>
      </c>
      <c r="L15" s="9" t="s">
        <v>48</v>
      </c>
      <c r="M15" s="8">
        <v>8198161529</v>
      </c>
      <c r="O15" s="57" t="s">
        <v>49</v>
      </c>
      <c r="P15" s="83">
        <f>SUM(C47:C48)/1024/1024/1024</f>
        <v>1.8247807659208775</v>
      </c>
      <c r="Q15" s="57">
        <v>2</v>
      </c>
      <c r="R15" s="65">
        <f t="shared" si="0"/>
        <v>-0.78604118612012175</v>
      </c>
      <c r="T15" s="48">
        <f t="shared" si="1"/>
        <v>1</v>
      </c>
      <c r="U15" s="2"/>
    </row>
    <row r="16" spans="1:24" x14ac:dyDescent="0.3">
      <c r="A16" s="67" t="s">
        <v>35</v>
      </c>
      <c r="B16" s="89" t="s">
        <v>202</v>
      </c>
      <c r="C16" s="8">
        <v>5999453243</v>
      </c>
      <c r="D16" s="89" t="s">
        <v>161</v>
      </c>
      <c r="E16" s="8">
        <v>4898858093</v>
      </c>
      <c r="F16" s="11" t="s">
        <v>119</v>
      </c>
      <c r="G16" s="71">
        <v>105031136</v>
      </c>
      <c r="H16" s="89" t="s">
        <v>42</v>
      </c>
      <c r="I16" s="8">
        <v>4876231462</v>
      </c>
      <c r="J16" s="89" t="s">
        <v>51</v>
      </c>
      <c r="K16" s="8">
        <v>1502834437</v>
      </c>
      <c r="L16" s="9" t="s">
        <v>52</v>
      </c>
      <c r="M16" s="8">
        <v>9214111637</v>
      </c>
      <c r="O16" s="57" t="s">
        <v>53</v>
      </c>
      <c r="P16" s="84">
        <f>SUM(P10:P15)</f>
        <v>506.87774802278727</v>
      </c>
      <c r="Q16" s="57">
        <f>SUM(Q10:Q15)</f>
        <v>41</v>
      </c>
      <c r="R16" s="65">
        <f t="shared" si="0"/>
        <v>6.7580203796065996E-2</v>
      </c>
      <c r="T16" s="48"/>
      <c r="U16" s="2"/>
    </row>
    <row r="17" spans="1:21" x14ac:dyDescent="0.3">
      <c r="A17" s="68"/>
      <c r="B17" s="11" t="s">
        <v>203</v>
      </c>
      <c r="C17" s="8">
        <v>5868416155</v>
      </c>
      <c r="D17" s="11" t="s">
        <v>162</v>
      </c>
      <c r="E17" s="8">
        <v>7006944027</v>
      </c>
      <c r="F17" s="11" t="s">
        <v>120</v>
      </c>
      <c r="G17" s="71">
        <v>3337623619</v>
      </c>
      <c r="H17" s="11" t="s">
        <v>46</v>
      </c>
      <c r="I17" s="8">
        <v>7649546978</v>
      </c>
      <c r="J17" s="11" t="s">
        <v>55</v>
      </c>
      <c r="K17" s="8">
        <v>7344358338</v>
      </c>
      <c r="L17" s="9" t="s">
        <v>56</v>
      </c>
      <c r="M17" s="8">
        <v>4414894944</v>
      </c>
      <c r="O17" s="57" t="s">
        <v>105</v>
      </c>
      <c r="P17" s="84">
        <f>SUM(P10:P14)</f>
        <v>505.0529672568664</v>
      </c>
      <c r="Q17" s="51">
        <f>SUM(Q16-Q15)</f>
        <v>39</v>
      </c>
      <c r="R17" s="65">
        <f t="shared" si="0"/>
        <v>8.3194241274791692E-2</v>
      </c>
      <c r="T17" s="56"/>
      <c r="U17" s="2"/>
    </row>
    <row r="18" spans="1:21" x14ac:dyDescent="0.3">
      <c r="A18" s="68"/>
      <c r="B18" s="11" t="s">
        <v>204</v>
      </c>
      <c r="C18" s="8">
        <v>5862597591</v>
      </c>
      <c r="D18" s="11" t="s">
        <v>163</v>
      </c>
      <c r="E18" s="8">
        <v>899297728</v>
      </c>
      <c r="F18" s="89" t="s">
        <v>121</v>
      </c>
      <c r="G18" s="71">
        <v>7019226816</v>
      </c>
      <c r="H18" s="11" t="s">
        <v>50</v>
      </c>
      <c r="I18" s="8">
        <v>4078649088</v>
      </c>
      <c r="J18" s="89" t="s">
        <v>58</v>
      </c>
      <c r="K18" s="8">
        <v>5419771552</v>
      </c>
      <c r="L18" s="9" t="s">
        <v>59</v>
      </c>
      <c r="M18" s="8">
        <v>4515211384</v>
      </c>
      <c r="O18" s="10"/>
      <c r="Q18" s="48"/>
      <c r="R18" s="50"/>
      <c r="U18" s="2"/>
    </row>
    <row r="19" spans="1:21" x14ac:dyDescent="0.3">
      <c r="A19" s="68"/>
      <c r="B19" s="11" t="s">
        <v>205</v>
      </c>
      <c r="C19" s="8">
        <v>6714332480</v>
      </c>
      <c r="D19" s="11" t="s">
        <v>164</v>
      </c>
      <c r="E19" s="8">
        <v>12444297837</v>
      </c>
      <c r="F19" s="11" t="s">
        <v>122</v>
      </c>
      <c r="G19" s="71">
        <v>13919522646</v>
      </c>
      <c r="H19" s="11" t="s">
        <v>54</v>
      </c>
      <c r="I19" s="8">
        <v>6445228517</v>
      </c>
      <c r="J19" s="11" t="s">
        <v>61</v>
      </c>
      <c r="K19" s="8">
        <v>5078859808</v>
      </c>
      <c r="L19" s="9" t="s">
        <v>62</v>
      </c>
      <c r="M19" s="8">
        <v>7011419504</v>
      </c>
      <c r="O19" s="63" t="s">
        <v>107</v>
      </c>
      <c r="P19" s="63" t="s">
        <v>23</v>
      </c>
      <c r="Q19" s="63" t="s">
        <v>24</v>
      </c>
      <c r="R19" s="64" t="s">
        <v>25</v>
      </c>
      <c r="T19" s="48"/>
      <c r="U19" s="2"/>
    </row>
    <row r="20" spans="1:21" x14ac:dyDescent="0.3">
      <c r="A20" s="68"/>
      <c r="B20" s="11" t="s">
        <v>206</v>
      </c>
      <c r="C20" s="8">
        <v>8023098911</v>
      </c>
      <c r="D20" s="11" t="s">
        <v>165</v>
      </c>
      <c r="E20" s="8">
        <v>11450657815</v>
      </c>
      <c r="F20" s="89" t="s">
        <v>123</v>
      </c>
      <c r="G20" s="71">
        <v>10892459432</v>
      </c>
      <c r="H20" s="11" t="s">
        <v>57</v>
      </c>
      <c r="I20" s="8">
        <v>10525708717</v>
      </c>
      <c r="J20" s="11" t="s">
        <v>64</v>
      </c>
      <c r="K20" s="8">
        <v>3895188640</v>
      </c>
      <c r="L20" s="9" t="s">
        <v>65</v>
      </c>
      <c r="M20" s="8">
        <v>9519995610</v>
      </c>
      <c r="O20" s="57" t="s">
        <v>7</v>
      </c>
      <c r="P20" s="81">
        <f>SUM(E3:E15)/1024/1024/1024</f>
        <v>284.48441505432129</v>
      </c>
      <c r="Q20" s="57">
        <v>12</v>
      </c>
      <c r="R20" s="65">
        <f>P20/P30-1</f>
        <v>0.2018082992200545</v>
      </c>
      <c r="T20" s="48">
        <f>ROUNDUP(P20/9.6,0)</f>
        <v>30</v>
      </c>
      <c r="U20" s="2"/>
    </row>
    <row r="21" spans="1:21" x14ac:dyDescent="0.3">
      <c r="A21" s="68"/>
      <c r="B21" s="11" t="s">
        <v>207</v>
      </c>
      <c r="C21" s="8">
        <v>3437323875</v>
      </c>
      <c r="D21" s="11" t="s">
        <v>166</v>
      </c>
      <c r="E21" s="8">
        <v>12714832880</v>
      </c>
      <c r="F21" s="11" t="s">
        <v>124</v>
      </c>
      <c r="G21" s="71">
        <v>18172702580</v>
      </c>
      <c r="H21" s="11" t="s">
        <v>60</v>
      </c>
      <c r="I21" s="8">
        <v>8128574036</v>
      </c>
      <c r="J21" s="11" t="s">
        <v>67</v>
      </c>
      <c r="K21" s="8">
        <v>944213546</v>
      </c>
      <c r="L21" s="9" t="s">
        <v>68</v>
      </c>
      <c r="M21" s="8">
        <v>6858396611</v>
      </c>
      <c r="O21" s="57" t="s">
        <v>32</v>
      </c>
      <c r="P21" s="81">
        <f>SUM(E34:E38)/1024/1024/1024</f>
        <v>75.82279708981514</v>
      </c>
      <c r="Q21" s="57">
        <v>5</v>
      </c>
      <c r="R21" s="65">
        <f>P21/P31-1</f>
        <v>0.18026235920571732</v>
      </c>
      <c r="T21" s="48">
        <f t="shared" ref="T21:T25" si="2">ROUNDUP(P21/9.6,0)</f>
        <v>8</v>
      </c>
      <c r="U21" s="2"/>
    </row>
    <row r="22" spans="1:21" x14ac:dyDescent="0.3">
      <c r="A22" s="68"/>
      <c r="B22" s="11" t="s">
        <v>208</v>
      </c>
      <c r="C22" s="8">
        <v>7299561977</v>
      </c>
      <c r="D22" s="11" t="s">
        <v>167</v>
      </c>
      <c r="E22" s="8">
        <v>13874078390</v>
      </c>
      <c r="F22" s="11" t="s">
        <v>125</v>
      </c>
      <c r="G22" s="71">
        <v>12831585075</v>
      </c>
      <c r="H22" s="11" t="s">
        <v>63</v>
      </c>
      <c r="I22" s="8">
        <v>5944735710</v>
      </c>
      <c r="J22" s="11" t="s">
        <v>70</v>
      </c>
      <c r="K22" s="8">
        <v>7240471048</v>
      </c>
      <c r="M22" s="13"/>
      <c r="O22" s="57" t="s">
        <v>35</v>
      </c>
      <c r="P22" s="82">
        <f>SUM(E16:E26)/1024/1024/1024</f>
        <v>95.430155025795102</v>
      </c>
      <c r="Q22" s="57">
        <v>11</v>
      </c>
      <c r="R22" s="65">
        <f>P22/P32-1</f>
        <v>0.33356875476235559</v>
      </c>
      <c r="T22" s="48">
        <f t="shared" si="2"/>
        <v>10</v>
      </c>
      <c r="U22" s="2"/>
    </row>
    <row r="23" spans="1:21" x14ac:dyDescent="0.3">
      <c r="A23" s="68"/>
      <c r="B23" s="89" t="s">
        <v>209</v>
      </c>
      <c r="C23" s="8">
        <v>3851924576</v>
      </c>
      <c r="D23" s="89" t="s">
        <v>168</v>
      </c>
      <c r="E23" s="8">
        <v>12315455580</v>
      </c>
      <c r="F23" s="11" t="s">
        <v>126</v>
      </c>
      <c r="G23" s="71">
        <v>3547749600</v>
      </c>
      <c r="H23" s="89" t="s">
        <v>66</v>
      </c>
      <c r="I23" s="8">
        <v>13823386331</v>
      </c>
      <c r="J23" s="11" t="s">
        <v>71</v>
      </c>
      <c r="K23" s="8">
        <v>3787510867</v>
      </c>
      <c r="M23" s="13"/>
      <c r="O23" s="57" t="s">
        <v>37</v>
      </c>
      <c r="P23" s="83">
        <f>SUM(E39:E40)/1024/1024/1024</f>
        <v>4.1298554493114352</v>
      </c>
      <c r="Q23" s="57">
        <v>2</v>
      </c>
      <c r="R23" s="65">
        <f>P23/P33-1</f>
        <v>0.24284086762137758</v>
      </c>
      <c r="T23" s="48">
        <f t="shared" si="2"/>
        <v>1</v>
      </c>
      <c r="U23" s="2"/>
    </row>
    <row r="24" spans="1:21" x14ac:dyDescent="0.3">
      <c r="A24" s="68"/>
      <c r="B24" s="89" t="s">
        <v>210</v>
      </c>
      <c r="C24" s="8">
        <v>401191264</v>
      </c>
      <c r="D24" s="89" t="s">
        <v>169</v>
      </c>
      <c r="E24" s="8">
        <v>7151839752</v>
      </c>
      <c r="F24" s="11" t="s">
        <v>127</v>
      </c>
      <c r="G24" s="71">
        <v>1905220960</v>
      </c>
      <c r="H24" s="89" t="s">
        <v>69</v>
      </c>
      <c r="I24" s="8">
        <v>10332607380</v>
      </c>
      <c r="J24" s="11" t="s">
        <v>72</v>
      </c>
      <c r="K24" s="8">
        <v>3375906304</v>
      </c>
      <c r="M24" s="13"/>
      <c r="O24" s="57" t="s">
        <v>45</v>
      </c>
      <c r="P24" s="82">
        <f>SUM(E46)/1024/1024/1024</f>
        <v>6.3953810874372721</v>
      </c>
      <c r="Q24" s="57">
        <v>1</v>
      </c>
      <c r="R24" s="65">
        <f>P24/P36-1</f>
        <v>0.23469456198916583</v>
      </c>
      <c r="T24" s="48">
        <f t="shared" si="2"/>
        <v>1</v>
      </c>
    </row>
    <row r="25" spans="1:21" x14ac:dyDescent="0.3">
      <c r="A25" s="68"/>
      <c r="B25" s="89" t="s">
        <v>211</v>
      </c>
      <c r="C25" s="8">
        <v>1497699785</v>
      </c>
      <c r="D25" s="89" t="s">
        <v>170</v>
      </c>
      <c r="E25" s="8">
        <v>11647595075</v>
      </c>
      <c r="F25" s="11" t="s">
        <v>128</v>
      </c>
      <c r="G25" s="71">
        <v>5105822880</v>
      </c>
      <c r="H25" s="89"/>
      <c r="I25" s="8"/>
      <c r="J25" s="11" t="s">
        <v>73</v>
      </c>
      <c r="K25" s="8">
        <v>1734351612</v>
      </c>
      <c r="M25" s="13"/>
      <c r="O25" s="57" t="s">
        <v>49</v>
      </c>
      <c r="P25" s="83">
        <f>SUM(E47:E48)/1024/1024/1024</f>
        <v>8.5286543369293213</v>
      </c>
      <c r="Q25" s="57">
        <v>2</v>
      </c>
      <c r="R25" s="65">
        <f>P25/P37-1</f>
        <v>4.2243398509229388</v>
      </c>
      <c r="T25" s="48">
        <f t="shared" si="2"/>
        <v>1</v>
      </c>
      <c r="U25" s="2"/>
    </row>
    <row r="26" spans="1:21" x14ac:dyDescent="0.3">
      <c r="A26" s="68"/>
      <c r="B26" s="91" t="s">
        <v>212</v>
      </c>
      <c r="C26" s="8">
        <v>5867584047</v>
      </c>
      <c r="D26" s="89" t="s">
        <v>171</v>
      </c>
      <c r="E26" s="8">
        <v>8063491545</v>
      </c>
      <c r="F26" s="11"/>
      <c r="G26" s="71"/>
      <c r="H26" s="91"/>
      <c r="I26" s="8"/>
      <c r="J26" s="11" t="s">
        <v>74</v>
      </c>
      <c r="K26" s="8">
        <v>6288217581</v>
      </c>
      <c r="M26" s="13"/>
      <c r="O26" s="57" t="s">
        <v>53</v>
      </c>
      <c r="P26" s="84">
        <f>SUM(P20:P25)</f>
        <v>474.79125804360956</v>
      </c>
      <c r="Q26" s="57">
        <f>SUM(Q20:Q25)</f>
        <v>33</v>
      </c>
      <c r="R26" s="65">
        <f>P26/P38-1</f>
        <v>0.12442028938390015</v>
      </c>
      <c r="T26" s="48"/>
      <c r="U26" s="2"/>
    </row>
    <row r="27" spans="1:21" ht="17.25" thickBot="1" x14ac:dyDescent="0.35">
      <c r="A27" s="68"/>
      <c r="B27" s="91" t="s">
        <v>213</v>
      </c>
      <c r="C27" s="8">
        <v>6059152576</v>
      </c>
      <c r="D27" s="91"/>
      <c r="E27" s="8"/>
      <c r="F27" s="11"/>
      <c r="G27" s="71"/>
      <c r="H27" s="91"/>
      <c r="I27" s="8"/>
      <c r="J27" s="23" t="s">
        <v>75</v>
      </c>
      <c r="K27" s="16">
        <v>1554538464</v>
      </c>
      <c r="L27" s="19"/>
      <c r="M27" s="18"/>
      <c r="O27" s="57" t="s">
        <v>105</v>
      </c>
      <c r="P27" s="84">
        <f>SUM(P20:P24)</f>
        <v>466.26260370668024</v>
      </c>
      <c r="Q27" s="51">
        <f>SUM(Q20:Q24)</f>
        <v>31</v>
      </c>
      <c r="R27" s="65">
        <f>P27/P39-1</f>
        <v>0.10850799973661185</v>
      </c>
      <c r="T27" s="56"/>
      <c r="U27" s="2"/>
    </row>
    <row r="28" spans="1:21" x14ac:dyDescent="0.3">
      <c r="A28" s="68"/>
      <c r="B28" s="91" t="s">
        <v>214</v>
      </c>
      <c r="C28" s="8">
        <v>14171190513</v>
      </c>
      <c r="D28" s="91"/>
      <c r="E28" s="8"/>
      <c r="F28" s="11"/>
      <c r="G28" s="71"/>
      <c r="H28" s="91"/>
      <c r="I28" s="8"/>
      <c r="J28" s="21" t="s">
        <v>77</v>
      </c>
      <c r="K28" s="20">
        <v>21739347648</v>
      </c>
      <c r="L28" s="22" t="s">
        <v>78</v>
      </c>
      <c r="M28" s="20">
        <v>4071765792</v>
      </c>
      <c r="U28" s="2"/>
    </row>
    <row r="29" spans="1:21" x14ac:dyDescent="0.3">
      <c r="A29" s="68"/>
      <c r="B29" s="91" t="s">
        <v>215</v>
      </c>
      <c r="C29" s="8">
        <v>12219292677</v>
      </c>
      <c r="D29" s="91"/>
      <c r="E29" s="8"/>
      <c r="F29" s="11"/>
      <c r="G29" s="71"/>
      <c r="H29" s="91"/>
      <c r="I29" s="8"/>
      <c r="J29" s="11" t="s">
        <v>80</v>
      </c>
      <c r="K29" s="8">
        <v>10045930208</v>
      </c>
      <c r="L29" s="9" t="s">
        <v>81</v>
      </c>
      <c r="M29" s="8">
        <v>8476195232</v>
      </c>
      <c r="O29" s="63" t="s">
        <v>108</v>
      </c>
      <c r="P29" s="63" t="s">
        <v>23</v>
      </c>
      <c r="Q29" s="63" t="s">
        <v>24</v>
      </c>
      <c r="R29" s="64" t="s">
        <v>25</v>
      </c>
      <c r="T29" s="48"/>
      <c r="U29" s="2"/>
    </row>
    <row r="30" spans="1:21" x14ac:dyDescent="0.3">
      <c r="A30" s="68"/>
      <c r="B30" s="91" t="s">
        <v>216</v>
      </c>
      <c r="C30" s="8">
        <v>7506183711</v>
      </c>
      <c r="D30" s="91"/>
      <c r="E30" s="8"/>
      <c r="F30" s="11"/>
      <c r="G30" s="71"/>
      <c r="H30" s="91"/>
      <c r="I30" s="8"/>
      <c r="J30" s="11" t="s">
        <v>83</v>
      </c>
      <c r="K30" s="8">
        <v>12260981792</v>
      </c>
      <c r="L30" s="9" t="s">
        <v>84</v>
      </c>
      <c r="M30" s="8">
        <v>8221741536</v>
      </c>
      <c r="O30" s="57" t="s">
        <v>7</v>
      </c>
      <c r="P30" s="81">
        <f>SUM(G3:G12)/1024/1024/1024</f>
        <v>236.71363830566406</v>
      </c>
      <c r="Q30" s="57">
        <v>10</v>
      </c>
      <c r="R30" s="65">
        <f t="shared" ref="R30:R39" si="3">P30/P42-1</f>
        <v>0.18510465919559516</v>
      </c>
      <c r="T30" s="48">
        <f>ROUNDUP(P30/9.6,0)</f>
        <v>25</v>
      </c>
      <c r="U30" s="2"/>
    </row>
    <row r="31" spans="1:21" x14ac:dyDescent="0.3">
      <c r="A31" s="68"/>
      <c r="B31" s="91" t="s">
        <v>217</v>
      </c>
      <c r="C31" s="8">
        <v>7207498290</v>
      </c>
      <c r="D31" s="91"/>
      <c r="E31" s="8"/>
      <c r="F31" s="11"/>
      <c r="G31" s="71"/>
      <c r="H31" s="91"/>
      <c r="I31" s="8"/>
      <c r="J31" s="12"/>
      <c r="K31" s="13"/>
      <c r="L31" s="9" t="s">
        <v>86</v>
      </c>
      <c r="M31" s="8">
        <v>4267167872</v>
      </c>
      <c r="O31" s="57" t="s">
        <v>32</v>
      </c>
      <c r="P31" s="81">
        <f>SUM(G34:G38)/1024/1024/1024</f>
        <v>64.24232417345047</v>
      </c>
      <c r="Q31" s="57">
        <v>5</v>
      </c>
      <c r="R31" s="65">
        <f t="shared" si="3"/>
        <v>0.48200730784535883</v>
      </c>
      <c r="T31" s="48">
        <f t="shared" ref="T31:T37" si="4">ROUNDUP(P31/9.6,0)</f>
        <v>7</v>
      </c>
      <c r="U31" s="2"/>
    </row>
    <row r="32" spans="1:21" ht="17.25" thickBot="1" x14ac:dyDescent="0.35">
      <c r="A32" s="68"/>
      <c r="B32" s="91" t="s">
        <v>218</v>
      </c>
      <c r="C32" s="8">
        <v>5866462969</v>
      </c>
      <c r="D32" s="91"/>
      <c r="E32" s="8"/>
      <c r="F32" s="11"/>
      <c r="G32" s="71"/>
      <c r="H32" s="91"/>
      <c r="I32" s="8"/>
      <c r="J32" s="17"/>
      <c r="K32" s="18"/>
      <c r="L32" s="24" t="s">
        <v>88</v>
      </c>
      <c r="M32" s="16">
        <v>8038821952</v>
      </c>
      <c r="O32" s="57" t="s">
        <v>35</v>
      </c>
      <c r="P32" s="82">
        <f>SUM(G16:G25)/1024/1024/1024</f>
        <v>71.55998120456934</v>
      </c>
      <c r="Q32" s="57">
        <v>10</v>
      </c>
      <c r="R32" s="65">
        <f t="shared" si="3"/>
        <v>7.0082860206969411E-2</v>
      </c>
      <c r="T32" s="48">
        <f t="shared" si="4"/>
        <v>8</v>
      </c>
      <c r="U32" s="2"/>
    </row>
    <row r="33" spans="1:23" ht="17.25" thickBot="1" x14ac:dyDescent="0.35">
      <c r="A33" s="68"/>
      <c r="B33" s="91" t="s">
        <v>219</v>
      </c>
      <c r="C33" s="8">
        <v>6301203061</v>
      </c>
      <c r="D33" s="91"/>
      <c r="E33" s="8"/>
      <c r="F33" s="11"/>
      <c r="G33" s="71"/>
      <c r="H33" s="91"/>
      <c r="I33" s="8"/>
      <c r="J33" s="21" t="s">
        <v>90</v>
      </c>
      <c r="K33" s="20">
        <v>1428228189</v>
      </c>
      <c r="L33" s="22" t="s">
        <v>91</v>
      </c>
      <c r="M33" s="20">
        <v>1450549124</v>
      </c>
      <c r="O33" s="57" t="s">
        <v>37</v>
      </c>
      <c r="P33" s="83">
        <f>SUM(G39:G40)/1024/1024/1024</f>
        <v>3.3229157142341137</v>
      </c>
      <c r="Q33" s="57">
        <v>2</v>
      </c>
      <c r="R33" s="65">
        <f t="shared" si="3"/>
        <v>0.70656820443567914</v>
      </c>
      <c r="T33" s="48">
        <f t="shared" si="4"/>
        <v>1</v>
      </c>
      <c r="U33" s="2"/>
    </row>
    <row r="34" spans="1:23" ht="17.25" thickBot="1" x14ac:dyDescent="0.35">
      <c r="A34" s="140" t="s">
        <v>103</v>
      </c>
      <c r="B34" s="88" t="s">
        <v>197</v>
      </c>
      <c r="C34" s="20">
        <v>17892974176</v>
      </c>
      <c r="D34" s="88" t="s">
        <v>156</v>
      </c>
      <c r="E34" s="20">
        <v>22733008000</v>
      </c>
      <c r="F34" s="21" t="s">
        <v>129</v>
      </c>
      <c r="G34" s="78">
        <v>7371513376</v>
      </c>
      <c r="H34" s="88" t="s">
        <v>76</v>
      </c>
      <c r="I34" s="20">
        <v>6110015136</v>
      </c>
      <c r="J34" s="23" t="s">
        <v>93</v>
      </c>
      <c r="K34" s="16">
        <v>598609400</v>
      </c>
      <c r="L34" s="24" t="s">
        <v>94</v>
      </c>
      <c r="M34" s="16">
        <v>571380611</v>
      </c>
      <c r="O34" s="57" t="s">
        <v>39</v>
      </c>
      <c r="P34" s="82">
        <f>SUM(G41:G44)/1024/1024/1024</f>
        <v>38.003798408433795</v>
      </c>
      <c r="Q34" s="57">
        <v>4</v>
      </c>
      <c r="R34" s="65">
        <f t="shared" si="3"/>
        <v>0.14193475945444423</v>
      </c>
      <c r="T34" s="48">
        <f t="shared" si="4"/>
        <v>4</v>
      </c>
      <c r="U34" s="2"/>
    </row>
    <row r="35" spans="1:23" ht="17.25" x14ac:dyDescent="0.3">
      <c r="A35" s="141"/>
      <c r="B35" s="89" t="s">
        <v>198</v>
      </c>
      <c r="C35" s="8">
        <v>20681337440</v>
      </c>
      <c r="D35" s="89" t="s">
        <v>157</v>
      </c>
      <c r="E35" s="8">
        <v>19075486016</v>
      </c>
      <c r="F35" s="11" t="s">
        <v>130</v>
      </c>
      <c r="G35" s="71">
        <v>18145831264</v>
      </c>
      <c r="H35" s="89" t="s">
        <v>79</v>
      </c>
      <c r="I35" s="8">
        <v>6073752960</v>
      </c>
      <c r="J35" s="88"/>
      <c r="K35" s="20"/>
      <c r="L35" s="25"/>
      <c r="M35" s="26"/>
      <c r="O35" s="57" t="s">
        <v>41</v>
      </c>
      <c r="P35" s="83">
        <f>SUM(G45)/1024/1024/1024</f>
        <v>1.5993910608813167</v>
      </c>
      <c r="Q35" s="57">
        <v>1</v>
      </c>
      <c r="R35" s="65">
        <f t="shared" si="3"/>
        <v>-2.4476517627766592E-2</v>
      </c>
      <c r="T35" s="48">
        <f t="shared" si="4"/>
        <v>1</v>
      </c>
      <c r="U35" s="2"/>
      <c r="V35" s="60"/>
    </row>
    <row r="36" spans="1:23" ht="17.25" x14ac:dyDescent="0.3">
      <c r="A36" s="141"/>
      <c r="B36" s="89" t="s">
        <v>199</v>
      </c>
      <c r="C36" s="8">
        <v>14712560928</v>
      </c>
      <c r="D36" s="89" t="s">
        <v>158</v>
      </c>
      <c r="E36" s="8">
        <v>20111812032</v>
      </c>
      <c r="F36" s="11" t="s">
        <v>131</v>
      </c>
      <c r="G36" s="71">
        <v>17891343328</v>
      </c>
      <c r="H36" s="89" t="s">
        <v>82</v>
      </c>
      <c r="I36" s="8">
        <v>10384246880</v>
      </c>
      <c r="J36" s="89"/>
      <c r="K36" s="8"/>
      <c r="M36" s="27"/>
      <c r="O36" s="57" t="s">
        <v>45</v>
      </c>
      <c r="P36" s="82">
        <f>SUM(G46)/1024/1024/1024</f>
        <v>5.1797272656112909</v>
      </c>
      <c r="Q36" s="57">
        <v>1</v>
      </c>
      <c r="R36" s="65">
        <f t="shared" si="3"/>
        <v>-0.1954932932592085</v>
      </c>
      <c r="T36" s="48">
        <f t="shared" si="4"/>
        <v>1</v>
      </c>
      <c r="U36" s="60"/>
      <c r="W36" s="60"/>
    </row>
    <row r="37" spans="1:23" ht="17.25" thickBot="1" x14ac:dyDescent="0.35">
      <c r="A37" s="141"/>
      <c r="B37" s="89" t="s">
        <v>200</v>
      </c>
      <c r="C37" s="8">
        <v>18020063584</v>
      </c>
      <c r="D37" s="89" t="s">
        <v>159</v>
      </c>
      <c r="E37" s="8">
        <v>14601302400</v>
      </c>
      <c r="F37" s="40" t="s">
        <v>132</v>
      </c>
      <c r="G37" s="71">
        <v>17438361504</v>
      </c>
      <c r="H37" s="89" t="s">
        <v>85</v>
      </c>
      <c r="I37" s="8">
        <v>12088940512</v>
      </c>
      <c r="J37" s="89"/>
      <c r="K37" s="8"/>
      <c r="M37" s="27"/>
      <c r="O37" s="57" t="s">
        <v>49</v>
      </c>
      <c r="P37" s="83">
        <f>SUM(G47:G48)/1024/1024/1024</f>
        <v>1.6324845971539617</v>
      </c>
      <c r="Q37" s="57">
        <v>2</v>
      </c>
      <c r="R37" s="65">
        <f t="shared" si="3"/>
        <v>-0.57175093087615148</v>
      </c>
      <c r="T37" s="48">
        <f t="shared" si="4"/>
        <v>1</v>
      </c>
      <c r="U37" s="2"/>
      <c r="W37" s="2"/>
    </row>
    <row r="38" spans="1:23" ht="17.25" thickBot="1" x14ac:dyDescent="0.35">
      <c r="A38" s="142"/>
      <c r="B38" s="23" t="s">
        <v>201</v>
      </c>
      <c r="C38" s="16">
        <v>16514859904</v>
      </c>
      <c r="D38" s="23" t="s">
        <v>160</v>
      </c>
      <c r="E38" s="16">
        <v>4892500000</v>
      </c>
      <c r="F38" s="42" t="s">
        <v>133</v>
      </c>
      <c r="G38" s="79">
        <v>8132620864</v>
      </c>
      <c r="H38" s="23" t="s">
        <v>87</v>
      </c>
      <c r="I38" s="16">
        <v>11887801728</v>
      </c>
      <c r="J38" s="28"/>
      <c r="K38" s="29"/>
      <c r="L38" s="30"/>
      <c r="M38" s="31"/>
      <c r="O38" s="57" t="s">
        <v>53</v>
      </c>
      <c r="P38" s="84">
        <f>SUM(P30:P37)</f>
        <v>422.25426072999835</v>
      </c>
      <c r="Q38" s="57">
        <f>SUM(Q30:Q37)</f>
        <v>35</v>
      </c>
      <c r="R38" s="65">
        <f t="shared" si="3"/>
        <v>0.18252197472706899</v>
      </c>
      <c r="T38" s="48"/>
      <c r="U38" s="2"/>
      <c r="W38" s="2"/>
    </row>
    <row r="39" spans="1:23" ht="17.25" thickBot="1" x14ac:dyDescent="0.35">
      <c r="A39" s="141" t="s">
        <v>37</v>
      </c>
      <c r="B39" s="92" t="s">
        <v>220</v>
      </c>
      <c r="C39" s="20">
        <v>1260732001</v>
      </c>
      <c r="D39" s="88" t="s">
        <v>172</v>
      </c>
      <c r="E39" s="20">
        <v>1980270632</v>
      </c>
      <c r="F39" s="21" t="s">
        <v>134</v>
      </c>
      <c r="G39" s="78">
        <v>1471339348</v>
      </c>
      <c r="H39" s="88" t="s">
        <v>89</v>
      </c>
      <c r="I39" s="20">
        <v>1431502415</v>
      </c>
      <c r="J39" s="33"/>
      <c r="K39" s="34"/>
      <c r="L39" s="30"/>
      <c r="M39" s="35"/>
      <c r="O39" s="57" t="s">
        <v>105</v>
      </c>
      <c r="P39" s="84">
        <f>SUM(P30:P36)</f>
        <v>420.62177613284439</v>
      </c>
      <c r="Q39" s="51">
        <f>SUM(Q30:Q36)</f>
        <v>33</v>
      </c>
      <c r="R39" s="65">
        <f t="shared" si="3"/>
        <v>0.19066109719737612</v>
      </c>
      <c r="T39" s="56"/>
      <c r="U39" s="2"/>
      <c r="W39" s="2"/>
    </row>
    <row r="40" spans="1:23" ht="17.25" thickBot="1" x14ac:dyDescent="0.35">
      <c r="A40" s="142"/>
      <c r="B40" s="92" t="s">
        <v>221</v>
      </c>
      <c r="C40" s="16">
        <v>3270460191</v>
      </c>
      <c r="D40" s="90" t="s">
        <v>173</v>
      </c>
      <c r="E40" s="16">
        <v>2454127891</v>
      </c>
      <c r="F40" s="23" t="s">
        <v>135</v>
      </c>
      <c r="G40" s="79">
        <v>2096614232</v>
      </c>
      <c r="H40" s="90" t="s">
        <v>92</v>
      </c>
      <c r="I40" s="16">
        <v>659216005</v>
      </c>
      <c r="J40" s="37"/>
      <c r="K40" s="38"/>
      <c r="L40" s="25"/>
      <c r="M40" s="39"/>
      <c r="T40" s="48"/>
      <c r="U40" s="2"/>
      <c r="W40" s="2"/>
    </row>
    <row r="41" spans="1:23" x14ac:dyDescent="0.3">
      <c r="A41" s="140" t="s">
        <v>39</v>
      </c>
      <c r="B41" s="137" t="s">
        <v>176</v>
      </c>
      <c r="C41" s="85" t="s">
        <v>177</v>
      </c>
      <c r="D41" s="137" t="s">
        <v>176</v>
      </c>
      <c r="E41" s="85" t="s">
        <v>177</v>
      </c>
      <c r="F41" s="88" t="s">
        <v>136</v>
      </c>
      <c r="G41" s="78">
        <v>12708196222</v>
      </c>
      <c r="H41" s="88" t="s">
        <v>95</v>
      </c>
      <c r="I41" s="20">
        <v>13245346413</v>
      </c>
      <c r="J41" s="12"/>
      <c r="K41" s="13"/>
      <c r="M41" s="41"/>
      <c r="O41" s="63" t="s">
        <v>0</v>
      </c>
      <c r="P41" s="63" t="s">
        <v>23</v>
      </c>
      <c r="Q41" s="63" t="s">
        <v>24</v>
      </c>
      <c r="R41" s="65" t="s">
        <v>181</v>
      </c>
      <c r="T41" s="48"/>
      <c r="U41" s="2"/>
      <c r="W41" s="2"/>
    </row>
    <row r="42" spans="1:23" ht="17.25" thickBot="1" x14ac:dyDescent="0.35">
      <c r="A42" s="141"/>
      <c r="B42" s="138"/>
      <c r="C42" s="86" t="s">
        <v>177</v>
      </c>
      <c r="D42" s="138"/>
      <c r="E42" s="86" t="s">
        <v>177</v>
      </c>
      <c r="F42" s="89" t="s">
        <v>137</v>
      </c>
      <c r="G42" s="71">
        <v>7632878486</v>
      </c>
      <c r="H42" s="89" t="s">
        <v>96</v>
      </c>
      <c r="I42" s="8">
        <v>12700070720</v>
      </c>
      <c r="J42" s="17"/>
      <c r="K42" s="18"/>
      <c r="L42" s="19"/>
      <c r="M42" s="43"/>
      <c r="O42" s="57" t="s">
        <v>7</v>
      </c>
      <c r="P42" s="81">
        <f>SUM(I3:I15)/1024/1024/1024</f>
        <v>199.74070346355438</v>
      </c>
      <c r="Q42" s="57">
        <v>11</v>
      </c>
      <c r="R42" s="65">
        <v>0.22001004964784787</v>
      </c>
      <c r="T42" s="48">
        <f>ROUNDUP(P42/9.6,0)</f>
        <v>21</v>
      </c>
      <c r="U42" s="2"/>
      <c r="W42" s="2"/>
    </row>
    <row r="43" spans="1:23" x14ac:dyDescent="0.3">
      <c r="A43" s="141"/>
      <c r="B43" s="138"/>
      <c r="C43" s="86" t="s">
        <v>177</v>
      </c>
      <c r="D43" s="138"/>
      <c r="E43" s="86" t="s">
        <v>177</v>
      </c>
      <c r="F43" s="89" t="s">
        <v>138</v>
      </c>
      <c r="G43" s="71">
        <v>5617062624</v>
      </c>
      <c r="H43" s="89" t="s">
        <v>97</v>
      </c>
      <c r="I43" s="8">
        <v>9788907866</v>
      </c>
      <c r="J43" s="46"/>
      <c r="K43" s="46"/>
      <c r="M43" s="47"/>
      <c r="O43" s="57" t="s">
        <v>32</v>
      </c>
      <c r="P43" s="81">
        <f>SUM(I34:I38)/1024/1024/1024</f>
        <v>43.348183125257492</v>
      </c>
      <c r="Q43" s="57">
        <v>6</v>
      </c>
      <c r="R43" s="65">
        <v>5.6724398120680197E-2</v>
      </c>
      <c r="T43" s="48">
        <f t="shared" ref="T43:T49" si="5">ROUNDUP(P43/9.6,0)</f>
        <v>5</v>
      </c>
      <c r="U43" s="2"/>
      <c r="W43" s="2"/>
    </row>
    <row r="44" spans="1:23" ht="17.25" thickBot="1" x14ac:dyDescent="0.35">
      <c r="A44" s="142"/>
      <c r="B44" s="139"/>
      <c r="C44" s="87" t="s">
        <v>177</v>
      </c>
      <c r="D44" s="139"/>
      <c r="E44" s="87" t="s">
        <v>177</v>
      </c>
      <c r="F44" s="90" t="s">
        <v>139</v>
      </c>
      <c r="G44" s="79">
        <v>14848130490</v>
      </c>
      <c r="H44" s="90"/>
      <c r="I44" s="16"/>
      <c r="O44" s="57" t="s">
        <v>35</v>
      </c>
      <c r="P44" s="82">
        <f>SUM(I16:I24)/1024/1024/1024</f>
        <v>66.873308475129306</v>
      </c>
      <c r="Q44" s="57">
        <v>9</v>
      </c>
      <c r="R44" s="65">
        <v>0.30250117729685511</v>
      </c>
      <c r="T44" s="48">
        <f t="shared" si="5"/>
        <v>7</v>
      </c>
      <c r="U44" s="2"/>
      <c r="W44" s="2"/>
    </row>
    <row r="45" spans="1:23" ht="17.25" thickBot="1" x14ac:dyDescent="0.35">
      <c r="A45" s="3" t="s">
        <v>41</v>
      </c>
      <c r="B45" s="91" t="s">
        <v>176</v>
      </c>
      <c r="C45" s="86" t="s">
        <v>177</v>
      </c>
      <c r="D45" s="89" t="s">
        <v>176</v>
      </c>
      <c r="E45" s="86" t="s">
        <v>177</v>
      </c>
      <c r="F45" s="89" t="s">
        <v>140</v>
      </c>
      <c r="G45" s="71">
        <v>1717333075</v>
      </c>
      <c r="H45" s="89" t="s">
        <v>98</v>
      </c>
      <c r="I45" s="8">
        <v>1760422077</v>
      </c>
      <c r="O45" s="57" t="s">
        <v>37</v>
      </c>
      <c r="P45" s="83">
        <f>SUM(I39:I40)/1024/1024/1024</f>
        <v>1.9471332617104053</v>
      </c>
      <c r="Q45" s="57">
        <v>2</v>
      </c>
      <c r="R45" s="65">
        <v>3.1517488794707837E-2</v>
      </c>
      <c r="T45" s="48">
        <f t="shared" si="5"/>
        <v>1</v>
      </c>
      <c r="U45" s="2"/>
      <c r="W45" s="2"/>
    </row>
    <row r="46" spans="1:23" ht="17.25" thickBot="1" x14ac:dyDescent="0.35">
      <c r="A46" s="3" t="s">
        <v>45</v>
      </c>
      <c r="B46" s="32" t="s">
        <v>222</v>
      </c>
      <c r="C46" s="29">
        <v>7810030610</v>
      </c>
      <c r="D46" s="32" t="s">
        <v>174</v>
      </c>
      <c r="E46" s="29">
        <v>6866988154</v>
      </c>
      <c r="F46" s="32" t="s">
        <v>141</v>
      </c>
      <c r="G46" s="80">
        <v>5561689802</v>
      </c>
      <c r="H46" s="32" t="s">
        <v>99</v>
      </c>
      <c r="I46" s="29">
        <v>6913167728</v>
      </c>
      <c r="O46" s="57" t="s">
        <v>39</v>
      </c>
      <c r="P46" s="82">
        <f>SUM(I41:I44)/1024/1024/1024</f>
        <v>33.280183560214937</v>
      </c>
      <c r="Q46" s="57">
        <v>3</v>
      </c>
      <c r="R46" s="65" t="s">
        <v>182</v>
      </c>
      <c r="T46" s="48">
        <f t="shared" si="5"/>
        <v>4</v>
      </c>
      <c r="U46" s="2"/>
      <c r="W46" s="2"/>
    </row>
    <row r="47" spans="1:23" x14ac:dyDescent="0.3">
      <c r="A47" s="140" t="s">
        <v>49</v>
      </c>
      <c r="B47" s="36" t="s">
        <v>223</v>
      </c>
      <c r="C47" s="20">
        <v>886175366</v>
      </c>
      <c r="D47" s="36" t="s">
        <v>175</v>
      </c>
      <c r="E47" s="20">
        <v>9052541728</v>
      </c>
      <c r="F47" s="66" t="s">
        <v>142</v>
      </c>
      <c r="G47" s="78">
        <v>705960780</v>
      </c>
      <c r="H47" s="36" t="s">
        <v>100</v>
      </c>
      <c r="I47" s="20">
        <v>697109780</v>
      </c>
      <c r="J47" s="2"/>
      <c r="K47"/>
      <c r="L47"/>
      <c r="M47"/>
      <c r="O47" s="57" t="s">
        <v>41</v>
      </c>
      <c r="P47" s="83">
        <f>SUM(I45)/1024/1024/1024</f>
        <v>1.6395208211615682</v>
      </c>
      <c r="Q47" s="57">
        <v>1</v>
      </c>
      <c r="R47" s="65" t="s">
        <v>182</v>
      </c>
      <c r="T47" s="48">
        <f t="shared" si="5"/>
        <v>1</v>
      </c>
      <c r="U47" s="2"/>
    </row>
    <row r="48" spans="1:23" x14ac:dyDescent="0.3">
      <c r="A48" s="141"/>
      <c r="B48" s="40" t="s">
        <v>224</v>
      </c>
      <c r="C48" s="8">
        <v>1073168062</v>
      </c>
      <c r="D48" s="40" t="s">
        <v>119</v>
      </c>
      <c r="E48" s="8">
        <v>105031136</v>
      </c>
      <c r="F48" s="40" t="s">
        <v>143</v>
      </c>
      <c r="G48" s="71">
        <v>1046906209</v>
      </c>
      <c r="H48" s="40" t="s">
        <v>101</v>
      </c>
      <c r="I48" s="8">
        <v>2650286697</v>
      </c>
      <c r="J48"/>
      <c r="K48"/>
      <c r="L48"/>
      <c r="M48"/>
      <c r="O48" s="57" t="s">
        <v>45</v>
      </c>
      <c r="P48" s="82">
        <f>SUM(I46)/1024/1024/1024</f>
        <v>6.4383891671895981</v>
      </c>
      <c r="Q48" s="57">
        <v>1</v>
      </c>
      <c r="R48" s="65" t="s">
        <v>182</v>
      </c>
      <c r="T48" s="48">
        <f t="shared" si="5"/>
        <v>1</v>
      </c>
      <c r="V48"/>
    </row>
    <row r="49" spans="1:22" ht="17.25" thickBot="1" x14ac:dyDescent="0.35">
      <c r="A49" s="142"/>
      <c r="B49" s="42"/>
      <c r="C49" s="16"/>
      <c r="D49" s="42"/>
      <c r="E49" s="16"/>
      <c r="F49" s="42"/>
      <c r="G49" s="79"/>
      <c r="H49" s="42" t="s">
        <v>102</v>
      </c>
      <c r="I49" s="16">
        <v>745705214</v>
      </c>
      <c r="J49"/>
      <c r="K49"/>
      <c r="L49"/>
      <c r="M49"/>
      <c r="O49" s="57" t="s">
        <v>49</v>
      </c>
      <c r="P49" s="83">
        <f>SUM(I47:I49)/1024/1024/1024</f>
        <v>3.8119980050250888</v>
      </c>
      <c r="Q49" s="57">
        <v>3</v>
      </c>
      <c r="R49" s="65" t="s">
        <v>182</v>
      </c>
      <c r="T49" s="48">
        <f t="shared" si="5"/>
        <v>1</v>
      </c>
      <c r="V49"/>
    </row>
    <row r="50" spans="1:22" x14ac:dyDescent="0.3">
      <c r="A50" s="44"/>
      <c r="B50" s="44"/>
      <c r="C50" s="44"/>
      <c r="D50" s="44"/>
      <c r="E50" s="45"/>
      <c r="F50" s="44"/>
      <c r="G50" s="46"/>
      <c r="H50" s="44"/>
      <c r="I50" s="45"/>
      <c r="J50"/>
      <c r="K50"/>
      <c r="L50"/>
      <c r="M50"/>
      <c r="O50" s="57" t="s">
        <v>53</v>
      </c>
      <c r="P50" s="84">
        <f>SUM(P42:P49)</f>
        <v>357.07941987924278</v>
      </c>
      <c r="Q50" s="57">
        <f>SUM(Q42:Q49)</f>
        <v>36</v>
      </c>
      <c r="R50" s="65">
        <v>0.38418069738368898</v>
      </c>
      <c r="T50" s="48"/>
      <c r="V50"/>
    </row>
    <row r="51" spans="1:22" x14ac:dyDescent="0.3">
      <c r="J51"/>
      <c r="K51"/>
      <c r="L51"/>
      <c r="M51"/>
      <c r="O51" s="57" t="s">
        <v>105</v>
      </c>
      <c r="P51" s="84">
        <f>SUM(P42:P48)</f>
        <v>353.26742187421769</v>
      </c>
      <c r="Q51" s="51">
        <f>SUM(Q42:Q48)</f>
        <v>33</v>
      </c>
      <c r="R51" s="65" t="s">
        <v>182</v>
      </c>
      <c r="T51" s="56"/>
      <c r="V51"/>
    </row>
    <row r="52" spans="1:22" x14ac:dyDescent="0.3">
      <c r="J52"/>
      <c r="K52"/>
      <c r="L52"/>
      <c r="M52"/>
      <c r="P52" s="48"/>
      <c r="Q52" s="48"/>
      <c r="V52"/>
    </row>
    <row r="53" spans="1:22" x14ac:dyDescent="0.3">
      <c r="J53"/>
      <c r="K53"/>
      <c r="L53"/>
      <c r="M53"/>
      <c r="O53"/>
      <c r="P53"/>
      <c r="Q53"/>
      <c r="R53"/>
      <c r="T53"/>
      <c r="V53"/>
    </row>
    <row r="54" spans="1:22" x14ac:dyDescent="0.3">
      <c r="J54"/>
      <c r="K54"/>
      <c r="L54"/>
      <c r="M54"/>
      <c r="O54"/>
      <c r="P54"/>
      <c r="Q54"/>
      <c r="R54"/>
      <c r="T54"/>
      <c r="V54"/>
    </row>
    <row r="55" spans="1:22" x14ac:dyDescent="0.3">
      <c r="I55" s="2"/>
      <c r="J55"/>
      <c r="K55"/>
      <c r="L55"/>
      <c r="M55"/>
      <c r="O55"/>
      <c r="P55"/>
      <c r="Q55"/>
      <c r="R55"/>
      <c r="T55"/>
      <c r="V55"/>
    </row>
    <row r="56" spans="1:22" x14ac:dyDescent="0.3">
      <c r="I56" s="2"/>
      <c r="J56"/>
      <c r="K56"/>
      <c r="L56"/>
      <c r="M56"/>
      <c r="O56"/>
      <c r="P56"/>
      <c r="Q56"/>
      <c r="R56"/>
      <c r="T56"/>
      <c r="V56"/>
    </row>
    <row r="57" spans="1:22" x14ac:dyDescent="0.3">
      <c r="I57" s="2"/>
      <c r="J57"/>
      <c r="K57"/>
      <c r="L57"/>
      <c r="M57"/>
      <c r="O57"/>
      <c r="P57"/>
      <c r="Q57"/>
      <c r="R57"/>
      <c r="T57"/>
      <c r="V57"/>
    </row>
    <row r="58" spans="1:22" x14ac:dyDescent="0.3">
      <c r="I58" s="2"/>
      <c r="J58"/>
      <c r="K58"/>
      <c r="L58"/>
      <c r="M58"/>
      <c r="O58"/>
      <c r="P58"/>
      <c r="Q58"/>
      <c r="R58"/>
      <c r="T58"/>
      <c r="V58"/>
    </row>
    <row r="59" spans="1:22" x14ac:dyDescent="0.3">
      <c r="I59" s="2"/>
      <c r="J59"/>
      <c r="K59"/>
      <c r="L59"/>
      <c r="M59"/>
      <c r="O59"/>
      <c r="P59"/>
      <c r="Q59"/>
      <c r="R59"/>
      <c r="T59"/>
      <c r="V59"/>
    </row>
    <row r="60" spans="1:22" x14ac:dyDescent="0.3">
      <c r="I60" s="2"/>
      <c r="J60"/>
      <c r="K60"/>
      <c r="L60"/>
      <c r="M60"/>
      <c r="O60"/>
      <c r="P60"/>
      <c r="Q60"/>
      <c r="R60"/>
      <c r="T60"/>
      <c r="V60"/>
    </row>
    <row r="61" spans="1:22" x14ac:dyDescent="0.3">
      <c r="I61" s="2"/>
      <c r="O61"/>
      <c r="P61"/>
      <c r="Q61"/>
      <c r="R61"/>
      <c r="T61"/>
      <c r="V61"/>
    </row>
    <row r="62" spans="1:22" x14ac:dyDescent="0.3">
      <c r="I62" s="2"/>
      <c r="O62"/>
      <c r="P62"/>
      <c r="Q62"/>
      <c r="R62"/>
      <c r="T62"/>
    </row>
    <row r="63" spans="1:22" x14ac:dyDescent="0.3">
      <c r="I63" s="2"/>
      <c r="O63"/>
      <c r="P63"/>
      <c r="Q63"/>
      <c r="R63"/>
      <c r="T63"/>
    </row>
    <row r="64" spans="1:22" x14ac:dyDescent="0.3">
      <c r="I64" s="2"/>
      <c r="O64"/>
      <c r="P64"/>
      <c r="Q64"/>
      <c r="R64"/>
      <c r="T64"/>
    </row>
    <row r="65" spans="9:20" x14ac:dyDescent="0.3">
      <c r="I65" s="2"/>
      <c r="O65"/>
      <c r="P65"/>
      <c r="Q65"/>
      <c r="R65"/>
      <c r="T65"/>
    </row>
    <row r="66" spans="9:20" x14ac:dyDescent="0.3">
      <c r="I66" s="2"/>
      <c r="O66"/>
      <c r="P66"/>
      <c r="Q66"/>
      <c r="R66"/>
      <c r="T66"/>
    </row>
    <row r="67" spans="9:20" x14ac:dyDescent="0.3">
      <c r="I67" s="2"/>
      <c r="P67" s="48"/>
      <c r="T67" s="55"/>
    </row>
    <row r="68" spans="9:20" x14ac:dyDescent="0.3">
      <c r="I68" s="2"/>
      <c r="T68" s="55"/>
    </row>
    <row r="69" spans="9:20" x14ac:dyDescent="0.3">
      <c r="T69" s="55"/>
    </row>
  </sheetData>
  <mergeCells count="12">
    <mergeCell ref="J1:K1"/>
    <mergeCell ref="L1:M1"/>
    <mergeCell ref="D41:D44"/>
    <mergeCell ref="A47:A49"/>
    <mergeCell ref="D1:E1"/>
    <mergeCell ref="F1:G1"/>
    <mergeCell ref="H1:I1"/>
    <mergeCell ref="B1:C1"/>
    <mergeCell ref="B41:B44"/>
    <mergeCell ref="A34:A38"/>
    <mergeCell ref="A39:A40"/>
    <mergeCell ref="A41:A44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"/>
  <sheetViews>
    <sheetView workbookViewId="0">
      <selection sqref="A1:B1"/>
    </sheetView>
  </sheetViews>
  <sheetFormatPr defaultRowHeight="16.5" x14ac:dyDescent="0.3"/>
  <cols>
    <col min="1" max="1" width="8" style="105" customWidth="1"/>
    <col min="2" max="2" width="9.625" style="105" bestFit="1" customWidth="1"/>
    <col min="3" max="3" width="4.5" customWidth="1"/>
    <col min="4" max="5" width="9" customWidth="1"/>
    <col min="6" max="6" width="3.625" customWidth="1"/>
    <col min="7" max="9" width="9" customWidth="1"/>
    <col min="10" max="10" width="14" customWidth="1"/>
    <col min="11" max="11" width="3.375" customWidth="1"/>
    <col min="12" max="12" width="9" customWidth="1"/>
    <col min="13" max="13" width="9" style="2" customWidth="1"/>
    <col min="14" max="14" width="9" customWidth="1"/>
    <col min="15" max="15" width="12.125" customWidth="1"/>
    <col min="16" max="16" width="4.875" customWidth="1"/>
    <col min="20" max="20" width="13" style="128" bestFit="1" customWidth="1"/>
    <col min="21" max="21" width="4.375" style="128" customWidth="1"/>
    <col min="22" max="24" width="9" style="128"/>
    <col min="25" max="25" width="12.125" style="128" bestFit="1" customWidth="1"/>
    <col min="26" max="33" width="9" style="128"/>
  </cols>
  <sheetData>
    <row r="1" spans="1:33" s="2" customFormat="1" ht="27" customHeight="1" x14ac:dyDescent="0.3">
      <c r="A1" s="143" t="s">
        <v>317</v>
      </c>
      <c r="B1" s="144"/>
      <c r="D1" s="110" t="s">
        <v>265</v>
      </c>
      <c r="E1" s="97" t="s">
        <v>271</v>
      </c>
      <c r="G1" s="97" t="s">
        <v>264</v>
      </c>
      <c r="H1" s="99" t="s">
        <v>265</v>
      </c>
      <c r="I1" s="100" t="s">
        <v>266</v>
      </c>
      <c r="J1" s="99" t="s">
        <v>53</v>
      </c>
      <c r="K1" s="132"/>
      <c r="L1" s="97" t="s">
        <v>264</v>
      </c>
      <c r="M1" s="99" t="s">
        <v>265</v>
      </c>
      <c r="N1" s="100" t="s">
        <v>267</v>
      </c>
      <c r="O1" s="99" t="s">
        <v>53</v>
      </c>
      <c r="P1" s="132"/>
      <c r="Q1" s="97" t="s">
        <v>264</v>
      </c>
      <c r="R1" s="99" t="s">
        <v>265</v>
      </c>
      <c r="S1" s="100" t="s">
        <v>268</v>
      </c>
      <c r="T1" s="99" t="s">
        <v>53</v>
      </c>
      <c r="U1" s="101"/>
      <c r="V1" s="97" t="s">
        <v>264</v>
      </c>
      <c r="W1" s="99" t="s">
        <v>265</v>
      </c>
      <c r="X1" s="100" t="s">
        <v>269</v>
      </c>
      <c r="Y1" s="99" t="s">
        <v>53</v>
      </c>
      <c r="Z1" s="133"/>
      <c r="AA1" s="133"/>
      <c r="AB1" s="133"/>
      <c r="AC1" s="133"/>
      <c r="AD1" s="133"/>
      <c r="AE1" s="133"/>
      <c r="AF1" s="133"/>
      <c r="AG1" s="133"/>
    </row>
    <row r="2" spans="1:33" x14ac:dyDescent="0.3">
      <c r="A2" s="127" t="s">
        <v>264</v>
      </c>
      <c r="B2" s="97" t="s">
        <v>270</v>
      </c>
      <c r="D2" s="109" t="s">
        <v>252</v>
      </c>
      <c r="E2" s="109">
        <v>37</v>
      </c>
      <c r="G2" s="145" t="s">
        <v>318</v>
      </c>
      <c r="H2" s="102" t="s">
        <v>252</v>
      </c>
      <c r="I2" s="95">
        <v>32</v>
      </c>
      <c r="J2" s="96">
        <v>514726424262</v>
      </c>
      <c r="K2" s="93"/>
      <c r="L2" s="145" t="s">
        <v>318</v>
      </c>
      <c r="M2" s="102" t="s">
        <v>252</v>
      </c>
      <c r="N2" s="95">
        <v>2</v>
      </c>
      <c r="O2" s="96">
        <v>4674143149</v>
      </c>
      <c r="P2" s="93"/>
      <c r="Q2" s="145" t="s">
        <v>318</v>
      </c>
      <c r="R2" s="102" t="s">
        <v>252</v>
      </c>
      <c r="S2" s="95">
        <v>1</v>
      </c>
      <c r="T2" s="96">
        <v>6657065043</v>
      </c>
      <c r="U2" s="93"/>
      <c r="V2" s="145" t="s">
        <v>318</v>
      </c>
      <c r="W2" s="102" t="s">
        <v>252</v>
      </c>
      <c r="X2" s="95">
        <v>2</v>
      </c>
      <c r="Y2" s="96">
        <v>1645823974</v>
      </c>
    </row>
    <row r="3" spans="1:33" x14ac:dyDescent="0.3">
      <c r="A3" s="125">
        <v>2016</v>
      </c>
      <c r="B3" s="125">
        <v>12</v>
      </c>
      <c r="D3" s="109" t="s">
        <v>253</v>
      </c>
      <c r="E3" s="109">
        <v>36</v>
      </c>
      <c r="G3" s="145"/>
      <c r="H3" s="95" t="s">
        <v>253</v>
      </c>
      <c r="I3" s="95">
        <v>30</v>
      </c>
      <c r="J3" s="96">
        <v>525755909774</v>
      </c>
      <c r="K3" s="93"/>
      <c r="L3" s="145"/>
      <c r="M3" s="95" t="s">
        <v>253</v>
      </c>
      <c r="N3" s="95">
        <v>3</v>
      </c>
      <c r="O3" s="96">
        <v>4619132426</v>
      </c>
      <c r="P3" s="93"/>
      <c r="Q3" s="145"/>
      <c r="R3" s="95" t="s">
        <v>253</v>
      </c>
      <c r="S3" s="95">
        <v>1</v>
      </c>
      <c r="T3" s="96">
        <v>6337469136</v>
      </c>
      <c r="U3" s="93"/>
      <c r="V3" s="145"/>
      <c r="W3" s="95" t="s">
        <v>253</v>
      </c>
      <c r="X3" s="95">
        <v>2</v>
      </c>
      <c r="Y3" s="96">
        <v>1480262470</v>
      </c>
    </row>
    <row r="4" spans="1:33" x14ac:dyDescent="0.3">
      <c r="A4" s="125">
        <v>2017</v>
      </c>
      <c r="B4" s="125">
        <v>12</v>
      </c>
      <c r="D4" s="109" t="s">
        <v>254</v>
      </c>
      <c r="E4" s="109">
        <v>37</v>
      </c>
      <c r="G4" s="146"/>
      <c r="H4" s="95" t="s">
        <v>254</v>
      </c>
      <c r="I4" s="95">
        <v>33</v>
      </c>
      <c r="J4" s="96">
        <v>533495017070</v>
      </c>
      <c r="K4" s="93"/>
      <c r="L4" s="146"/>
      <c r="M4" s="95" t="s">
        <v>254</v>
      </c>
      <c r="N4" s="95">
        <v>1</v>
      </c>
      <c r="O4" s="96">
        <v>4822502589</v>
      </c>
      <c r="P4" s="93"/>
      <c r="Q4" s="146"/>
      <c r="R4" s="95" t="s">
        <v>254</v>
      </c>
      <c r="S4" s="95">
        <v>1</v>
      </c>
      <c r="T4" s="96">
        <v>6065672461</v>
      </c>
      <c r="U4" s="93"/>
      <c r="V4" s="146"/>
      <c r="W4" s="95" t="s">
        <v>254</v>
      </c>
      <c r="X4" s="95">
        <v>2</v>
      </c>
      <c r="Y4" s="96">
        <v>1310735273</v>
      </c>
    </row>
    <row r="5" spans="1:33" x14ac:dyDescent="0.3">
      <c r="A5" s="125">
        <v>2018</v>
      </c>
      <c r="B5" s="125">
        <v>19</v>
      </c>
      <c r="D5" s="109" t="s">
        <v>272</v>
      </c>
      <c r="E5" s="109">
        <v>41</v>
      </c>
      <c r="G5" s="145" t="s">
        <v>263</v>
      </c>
      <c r="H5" s="102" t="s">
        <v>255</v>
      </c>
      <c r="I5" s="95">
        <v>36</v>
      </c>
      <c r="J5" s="96">
        <v>536858836057</v>
      </c>
      <c r="K5" s="93"/>
      <c r="L5" s="145" t="s">
        <v>263</v>
      </c>
      <c r="M5" s="102" t="s">
        <v>255</v>
      </c>
      <c r="N5" s="95">
        <v>2</v>
      </c>
      <c r="O5" s="96">
        <v>4786861438</v>
      </c>
      <c r="P5" s="93"/>
      <c r="Q5" s="145" t="s">
        <v>275</v>
      </c>
      <c r="R5" s="102" t="s">
        <v>255</v>
      </c>
      <c r="S5" s="95">
        <v>1</v>
      </c>
      <c r="T5" s="96">
        <v>6263595597</v>
      </c>
      <c r="U5" s="93"/>
      <c r="V5" s="145" t="s">
        <v>275</v>
      </c>
      <c r="W5" s="103" t="s">
        <v>255</v>
      </c>
      <c r="X5" s="95">
        <v>2</v>
      </c>
      <c r="Y5" s="96">
        <v>1284658908</v>
      </c>
    </row>
    <row r="6" spans="1:33" x14ac:dyDescent="0.3">
      <c r="A6" s="125">
        <v>2019</v>
      </c>
      <c r="B6" s="125">
        <v>18</v>
      </c>
      <c r="D6" s="109" t="s">
        <v>273</v>
      </c>
      <c r="E6" s="109">
        <v>37</v>
      </c>
      <c r="G6" s="145"/>
      <c r="H6" s="95" t="s">
        <v>256</v>
      </c>
      <c r="I6" s="95">
        <v>31</v>
      </c>
      <c r="J6" s="96">
        <v>534698406567</v>
      </c>
      <c r="K6" s="93"/>
      <c r="L6" s="145"/>
      <c r="M6" s="95" t="s">
        <v>256</v>
      </c>
      <c r="N6" s="95">
        <v>3</v>
      </c>
      <c r="O6" s="96">
        <v>4617139579</v>
      </c>
      <c r="P6" s="93"/>
      <c r="Q6" s="145"/>
      <c r="R6" s="95" t="s">
        <v>256</v>
      </c>
      <c r="S6" s="95">
        <v>1</v>
      </c>
      <c r="T6" s="96">
        <v>7626881229</v>
      </c>
      <c r="U6" s="93"/>
      <c r="V6" s="145"/>
      <c r="W6" s="104" t="s">
        <v>256</v>
      </c>
      <c r="X6" s="95">
        <v>2</v>
      </c>
      <c r="Y6" s="96">
        <v>1502343371</v>
      </c>
    </row>
    <row r="7" spans="1:33" x14ac:dyDescent="0.3">
      <c r="A7" s="125">
        <v>2020</v>
      </c>
      <c r="B7" s="125">
        <v>8</v>
      </c>
      <c r="D7" s="109" t="s">
        <v>274</v>
      </c>
      <c r="E7" s="109">
        <v>33</v>
      </c>
      <c r="G7" s="145"/>
      <c r="H7" s="95" t="s">
        <v>257</v>
      </c>
      <c r="I7" s="95">
        <v>28</v>
      </c>
      <c r="J7" s="96">
        <v>528206298328</v>
      </c>
      <c r="K7" s="93"/>
      <c r="L7" s="145"/>
      <c r="M7" s="95" t="s">
        <v>257</v>
      </c>
      <c r="N7" s="95">
        <v>2</v>
      </c>
      <c r="O7" s="96">
        <v>4432267521</v>
      </c>
      <c r="P7" s="93"/>
      <c r="Q7" s="145"/>
      <c r="R7" s="95" t="s">
        <v>257</v>
      </c>
      <c r="S7" s="95">
        <v>1</v>
      </c>
      <c r="T7" s="96">
        <v>7124025641</v>
      </c>
      <c r="U7" s="93"/>
      <c r="V7" s="145"/>
      <c r="W7" s="104" t="s">
        <v>257</v>
      </c>
      <c r="X7" s="95">
        <v>2</v>
      </c>
      <c r="Y7" s="96">
        <v>1934617648</v>
      </c>
    </row>
    <row r="8" spans="1:33" x14ac:dyDescent="0.3">
      <c r="A8" s="125">
        <v>2021</v>
      </c>
      <c r="B8" s="125">
        <v>56</v>
      </c>
      <c r="D8" s="109" t="s">
        <v>258</v>
      </c>
      <c r="E8" s="109">
        <v>36</v>
      </c>
      <c r="G8" s="145"/>
      <c r="H8" s="95" t="s">
        <v>258</v>
      </c>
      <c r="I8" s="95">
        <v>31</v>
      </c>
      <c r="J8" s="96">
        <v>527236434222</v>
      </c>
      <c r="K8" s="93"/>
      <c r="L8" s="145"/>
      <c r="M8" s="95" t="s">
        <v>258</v>
      </c>
      <c r="N8" s="95">
        <v>2</v>
      </c>
      <c r="O8" s="96">
        <v>4382857153</v>
      </c>
      <c r="P8" s="93"/>
      <c r="Q8" s="145"/>
      <c r="R8" s="95" t="s">
        <v>258</v>
      </c>
      <c r="S8" s="95">
        <v>1</v>
      </c>
      <c r="T8" s="96">
        <v>8713960332</v>
      </c>
      <c r="U8" s="93"/>
      <c r="V8" s="145"/>
      <c r="W8" s="104" t="s">
        <v>258</v>
      </c>
      <c r="X8" s="95">
        <v>2</v>
      </c>
      <c r="Y8" s="96">
        <v>2051506262</v>
      </c>
    </row>
    <row r="9" spans="1:33" x14ac:dyDescent="0.3">
      <c r="A9" s="125">
        <v>2022</v>
      </c>
      <c r="B9" s="125">
        <v>61</v>
      </c>
      <c r="D9" s="109" t="s">
        <v>259</v>
      </c>
      <c r="E9" s="109">
        <v>38</v>
      </c>
      <c r="G9" s="145"/>
      <c r="H9" s="95" t="s">
        <v>259</v>
      </c>
      <c r="I9" s="95">
        <v>32</v>
      </c>
      <c r="J9" s="96">
        <v>526445074077</v>
      </c>
      <c r="K9" s="93"/>
      <c r="L9" s="145"/>
      <c r="M9" s="95" t="s">
        <v>259</v>
      </c>
      <c r="N9" s="95">
        <v>3</v>
      </c>
      <c r="O9" s="96">
        <v>4313107693</v>
      </c>
      <c r="P9" s="93"/>
      <c r="Q9" s="145"/>
      <c r="R9" s="95" t="s">
        <v>259</v>
      </c>
      <c r="S9" s="95">
        <v>1</v>
      </c>
      <c r="T9" s="96">
        <v>7905539478</v>
      </c>
      <c r="U9" s="93"/>
      <c r="V9" s="145"/>
      <c r="W9" s="104" t="s">
        <v>259</v>
      </c>
      <c r="X9" s="95">
        <v>2</v>
      </c>
      <c r="Y9" s="96">
        <v>1665130934</v>
      </c>
    </row>
    <row r="10" spans="1:33" x14ac:dyDescent="0.3">
      <c r="A10" s="125">
        <v>2023</v>
      </c>
      <c r="B10" s="125">
        <v>65</v>
      </c>
      <c r="D10" s="109" t="s">
        <v>260</v>
      </c>
      <c r="E10" s="109">
        <v>41</v>
      </c>
      <c r="G10" s="145"/>
      <c r="H10" s="102" t="s">
        <v>260</v>
      </c>
      <c r="I10" s="95">
        <v>35</v>
      </c>
      <c r="J10" s="96">
        <v>550741269205</v>
      </c>
      <c r="K10" s="93"/>
      <c r="L10" s="145"/>
      <c r="M10" s="102" t="s">
        <v>260</v>
      </c>
      <c r="N10" s="95">
        <v>3</v>
      </c>
      <c r="O10" s="96">
        <v>4183714412</v>
      </c>
      <c r="P10" s="93"/>
      <c r="Q10" s="145"/>
      <c r="R10" s="102" t="s">
        <v>260</v>
      </c>
      <c r="S10" s="95">
        <v>1</v>
      </c>
      <c r="T10" s="96">
        <v>11721965371</v>
      </c>
      <c r="U10" s="93"/>
      <c r="V10" s="145"/>
      <c r="W10" s="103" t="s">
        <v>260</v>
      </c>
      <c r="X10" s="95">
        <v>2</v>
      </c>
      <c r="Y10" s="96">
        <v>1879789737</v>
      </c>
    </row>
    <row r="11" spans="1:33" x14ac:dyDescent="0.3">
      <c r="A11" s="125">
        <v>2024</v>
      </c>
      <c r="B11" s="125">
        <v>62</v>
      </c>
      <c r="D11" s="109" t="s">
        <v>250</v>
      </c>
      <c r="E11" s="109">
        <v>35</v>
      </c>
      <c r="G11" s="145"/>
      <c r="H11" s="102" t="s">
        <v>250</v>
      </c>
      <c r="I11" s="95">
        <v>30</v>
      </c>
      <c r="J11" s="96">
        <v>544874488595</v>
      </c>
      <c r="K11" s="93"/>
      <c r="L11" s="145"/>
      <c r="M11" s="102" t="s">
        <v>250</v>
      </c>
      <c r="N11" s="95">
        <v>2</v>
      </c>
      <c r="O11" s="96">
        <v>4263053224</v>
      </c>
      <c r="P11" s="93"/>
      <c r="Q11" s="145"/>
      <c r="R11" s="102" t="s">
        <v>250</v>
      </c>
      <c r="S11" s="95">
        <v>1</v>
      </c>
      <c r="T11" s="96">
        <v>8247253049</v>
      </c>
      <c r="U11" s="93"/>
      <c r="V11" s="145"/>
      <c r="W11" s="102" t="s">
        <v>250</v>
      </c>
      <c r="X11" s="95">
        <v>2</v>
      </c>
      <c r="Y11" s="96">
        <v>1654750734</v>
      </c>
    </row>
    <row r="12" spans="1:33" s="129" customFormat="1" x14ac:dyDescent="0.3">
      <c r="A12" s="95">
        <v>2025</v>
      </c>
      <c r="B12" s="95">
        <v>72</v>
      </c>
      <c r="D12" s="95" t="s">
        <v>251</v>
      </c>
      <c r="E12" s="95">
        <v>41</v>
      </c>
      <c r="G12" s="145"/>
      <c r="H12" s="102" t="s">
        <v>251</v>
      </c>
      <c r="I12" s="95">
        <v>35</v>
      </c>
      <c r="J12" s="102">
        <v>546840326809</v>
      </c>
      <c r="K12" s="130"/>
      <c r="L12" s="145"/>
      <c r="M12" s="102" t="s">
        <v>251</v>
      </c>
      <c r="N12" s="95">
        <v>3</v>
      </c>
      <c r="O12" s="102">
        <v>4285234950</v>
      </c>
      <c r="P12" s="130"/>
      <c r="Q12" s="145"/>
      <c r="R12" s="102" t="s">
        <v>251</v>
      </c>
      <c r="S12" s="95">
        <v>1</v>
      </c>
      <c r="T12" s="96">
        <v>7588813839</v>
      </c>
      <c r="U12" s="93"/>
      <c r="V12" s="145"/>
      <c r="W12" s="102" t="s">
        <v>251</v>
      </c>
      <c r="X12" s="95">
        <v>2</v>
      </c>
      <c r="Y12" s="96">
        <v>1415653657</v>
      </c>
      <c r="Z12" s="131"/>
      <c r="AA12" s="131"/>
      <c r="AB12" s="131"/>
      <c r="AC12" s="131"/>
      <c r="AD12" s="131"/>
      <c r="AE12" s="131"/>
      <c r="AF12" s="131"/>
      <c r="AG12" s="131"/>
    </row>
    <row r="13" spans="1:33" x14ac:dyDescent="0.3">
      <c r="A13" s="110" t="s">
        <v>226</v>
      </c>
      <c r="B13" s="110">
        <f>SUM(B3:B12)</f>
        <v>385</v>
      </c>
      <c r="D13" s="110" t="s">
        <v>226</v>
      </c>
      <c r="E13" s="110">
        <f>SUM(E2:E12)</f>
        <v>412</v>
      </c>
      <c r="G13" s="94"/>
      <c r="H13" s="106"/>
      <c r="I13" s="107">
        <f>SUM(I2:I12)</f>
        <v>353</v>
      </c>
      <c r="J13" s="108"/>
      <c r="K13" s="105"/>
      <c r="L13" s="105"/>
      <c r="M13" s="105"/>
      <c r="N13" s="105">
        <f>SUM(N2:N12)</f>
        <v>26</v>
      </c>
      <c r="O13" s="2"/>
      <c r="P13" s="105"/>
      <c r="Q13" s="105"/>
      <c r="R13" s="105"/>
      <c r="S13" s="105">
        <f>SUM(S2:S12)</f>
        <v>11</v>
      </c>
      <c r="T13" s="105"/>
      <c r="U13" s="105"/>
      <c r="V13" s="105"/>
      <c r="W13" s="105"/>
      <c r="X13" s="105">
        <f>SUM(X2:X12)</f>
        <v>22</v>
      </c>
      <c r="Y13" s="105"/>
    </row>
    <row r="14" spans="1:33" x14ac:dyDescent="0.3">
      <c r="A14" s="123"/>
      <c r="L14" s="2"/>
      <c r="M14"/>
    </row>
  </sheetData>
  <mergeCells count="9">
    <mergeCell ref="A1:B1"/>
    <mergeCell ref="V5:V12"/>
    <mergeCell ref="Q2:Q4"/>
    <mergeCell ref="V2:V4"/>
    <mergeCell ref="G2:G4"/>
    <mergeCell ref="G5:G12"/>
    <mergeCell ref="Q5:Q12"/>
    <mergeCell ref="L2:L4"/>
    <mergeCell ref="L5:L12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48"/>
  <sheetViews>
    <sheetView workbookViewId="0"/>
  </sheetViews>
  <sheetFormatPr defaultRowHeight="16.5" x14ac:dyDescent="0.3"/>
  <cols>
    <col min="1" max="1" width="14.75" style="93" bestFit="1" customWidth="1"/>
    <col min="2" max="2" width="25.25" style="93" bestFit="1" customWidth="1"/>
    <col min="3" max="3" width="7.375" style="105" customWidth="1"/>
    <col min="4" max="4" width="8.875" style="105" bestFit="1" customWidth="1"/>
    <col min="5" max="5" width="4.5" customWidth="1"/>
    <col min="6" max="6" width="9.5" style="105" customWidth="1"/>
    <col min="7" max="7" width="13.125" style="105" customWidth="1"/>
    <col min="8" max="8" width="15.625" style="105" customWidth="1"/>
    <col min="9" max="9" width="11.625" style="105" customWidth="1"/>
    <col min="10" max="10" width="11" style="105" customWidth="1"/>
    <col min="11" max="11" width="9.5" style="105" customWidth="1"/>
    <col min="12" max="12" width="10.375" style="105" customWidth="1"/>
    <col min="13" max="13" width="16.75" style="105" bestFit="1" customWidth="1"/>
    <col min="15" max="15" width="14.5" customWidth="1"/>
  </cols>
  <sheetData>
    <row r="1" spans="1:17" s="2" customFormat="1" ht="27" x14ac:dyDescent="0.3">
      <c r="A1" s="112" t="s">
        <v>35</v>
      </c>
      <c r="B1" s="112" t="s">
        <v>276</v>
      </c>
      <c r="C1" s="112" t="s">
        <v>277</v>
      </c>
      <c r="D1" s="112" t="s">
        <v>281</v>
      </c>
      <c r="F1" s="115" t="s">
        <v>297</v>
      </c>
      <c r="G1" s="120" t="s">
        <v>303</v>
      </c>
      <c r="H1" s="120" t="s">
        <v>304</v>
      </c>
      <c r="I1" s="120" t="s">
        <v>305</v>
      </c>
      <c r="J1" s="115" t="s">
        <v>285</v>
      </c>
      <c r="K1" s="115" t="s">
        <v>302</v>
      </c>
      <c r="L1" s="115" t="s">
        <v>284</v>
      </c>
      <c r="M1" s="120" t="s">
        <v>306</v>
      </c>
      <c r="Q1" s="93"/>
    </row>
    <row r="2" spans="1:17" x14ac:dyDescent="0.3">
      <c r="A2" s="111" t="s">
        <v>232</v>
      </c>
      <c r="B2" s="111" t="s">
        <v>282</v>
      </c>
      <c r="C2" s="110">
        <v>172</v>
      </c>
      <c r="D2" s="113" t="s">
        <v>279</v>
      </c>
      <c r="F2" s="95" t="s">
        <v>298</v>
      </c>
      <c r="G2" s="116">
        <f>SUM(C14:C15)</f>
        <v>81</v>
      </c>
      <c r="H2" s="95">
        <v>353</v>
      </c>
      <c r="I2" s="110">
        <f>SUM(C2,C9)</f>
        <v>201</v>
      </c>
      <c r="J2" s="118">
        <f>SUM(C7,C8)</f>
        <v>8</v>
      </c>
      <c r="K2" s="117">
        <f>SUM(C3,C4,C6,C12:C13,C17:C21)</f>
        <v>38</v>
      </c>
      <c r="L2" s="98">
        <f>SUM(C5,C11)</f>
        <v>54</v>
      </c>
      <c r="M2" s="109">
        <v>29</v>
      </c>
      <c r="Q2" s="93"/>
    </row>
    <row r="3" spans="1:17" x14ac:dyDescent="0.3">
      <c r="A3" s="111" t="s">
        <v>239</v>
      </c>
      <c r="B3" s="111" t="s">
        <v>283</v>
      </c>
      <c r="C3" s="117">
        <v>10</v>
      </c>
      <c r="D3" s="113" t="s">
        <v>278</v>
      </c>
      <c r="F3" s="95" t="s">
        <v>299</v>
      </c>
      <c r="G3" s="109" t="s">
        <v>300</v>
      </c>
      <c r="H3" s="95">
        <v>26</v>
      </c>
      <c r="I3" s="110">
        <f>SUM(C26,C29)</f>
        <v>14</v>
      </c>
      <c r="J3" s="109" t="s">
        <v>300</v>
      </c>
      <c r="K3" s="117">
        <f>SUM(C28)</f>
        <v>2</v>
      </c>
      <c r="L3" s="114">
        <f>SUM(C27,C30)</f>
        <v>8</v>
      </c>
      <c r="M3" s="95">
        <v>3</v>
      </c>
      <c r="Q3" s="93"/>
    </row>
    <row r="4" spans="1:17" x14ac:dyDescent="0.3">
      <c r="A4" s="111" t="s">
        <v>238</v>
      </c>
      <c r="B4" s="111" t="s">
        <v>283</v>
      </c>
      <c r="C4" s="117">
        <v>2</v>
      </c>
      <c r="D4" s="113"/>
    </row>
    <row r="5" spans="1:17" x14ac:dyDescent="0.3">
      <c r="A5" s="111" t="s">
        <v>249</v>
      </c>
      <c r="B5" s="111" t="s">
        <v>284</v>
      </c>
      <c r="C5" s="98">
        <v>39</v>
      </c>
      <c r="D5" s="113"/>
      <c r="F5" s="121" t="s">
        <v>316</v>
      </c>
    </row>
    <row r="6" spans="1:17" x14ac:dyDescent="0.3">
      <c r="A6" s="111" t="s">
        <v>240</v>
      </c>
      <c r="B6" s="111" t="s">
        <v>286</v>
      </c>
      <c r="C6" s="117">
        <v>4</v>
      </c>
      <c r="D6" s="113"/>
      <c r="F6" s="121" t="s">
        <v>307</v>
      </c>
      <c r="K6" s="105" t="s">
        <v>311</v>
      </c>
    </row>
    <row r="7" spans="1:17" x14ac:dyDescent="0.3">
      <c r="A7" s="111" t="s">
        <v>234</v>
      </c>
      <c r="B7" s="111" t="s">
        <v>287</v>
      </c>
      <c r="C7" s="118">
        <v>4</v>
      </c>
      <c r="D7" s="113"/>
      <c r="F7" s="121" t="s">
        <v>312</v>
      </c>
    </row>
    <row r="8" spans="1:17" x14ac:dyDescent="0.3">
      <c r="A8" s="111" t="s">
        <v>235</v>
      </c>
      <c r="B8" s="111" t="s">
        <v>287</v>
      </c>
      <c r="C8" s="118">
        <v>4</v>
      </c>
      <c r="D8" s="113"/>
      <c r="F8" s="121" t="s">
        <v>309</v>
      </c>
    </row>
    <row r="9" spans="1:17" x14ac:dyDescent="0.3">
      <c r="A9" s="111" t="s">
        <v>233</v>
      </c>
      <c r="B9" s="111" t="s">
        <v>288</v>
      </c>
      <c r="C9" s="110">
        <v>29</v>
      </c>
      <c r="D9" s="113"/>
      <c r="F9" s="121" t="s">
        <v>308</v>
      </c>
    </row>
    <row r="10" spans="1:17" x14ac:dyDescent="0.3">
      <c r="A10" s="111" t="s">
        <v>248</v>
      </c>
      <c r="B10" s="111" t="s">
        <v>289</v>
      </c>
      <c r="C10" s="119">
        <v>4</v>
      </c>
      <c r="D10" s="113"/>
      <c r="F10" s="121" t="s">
        <v>310</v>
      </c>
    </row>
    <row r="11" spans="1:17" x14ac:dyDescent="0.3">
      <c r="A11" s="111" t="s">
        <v>228</v>
      </c>
      <c r="B11" s="111" t="s">
        <v>284</v>
      </c>
      <c r="C11" s="98">
        <v>15</v>
      </c>
      <c r="D11" s="113"/>
      <c r="F11" s="126" t="s">
        <v>322</v>
      </c>
    </row>
    <row r="12" spans="1:17" x14ac:dyDescent="0.3">
      <c r="A12" s="111" t="s">
        <v>245</v>
      </c>
      <c r="B12" s="111" t="s">
        <v>290</v>
      </c>
      <c r="C12" s="117">
        <v>4</v>
      </c>
      <c r="D12" s="113" t="s">
        <v>278</v>
      </c>
      <c r="F12" s="123"/>
    </row>
    <row r="13" spans="1:17" x14ac:dyDescent="0.3">
      <c r="A13" s="111" t="s">
        <v>230</v>
      </c>
      <c r="B13" s="111" t="s">
        <v>290</v>
      </c>
      <c r="C13" s="117">
        <v>8</v>
      </c>
      <c r="D13" s="113" t="s">
        <v>280</v>
      </c>
      <c r="F13" s="123"/>
    </row>
    <row r="14" spans="1:17" x14ac:dyDescent="0.3">
      <c r="A14" s="111" t="s">
        <v>229</v>
      </c>
      <c r="B14" s="111" t="s">
        <v>291</v>
      </c>
      <c r="C14" s="116">
        <v>63</v>
      </c>
      <c r="D14" s="113"/>
      <c r="F14" s="123"/>
    </row>
    <row r="15" spans="1:17" x14ac:dyDescent="0.3">
      <c r="A15" s="111" t="s">
        <v>227</v>
      </c>
      <c r="B15" s="111" t="s">
        <v>292</v>
      </c>
      <c r="C15" s="116">
        <v>18</v>
      </c>
      <c r="D15" s="113" t="s">
        <v>278</v>
      </c>
      <c r="F15" s="121" t="s">
        <v>319</v>
      </c>
    </row>
    <row r="16" spans="1:17" x14ac:dyDescent="0.3">
      <c r="A16" s="111" t="s">
        <v>246</v>
      </c>
      <c r="B16" s="111" t="s">
        <v>293</v>
      </c>
      <c r="C16" s="119">
        <v>4</v>
      </c>
      <c r="D16" s="113"/>
      <c r="F16" s="146" t="s">
        <v>298</v>
      </c>
      <c r="G16" s="146">
        <v>64</v>
      </c>
      <c r="H16" s="124" t="s">
        <v>236</v>
      </c>
      <c r="I16" s="122">
        <v>33</v>
      </c>
      <c r="J16" s="122" t="s">
        <v>313</v>
      </c>
      <c r="K16" s="93"/>
      <c r="L16" s="93"/>
    </row>
    <row r="17" spans="1:12" x14ac:dyDescent="0.3">
      <c r="A17" s="111" t="s">
        <v>242</v>
      </c>
      <c r="B17" s="111" t="s">
        <v>294</v>
      </c>
      <c r="C17" s="117">
        <v>1</v>
      </c>
      <c r="D17" s="113"/>
      <c r="F17" s="147"/>
      <c r="G17" s="147"/>
      <c r="H17" s="124" t="s">
        <v>237</v>
      </c>
      <c r="I17" s="122">
        <v>19</v>
      </c>
      <c r="J17" s="122" t="s">
        <v>314</v>
      </c>
      <c r="K17" s="93"/>
      <c r="L17" s="93"/>
    </row>
    <row r="18" spans="1:12" x14ac:dyDescent="0.3">
      <c r="A18" s="111" t="s">
        <v>241</v>
      </c>
      <c r="B18" s="111" t="s">
        <v>294</v>
      </c>
      <c r="C18" s="117">
        <v>1</v>
      </c>
      <c r="D18" s="113"/>
      <c r="F18" s="148"/>
      <c r="G18" s="148"/>
      <c r="H18" s="124" t="s">
        <v>231</v>
      </c>
      <c r="I18" s="122">
        <v>12</v>
      </c>
      <c r="J18" s="122" t="s">
        <v>315</v>
      </c>
      <c r="K18" s="93"/>
      <c r="L18" s="93"/>
    </row>
    <row r="19" spans="1:12" x14ac:dyDescent="0.3">
      <c r="A19" s="111" t="s">
        <v>244</v>
      </c>
      <c r="B19" s="111" t="s">
        <v>294</v>
      </c>
      <c r="C19" s="117">
        <v>1</v>
      </c>
      <c r="D19" s="113"/>
      <c r="F19" s="146" t="s">
        <v>299</v>
      </c>
      <c r="G19" s="146">
        <v>4</v>
      </c>
      <c r="H19" s="124" t="s">
        <v>236</v>
      </c>
      <c r="I19" s="122">
        <v>2</v>
      </c>
      <c r="J19" s="122" t="s">
        <v>313</v>
      </c>
      <c r="K19" s="93"/>
      <c r="L19" s="93"/>
    </row>
    <row r="20" spans="1:12" x14ac:dyDescent="0.3">
      <c r="A20" s="111" t="s">
        <v>243</v>
      </c>
      <c r="B20" s="111" t="s">
        <v>294</v>
      </c>
      <c r="C20" s="117">
        <v>1</v>
      </c>
      <c r="D20" s="113"/>
      <c r="F20" s="148"/>
      <c r="G20" s="148"/>
      <c r="H20" s="124" t="s">
        <v>231</v>
      </c>
      <c r="I20" s="122">
        <v>2</v>
      </c>
      <c r="J20" s="122" t="s">
        <v>315</v>
      </c>
      <c r="K20" s="93"/>
      <c r="L20" s="93"/>
    </row>
    <row r="21" spans="1:12" x14ac:dyDescent="0.3">
      <c r="A21" s="111" t="s">
        <v>247</v>
      </c>
      <c r="B21" s="111" t="s">
        <v>295</v>
      </c>
      <c r="C21" s="117">
        <v>6</v>
      </c>
      <c r="D21" s="113"/>
      <c r="F21" s="125" t="s">
        <v>320</v>
      </c>
      <c r="G21" s="125">
        <v>68</v>
      </c>
      <c r="H21" s="125" t="s">
        <v>321</v>
      </c>
      <c r="I21" s="125" t="s">
        <v>321</v>
      </c>
      <c r="J21" s="125" t="s">
        <v>321</v>
      </c>
      <c r="K21" s="93"/>
      <c r="L21" s="93"/>
    </row>
    <row r="22" spans="1:12" x14ac:dyDescent="0.3">
      <c r="A22" s="111"/>
      <c r="B22" s="111"/>
      <c r="C22" s="95">
        <v>390</v>
      </c>
      <c r="D22" s="113" t="s">
        <v>296</v>
      </c>
      <c r="K22" s="93"/>
      <c r="L22" s="93"/>
    </row>
    <row r="23" spans="1:12" x14ac:dyDescent="0.3">
      <c r="A23"/>
      <c r="B23"/>
      <c r="C23" s="2"/>
      <c r="D23" s="2"/>
      <c r="I23" s="93"/>
      <c r="J23" s="93"/>
      <c r="K23" s="93"/>
      <c r="L23" s="93"/>
    </row>
    <row r="24" spans="1:12" x14ac:dyDescent="0.3">
      <c r="A24" s="112" t="s">
        <v>37</v>
      </c>
      <c r="B24" s="112" t="s">
        <v>276</v>
      </c>
      <c r="C24" s="112" t="s">
        <v>277</v>
      </c>
      <c r="D24" s="112" t="s">
        <v>281</v>
      </c>
      <c r="I24" s="93"/>
      <c r="J24" s="93"/>
      <c r="K24" s="93"/>
      <c r="L24" s="93"/>
    </row>
    <row r="25" spans="1:12" x14ac:dyDescent="0.3">
      <c r="A25" s="111" t="s">
        <v>262</v>
      </c>
      <c r="B25" s="111" t="s">
        <v>293</v>
      </c>
      <c r="C25" s="119">
        <v>1</v>
      </c>
      <c r="D25" s="109"/>
      <c r="K25" s="93"/>
      <c r="L25" s="93"/>
    </row>
    <row r="26" spans="1:12" x14ac:dyDescent="0.3">
      <c r="A26" s="111" t="s">
        <v>232</v>
      </c>
      <c r="B26" s="111" t="s">
        <v>282</v>
      </c>
      <c r="C26" s="110">
        <v>5</v>
      </c>
      <c r="D26" s="109"/>
      <c r="K26" s="93"/>
      <c r="L26" s="93"/>
    </row>
    <row r="27" spans="1:12" x14ac:dyDescent="0.3">
      <c r="A27" s="111" t="s">
        <v>249</v>
      </c>
      <c r="B27" s="111" t="s">
        <v>284</v>
      </c>
      <c r="C27" s="114">
        <v>3</v>
      </c>
      <c r="D27" s="109"/>
    </row>
    <row r="28" spans="1:12" x14ac:dyDescent="0.3">
      <c r="A28" s="111" t="s">
        <v>261</v>
      </c>
      <c r="B28" s="111" t="s">
        <v>301</v>
      </c>
      <c r="C28" s="117">
        <v>2</v>
      </c>
      <c r="D28" s="109"/>
    </row>
    <row r="29" spans="1:12" x14ac:dyDescent="0.3">
      <c r="A29" s="111" t="s">
        <v>233</v>
      </c>
      <c r="B29" s="111" t="s">
        <v>288</v>
      </c>
      <c r="C29" s="110">
        <v>9</v>
      </c>
      <c r="D29" s="113" t="s">
        <v>278</v>
      </c>
    </row>
    <row r="30" spans="1:12" x14ac:dyDescent="0.3">
      <c r="A30" s="111" t="s">
        <v>228</v>
      </c>
      <c r="B30" s="111" t="s">
        <v>284</v>
      </c>
      <c r="C30" s="114">
        <v>5</v>
      </c>
      <c r="D30" s="109"/>
    </row>
    <row r="31" spans="1:12" x14ac:dyDescent="0.3">
      <c r="A31" s="111"/>
      <c r="B31" s="111"/>
      <c r="C31" s="95">
        <v>25</v>
      </c>
      <c r="D31" s="109"/>
    </row>
    <row r="32" spans="1:12" x14ac:dyDescent="0.3">
      <c r="A32"/>
      <c r="B32"/>
      <c r="C32" s="2"/>
      <c r="D32" s="2"/>
    </row>
    <row r="33" spans="1:4" x14ac:dyDescent="0.3">
      <c r="A33"/>
      <c r="B33"/>
      <c r="C33" s="2"/>
      <c r="D33" s="2"/>
    </row>
    <row r="34" spans="1:4" x14ac:dyDescent="0.3">
      <c r="A34"/>
      <c r="B34"/>
      <c r="C34" s="2"/>
      <c r="D34" s="2"/>
    </row>
    <row r="35" spans="1:4" x14ac:dyDescent="0.3">
      <c r="A35"/>
      <c r="B35"/>
      <c r="C35" s="2"/>
      <c r="D35" s="2"/>
    </row>
    <row r="36" spans="1:4" x14ac:dyDescent="0.3">
      <c r="A36"/>
      <c r="B36"/>
      <c r="C36" s="2"/>
      <c r="D36" s="2"/>
    </row>
    <row r="37" spans="1:4" x14ac:dyDescent="0.3">
      <c r="A37"/>
      <c r="B37"/>
      <c r="C37" s="2"/>
      <c r="D37" s="2"/>
    </row>
    <row r="38" spans="1:4" x14ac:dyDescent="0.3">
      <c r="A38"/>
      <c r="B38"/>
      <c r="C38" s="2"/>
      <c r="D38" s="2"/>
    </row>
    <row r="39" spans="1:4" x14ac:dyDescent="0.3">
      <c r="A39"/>
      <c r="B39"/>
      <c r="C39" s="2"/>
      <c r="D39" s="2"/>
    </row>
    <row r="40" spans="1:4" x14ac:dyDescent="0.3">
      <c r="A40"/>
      <c r="B40"/>
      <c r="C40" s="2"/>
      <c r="D40" s="2"/>
    </row>
    <row r="41" spans="1:4" x14ac:dyDescent="0.3">
      <c r="A41"/>
      <c r="B41"/>
      <c r="C41" s="2"/>
      <c r="D41" s="2"/>
    </row>
    <row r="42" spans="1:4" x14ac:dyDescent="0.3">
      <c r="A42"/>
      <c r="B42"/>
      <c r="C42" s="2"/>
      <c r="D42" s="2"/>
    </row>
    <row r="43" spans="1:4" x14ac:dyDescent="0.3">
      <c r="A43"/>
      <c r="B43"/>
      <c r="C43" s="2"/>
      <c r="D43" s="2"/>
    </row>
    <row r="44" spans="1:4" x14ac:dyDescent="0.3">
      <c r="A44"/>
      <c r="B44"/>
      <c r="C44" s="2"/>
      <c r="D44" s="2"/>
    </row>
    <row r="45" spans="1:4" x14ac:dyDescent="0.3">
      <c r="A45"/>
      <c r="B45"/>
      <c r="C45" s="2"/>
      <c r="D45" s="2"/>
    </row>
    <row r="46" spans="1:4" x14ac:dyDescent="0.3">
      <c r="A46"/>
      <c r="B46"/>
      <c r="C46" s="2"/>
      <c r="D46" s="2"/>
    </row>
    <row r="47" spans="1:4" x14ac:dyDescent="0.3">
      <c r="A47"/>
      <c r="B47"/>
      <c r="C47" s="2"/>
      <c r="D47" s="2"/>
    </row>
    <row r="48" spans="1:4" x14ac:dyDescent="0.3">
      <c r="A48"/>
      <c r="B48"/>
      <c r="C48" s="2"/>
      <c r="D48" s="2"/>
    </row>
    <row r="49" spans="1:4" x14ac:dyDescent="0.3">
      <c r="A49"/>
      <c r="B49"/>
      <c r="C49" s="2"/>
      <c r="D49" s="2"/>
    </row>
    <row r="50" spans="1:4" x14ac:dyDescent="0.3">
      <c r="A50"/>
      <c r="B50"/>
      <c r="C50" s="2"/>
      <c r="D50" s="2"/>
    </row>
    <row r="51" spans="1:4" x14ac:dyDescent="0.3">
      <c r="A51"/>
      <c r="B51"/>
      <c r="C51" s="2"/>
      <c r="D51" s="2"/>
    </row>
    <row r="52" spans="1:4" x14ac:dyDescent="0.3">
      <c r="A52"/>
      <c r="B52"/>
      <c r="C52" s="2"/>
      <c r="D52" s="2"/>
    </row>
    <row r="53" spans="1:4" x14ac:dyDescent="0.3">
      <c r="A53"/>
      <c r="B53"/>
      <c r="C53" s="2"/>
      <c r="D53" s="2"/>
    </row>
    <row r="54" spans="1:4" x14ac:dyDescent="0.3">
      <c r="A54"/>
      <c r="B54"/>
      <c r="C54" s="2"/>
      <c r="D54" s="2"/>
    </row>
    <row r="55" spans="1:4" x14ac:dyDescent="0.3">
      <c r="A55"/>
      <c r="B55"/>
      <c r="C55" s="2"/>
      <c r="D55" s="2"/>
    </row>
    <row r="56" spans="1:4" x14ac:dyDescent="0.3">
      <c r="A56"/>
      <c r="B56"/>
      <c r="C56" s="2"/>
      <c r="D56" s="2"/>
    </row>
    <row r="57" spans="1:4" x14ac:dyDescent="0.3">
      <c r="A57"/>
      <c r="B57"/>
      <c r="C57" s="2"/>
      <c r="D57" s="2"/>
    </row>
    <row r="58" spans="1:4" x14ac:dyDescent="0.3">
      <c r="A58"/>
      <c r="B58"/>
      <c r="C58" s="2"/>
      <c r="D58" s="2"/>
    </row>
    <row r="59" spans="1:4" x14ac:dyDescent="0.3">
      <c r="A59"/>
      <c r="B59"/>
      <c r="C59" s="2"/>
      <c r="D59" s="2"/>
    </row>
    <row r="60" spans="1:4" x14ac:dyDescent="0.3">
      <c r="A60"/>
      <c r="B60"/>
      <c r="C60" s="2"/>
      <c r="D60" s="2"/>
    </row>
    <row r="61" spans="1:4" x14ac:dyDescent="0.3">
      <c r="A61"/>
      <c r="B61"/>
      <c r="C61" s="2"/>
      <c r="D61" s="2"/>
    </row>
    <row r="62" spans="1:4" x14ac:dyDescent="0.3">
      <c r="A62"/>
      <c r="B62"/>
      <c r="C62" s="2"/>
      <c r="D62" s="2"/>
    </row>
    <row r="63" spans="1:4" x14ac:dyDescent="0.3">
      <c r="A63"/>
      <c r="B63"/>
      <c r="C63" s="2"/>
      <c r="D63" s="2"/>
    </row>
    <row r="64" spans="1:4" x14ac:dyDescent="0.3">
      <c r="A64"/>
      <c r="B64"/>
      <c r="C64" s="2"/>
      <c r="D64" s="2"/>
    </row>
    <row r="65" spans="1:4" x14ac:dyDescent="0.3">
      <c r="A65"/>
      <c r="B65"/>
      <c r="C65" s="2"/>
      <c r="D65" s="2"/>
    </row>
    <row r="66" spans="1:4" x14ac:dyDescent="0.3">
      <c r="A66"/>
      <c r="B66"/>
      <c r="C66" s="2"/>
      <c r="D66" s="2"/>
    </row>
    <row r="67" spans="1:4" x14ac:dyDescent="0.3">
      <c r="A67"/>
      <c r="B67"/>
      <c r="C67" s="2"/>
      <c r="D67" s="2"/>
    </row>
    <row r="68" spans="1:4" x14ac:dyDescent="0.3">
      <c r="A68"/>
      <c r="B68"/>
      <c r="C68" s="2"/>
      <c r="D68" s="2"/>
    </row>
    <row r="69" spans="1:4" x14ac:dyDescent="0.3">
      <c r="A69"/>
      <c r="B69"/>
      <c r="C69" s="2"/>
      <c r="D69" s="2"/>
    </row>
    <row r="70" spans="1:4" x14ac:dyDescent="0.3">
      <c r="A70"/>
      <c r="B70"/>
      <c r="C70" s="2"/>
      <c r="D70" s="2"/>
    </row>
    <row r="71" spans="1:4" x14ac:dyDescent="0.3">
      <c r="A71"/>
      <c r="B71"/>
      <c r="C71" s="2"/>
      <c r="D71" s="2"/>
    </row>
    <row r="72" spans="1:4" x14ac:dyDescent="0.3">
      <c r="A72"/>
      <c r="B72"/>
      <c r="C72" s="2"/>
      <c r="D72" s="2"/>
    </row>
    <row r="73" spans="1:4" x14ac:dyDescent="0.3">
      <c r="A73"/>
      <c r="B73"/>
      <c r="C73" s="2"/>
      <c r="D73" s="2"/>
    </row>
    <row r="74" spans="1:4" x14ac:dyDescent="0.3">
      <c r="A74"/>
      <c r="B74"/>
      <c r="C74" s="2"/>
      <c r="D74" s="2"/>
    </row>
    <row r="75" spans="1:4" x14ac:dyDescent="0.3">
      <c r="A75"/>
      <c r="B75"/>
      <c r="C75" s="2"/>
      <c r="D75" s="2"/>
    </row>
    <row r="76" spans="1:4" x14ac:dyDescent="0.3">
      <c r="A76"/>
      <c r="B76"/>
      <c r="C76" s="2"/>
      <c r="D76" s="2"/>
    </row>
    <row r="77" spans="1:4" x14ac:dyDescent="0.3">
      <c r="A77"/>
      <c r="B77"/>
      <c r="C77" s="2"/>
      <c r="D77" s="2"/>
    </row>
    <row r="78" spans="1:4" x14ac:dyDescent="0.3">
      <c r="A78"/>
      <c r="B78"/>
      <c r="C78" s="2"/>
      <c r="D78" s="2"/>
    </row>
    <row r="79" spans="1:4" x14ac:dyDescent="0.3">
      <c r="A79"/>
      <c r="B79"/>
      <c r="C79" s="2"/>
      <c r="D79" s="2"/>
    </row>
    <row r="80" spans="1:4" x14ac:dyDescent="0.3">
      <c r="A80"/>
      <c r="B80"/>
      <c r="C80" s="2"/>
      <c r="D80" s="2"/>
    </row>
    <row r="81" spans="1:4" x14ac:dyDescent="0.3">
      <c r="A81"/>
      <c r="B81"/>
      <c r="C81" s="2"/>
      <c r="D81" s="2"/>
    </row>
    <row r="82" spans="1:4" x14ac:dyDescent="0.3">
      <c r="A82"/>
      <c r="B82"/>
      <c r="C82" s="2"/>
      <c r="D82" s="2"/>
    </row>
    <row r="83" spans="1:4" x14ac:dyDescent="0.3">
      <c r="A83"/>
      <c r="B83"/>
      <c r="C83" s="2"/>
      <c r="D83" s="2"/>
    </row>
    <row r="84" spans="1:4" x14ac:dyDescent="0.3">
      <c r="A84"/>
      <c r="B84"/>
      <c r="C84" s="2"/>
      <c r="D84" s="2"/>
    </row>
    <row r="85" spans="1:4" x14ac:dyDescent="0.3">
      <c r="A85"/>
      <c r="B85"/>
      <c r="C85" s="2"/>
      <c r="D85" s="2"/>
    </row>
    <row r="86" spans="1:4" x14ac:dyDescent="0.3">
      <c r="A86"/>
      <c r="B86"/>
      <c r="C86" s="2"/>
      <c r="D86" s="2"/>
    </row>
    <row r="87" spans="1:4" x14ac:dyDescent="0.3">
      <c r="A87"/>
      <c r="B87"/>
      <c r="C87" s="2"/>
      <c r="D87" s="2"/>
    </row>
    <row r="88" spans="1:4" x14ac:dyDescent="0.3">
      <c r="A88"/>
      <c r="B88"/>
      <c r="C88" s="2"/>
      <c r="D88" s="2"/>
    </row>
    <row r="89" spans="1:4" x14ac:dyDescent="0.3">
      <c r="A89"/>
      <c r="B89"/>
      <c r="C89" s="2"/>
      <c r="D89" s="2"/>
    </row>
    <row r="90" spans="1:4" x14ac:dyDescent="0.3">
      <c r="A90"/>
      <c r="B90"/>
      <c r="C90" s="2"/>
      <c r="D90" s="2"/>
    </row>
    <row r="91" spans="1:4" x14ac:dyDescent="0.3">
      <c r="A91"/>
      <c r="B91"/>
      <c r="C91" s="2"/>
      <c r="D91" s="2"/>
    </row>
    <row r="92" spans="1:4" x14ac:dyDescent="0.3">
      <c r="A92"/>
      <c r="B92"/>
      <c r="C92" s="2"/>
      <c r="D92" s="2"/>
    </row>
    <row r="93" spans="1:4" x14ac:dyDescent="0.3">
      <c r="A93"/>
      <c r="B93"/>
      <c r="C93" s="2"/>
      <c r="D93" s="2"/>
    </row>
    <row r="94" spans="1:4" x14ac:dyDescent="0.3">
      <c r="A94"/>
      <c r="B94"/>
      <c r="C94" s="2"/>
      <c r="D94" s="2"/>
    </row>
    <row r="95" spans="1:4" x14ac:dyDescent="0.3">
      <c r="A95"/>
      <c r="B95"/>
      <c r="C95" s="2"/>
      <c r="D95" s="2"/>
    </row>
    <row r="96" spans="1:4" x14ac:dyDescent="0.3">
      <c r="A96"/>
      <c r="B96"/>
      <c r="C96" s="2"/>
      <c r="D96" s="2"/>
    </row>
    <row r="97" spans="1:4" x14ac:dyDescent="0.3">
      <c r="A97"/>
      <c r="B97"/>
      <c r="C97" s="2"/>
      <c r="D97" s="2"/>
    </row>
    <row r="98" spans="1:4" x14ac:dyDescent="0.3">
      <c r="A98"/>
      <c r="B98"/>
      <c r="C98" s="2"/>
      <c r="D98" s="2"/>
    </row>
    <row r="99" spans="1:4" x14ac:dyDescent="0.3">
      <c r="A99"/>
      <c r="B99"/>
      <c r="C99" s="2"/>
      <c r="D99" s="2"/>
    </row>
    <row r="100" spans="1:4" x14ac:dyDescent="0.3">
      <c r="A100"/>
      <c r="B100"/>
      <c r="C100" s="2"/>
      <c r="D100" s="2"/>
    </row>
    <row r="101" spans="1:4" x14ac:dyDescent="0.3">
      <c r="A101"/>
      <c r="B101"/>
      <c r="C101" s="2"/>
      <c r="D101" s="2"/>
    </row>
    <row r="102" spans="1:4" x14ac:dyDescent="0.3">
      <c r="A102"/>
      <c r="B102"/>
      <c r="C102" s="2"/>
      <c r="D102" s="2"/>
    </row>
    <row r="103" spans="1:4" x14ac:dyDescent="0.3">
      <c r="A103"/>
      <c r="B103"/>
      <c r="C103" s="2"/>
      <c r="D103" s="2"/>
    </row>
    <row r="104" spans="1:4" x14ac:dyDescent="0.3">
      <c r="A104"/>
      <c r="B104"/>
      <c r="C104" s="2"/>
      <c r="D104" s="2"/>
    </row>
    <row r="105" spans="1:4" x14ac:dyDescent="0.3">
      <c r="A105"/>
      <c r="B105"/>
      <c r="C105" s="2"/>
      <c r="D105" s="2"/>
    </row>
    <row r="106" spans="1:4" x14ac:dyDescent="0.3">
      <c r="A106"/>
      <c r="B106"/>
      <c r="C106" s="2"/>
      <c r="D106" s="2"/>
    </row>
    <row r="107" spans="1:4" x14ac:dyDescent="0.3">
      <c r="A107"/>
      <c r="B107"/>
      <c r="C107" s="2"/>
      <c r="D107" s="2"/>
    </row>
    <row r="108" spans="1:4" x14ac:dyDescent="0.3">
      <c r="A108"/>
      <c r="B108"/>
      <c r="C108" s="2"/>
      <c r="D108" s="2"/>
    </row>
    <row r="109" spans="1:4" x14ac:dyDescent="0.3">
      <c r="A109"/>
      <c r="B109"/>
      <c r="C109" s="2"/>
      <c r="D109" s="2"/>
    </row>
    <row r="110" spans="1:4" x14ac:dyDescent="0.3">
      <c r="A110"/>
      <c r="B110"/>
      <c r="C110" s="2"/>
      <c r="D110" s="2"/>
    </row>
    <row r="111" spans="1:4" x14ac:dyDescent="0.3">
      <c r="A111"/>
      <c r="B111"/>
      <c r="C111" s="2"/>
      <c r="D111" s="2"/>
    </row>
    <row r="112" spans="1:4" x14ac:dyDescent="0.3">
      <c r="A112"/>
      <c r="B112"/>
      <c r="C112" s="2"/>
      <c r="D112" s="2"/>
    </row>
    <row r="113" spans="1:4" x14ac:dyDescent="0.3">
      <c r="A113"/>
      <c r="B113"/>
      <c r="C113" s="2"/>
      <c r="D113" s="2"/>
    </row>
    <row r="114" spans="1:4" x14ac:dyDescent="0.3">
      <c r="A114"/>
      <c r="B114"/>
      <c r="C114" s="2"/>
      <c r="D114" s="2"/>
    </row>
    <row r="115" spans="1:4" x14ac:dyDescent="0.3">
      <c r="A115"/>
      <c r="B115"/>
      <c r="C115" s="2"/>
      <c r="D115" s="2"/>
    </row>
    <row r="116" spans="1:4" x14ac:dyDescent="0.3">
      <c r="A116"/>
      <c r="B116"/>
      <c r="C116" s="2"/>
      <c r="D116" s="2"/>
    </row>
    <row r="117" spans="1:4" x14ac:dyDescent="0.3">
      <c r="A117"/>
      <c r="B117"/>
      <c r="C117" s="2"/>
      <c r="D117" s="2"/>
    </row>
    <row r="118" spans="1:4" x14ac:dyDescent="0.3">
      <c r="A118"/>
      <c r="B118"/>
      <c r="C118" s="2"/>
      <c r="D118" s="2"/>
    </row>
    <row r="119" spans="1:4" x14ac:dyDescent="0.3">
      <c r="A119"/>
      <c r="B119"/>
      <c r="C119" s="2"/>
      <c r="D119" s="2"/>
    </row>
    <row r="120" spans="1:4" x14ac:dyDescent="0.3">
      <c r="A120"/>
      <c r="B120"/>
      <c r="C120" s="2"/>
      <c r="D120" s="2"/>
    </row>
    <row r="121" spans="1:4" x14ac:dyDescent="0.3">
      <c r="A121"/>
      <c r="B121"/>
      <c r="C121" s="2"/>
      <c r="D121" s="2"/>
    </row>
    <row r="122" spans="1:4" x14ac:dyDescent="0.3">
      <c r="A122"/>
      <c r="B122"/>
      <c r="C122" s="2"/>
      <c r="D122" s="2"/>
    </row>
    <row r="123" spans="1:4" x14ac:dyDescent="0.3">
      <c r="A123"/>
      <c r="B123"/>
      <c r="C123" s="2"/>
      <c r="D123" s="2"/>
    </row>
    <row r="124" spans="1:4" x14ac:dyDescent="0.3">
      <c r="A124"/>
      <c r="B124"/>
      <c r="C124" s="2"/>
      <c r="D124" s="2"/>
    </row>
    <row r="125" spans="1:4" x14ac:dyDescent="0.3">
      <c r="A125"/>
      <c r="B125"/>
      <c r="C125" s="2"/>
      <c r="D125" s="2"/>
    </row>
    <row r="126" spans="1:4" x14ac:dyDescent="0.3">
      <c r="A126"/>
      <c r="B126"/>
      <c r="C126" s="2"/>
      <c r="D126" s="2"/>
    </row>
    <row r="127" spans="1:4" x14ac:dyDescent="0.3">
      <c r="A127"/>
      <c r="B127"/>
      <c r="C127" s="2"/>
      <c r="D127" s="2"/>
    </row>
    <row r="128" spans="1:4" x14ac:dyDescent="0.3">
      <c r="A128"/>
      <c r="B128"/>
      <c r="C128" s="2"/>
      <c r="D128" s="2"/>
    </row>
    <row r="129" spans="1:4" x14ac:dyDescent="0.3">
      <c r="A129"/>
      <c r="B129"/>
      <c r="C129" s="2"/>
      <c r="D129" s="2"/>
    </row>
    <row r="130" spans="1:4" x14ac:dyDescent="0.3">
      <c r="A130"/>
      <c r="B130"/>
      <c r="C130" s="2"/>
      <c r="D130" s="2"/>
    </row>
    <row r="131" spans="1:4" x14ac:dyDescent="0.3">
      <c r="A131"/>
      <c r="B131"/>
      <c r="C131" s="2"/>
      <c r="D131" s="2"/>
    </row>
    <row r="132" spans="1:4" x14ac:dyDescent="0.3">
      <c r="A132"/>
      <c r="B132"/>
      <c r="C132" s="2"/>
      <c r="D132" s="2"/>
    </row>
    <row r="133" spans="1:4" x14ac:dyDescent="0.3">
      <c r="A133"/>
      <c r="B133"/>
      <c r="C133" s="2"/>
      <c r="D133" s="2"/>
    </row>
    <row r="134" spans="1:4" x14ac:dyDescent="0.3">
      <c r="A134"/>
      <c r="B134"/>
      <c r="C134" s="2"/>
      <c r="D134" s="2"/>
    </row>
    <row r="135" spans="1:4" x14ac:dyDescent="0.3">
      <c r="A135"/>
      <c r="B135"/>
      <c r="C135" s="2"/>
      <c r="D135" s="2"/>
    </row>
    <row r="136" spans="1:4" x14ac:dyDescent="0.3">
      <c r="A136"/>
      <c r="B136"/>
      <c r="C136" s="2"/>
      <c r="D136" s="2"/>
    </row>
    <row r="137" spans="1:4" x14ac:dyDescent="0.3">
      <c r="A137"/>
      <c r="B137"/>
      <c r="C137" s="2"/>
      <c r="D137" s="2"/>
    </row>
    <row r="138" spans="1:4" x14ac:dyDescent="0.3">
      <c r="A138"/>
      <c r="B138"/>
      <c r="C138" s="2"/>
      <c r="D138" s="2"/>
    </row>
    <row r="139" spans="1:4" x14ac:dyDescent="0.3">
      <c r="A139"/>
      <c r="B139"/>
      <c r="C139" s="2"/>
      <c r="D139" s="2"/>
    </row>
    <row r="140" spans="1:4" x14ac:dyDescent="0.3">
      <c r="A140"/>
      <c r="B140"/>
      <c r="C140" s="2"/>
      <c r="D140" s="2"/>
    </row>
    <row r="141" spans="1:4" x14ac:dyDescent="0.3">
      <c r="A141"/>
      <c r="B141"/>
      <c r="C141" s="2"/>
      <c r="D141" s="2"/>
    </row>
    <row r="142" spans="1:4" x14ac:dyDescent="0.3">
      <c r="A142"/>
      <c r="B142"/>
      <c r="C142" s="2"/>
      <c r="D142" s="2"/>
    </row>
    <row r="143" spans="1:4" x14ac:dyDescent="0.3">
      <c r="A143"/>
      <c r="B143"/>
      <c r="C143" s="2"/>
      <c r="D143" s="2"/>
    </row>
    <row r="144" spans="1:4" x14ac:dyDescent="0.3">
      <c r="A144"/>
      <c r="B144"/>
      <c r="C144" s="2"/>
      <c r="D144" s="2"/>
    </row>
    <row r="145" spans="1:4" x14ac:dyDescent="0.3">
      <c r="A145"/>
      <c r="B145"/>
      <c r="C145" s="2"/>
      <c r="D145" s="2"/>
    </row>
    <row r="146" spans="1:4" x14ac:dyDescent="0.3">
      <c r="A146"/>
      <c r="B146"/>
      <c r="C146" s="2"/>
      <c r="D146" s="2"/>
    </row>
    <row r="147" spans="1:4" x14ac:dyDescent="0.3">
      <c r="A147"/>
      <c r="B147"/>
      <c r="C147" s="2"/>
      <c r="D147" s="2"/>
    </row>
    <row r="148" spans="1:4" x14ac:dyDescent="0.3">
      <c r="A148"/>
      <c r="B148"/>
      <c r="C148" s="2"/>
      <c r="D148" s="2"/>
    </row>
    <row r="149" spans="1:4" x14ac:dyDescent="0.3">
      <c r="A149"/>
      <c r="B149"/>
      <c r="C149" s="2"/>
      <c r="D149" s="2"/>
    </row>
    <row r="150" spans="1:4" x14ac:dyDescent="0.3">
      <c r="A150"/>
      <c r="B150"/>
      <c r="C150" s="2"/>
      <c r="D150" s="2"/>
    </row>
    <row r="151" spans="1:4" x14ac:dyDescent="0.3">
      <c r="A151"/>
      <c r="B151"/>
      <c r="C151" s="2"/>
      <c r="D151" s="2"/>
    </row>
    <row r="152" spans="1:4" x14ac:dyDescent="0.3">
      <c r="A152"/>
      <c r="B152"/>
      <c r="C152" s="2"/>
      <c r="D152" s="2"/>
    </row>
    <row r="153" spans="1:4" x14ac:dyDescent="0.3">
      <c r="A153"/>
      <c r="B153"/>
      <c r="C153" s="2"/>
      <c r="D153" s="2"/>
    </row>
    <row r="154" spans="1:4" x14ac:dyDescent="0.3">
      <c r="A154"/>
      <c r="B154"/>
      <c r="C154" s="2"/>
      <c r="D154" s="2"/>
    </row>
    <row r="155" spans="1:4" x14ac:dyDescent="0.3">
      <c r="A155"/>
      <c r="B155"/>
      <c r="C155" s="2"/>
      <c r="D155" s="2"/>
    </row>
    <row r="156" spans="1:4" x14ac:dyDescent="0.3">
      <c r="A156"/>
      <c r="B156"/>
      <c r="C156" s="2"/>
      <c r="D156" s="2"/>
    </row>
    <row r="157" spans="1:4" x14ac:dyDescent="0.3">
      <c r="A157"/>
      <c r="B157"/>
      <c r="C157" s="2"/>
      <c r="D157" s="2"/>
    </row>
    <row r="158" spans="1:4" x14ac:dyDescent="0.3">
      <c r="A158"/>
      <c r="B158"/>
      <c r="C158" s="2"/>
      <c r="D158" s="2"/>
    </row>
    <row r="159" spans="1:4" x14ac:dyDescent="0.3">
      <c r="A159"/>
      <c r="B159"/>
      <c r="C159" s="2"/>
      <c r="D159" s="2"/>
    </row>
    <row r="160" spans="1:4" x14ac:dyDescent="0.3">
      <c r="A160"/>
      <c r="B160"/>
      <c r="C160" s="2"/>
      <c r="D160" s="2"/>
    </row>
    <row r="161" spans="1:4" x14ac:dyDescent="0.3">
      <c r="A161"/>
      <c r="B161"/>
      <c r="C161" s="2"/>
      <c r="D161" s="2"/>
    </row>
    <row r="162" spans="1:4" x14ac:dyDescent="0.3">
      <c r="A162"/>
      <c r="B162"/>
      <c r="C162" s="2"/>
      <c r="D162" s="2"/>
    </row>
    <row r="163" spans="1:4" x14ac:dyDescent="0.3">
      <c r="A163"/>
      <c r="B163"/>
      <c r="C163" s="2"/>
      <c r="D163" s="2"/>
    </row>
    <row r="164" spans="1:4" x14ac:dyDescent="0.3">
      <c r="A164"/>
      <c r="B164"/>
      <c r="C164" s="2"/>
      <c r="D164" s="2"/>
    </row>
    <row r="165" spans="1:4" x14ac:dyDescent="0.3">
      <c r="A165"/>
      <c r="B165"/>
      <c r="C165" s="2"/>
      <c r="D165" s="2"/>
    </row>
    <row r="166" spans="1:4" x14ac:dyDescent="0.3">
      <c r="A166"/>
      <c r="B166"/>
      <c r="C166" s="2"/>
      <c r="D166" s="2"/>
    </row>
    <row r="167" spans="1:4" x14ac:dyDescent="0.3">
      <c r="A167"/>
      <c r="B167"/>
      <c r="C167" s="2"/>
      <c r="D167" s="2"/>
    </row>
    <row r="168" spans="1:4" x14ac:dyDescent="0.3">
      <c r="A168"/>
      <c r="B168"/>
      <c r="C168" s="2"/>
      <c r="D168" s="2"/>
    </row>
    <row r="169" spans="1:4" x14ac:dyDescent="0.3">
      <c r="A169"/>
      <c r="B169"/>
      <c r="C169" s="2"/>
      <c r="D169" s="2"/>
    </row>
    <row r="170" spans="1:4" x14ac:dyDescent="0.3">
      <c r="A170"/>
      <c r="B170"/>
      <c r="C170" s="2"/>
      <c r="D170" s="2"/>
    </row>
    <row r="171" spans="1:4" x14ac:dyDescent="0.3">
      <c r="A171"/>
      <c r="B171"/>
      <c r="C171" s="2"/>
      <c r="D171" s="2"/>
    </row>
    <row r="172" spans="1:4" x14ac:dyDescent="0.3">
      <c r="A172"/>
      <c r="B172"/>
      <c r="C172" s="2"/>
      <c r="D172" s="2"/>
    </row>
    <row r="173" spans="1:4" x14ac:dyDescent="0.3">
      <c r="A173"/>
      <c r="B173"/>
      <c r="C173" s="2"/>
      <c r="D173" s="2"/>
    </row>
    <row r="174" spans="1:4" x14ac:dyDescent="0.3">
      <c r="A174"/>
      <c r="B174"/>
      <c r="C174" s="2"/>
      <c r="D174" s="2"/>
    </row>
    <row r="175" spans="1:4" x14ac:dyDescent="0.3">
      <c r="A175"/>
      <c r="B175"/>
      <c r="C175" s="2"/>
      <c r="D175" s="2"/>
    </row>
    <row r="176" spans="1:4" x14ac:dyDescent="0.3">
      <c r="A176"/>
      <c r="B176"/>
      <c r="C176" s="2"/>
      <c r="D176" s="2"/>
    </row>
    <row r="177" spans="1:4" x14ac:dyDescent="0.3">
      <c r="A177"/>
      <c r="B177"/>
      <c r="C177" s="2"/>
      <c r="D177" s="2"/>
    </row>
    <row r="178" spans="1:4" x14ac:dyDescent="0.3">
      <c r="A178"/>
      <c r="B178"/>
      <c r="C178" s="2"/>
      <c r="D178" s="2"/>
    </row>
    <row r="179" spans="1:4" x14ac:dyDescent="0.3">
      <c r="A179"/>
      <c r="B179"/>
      <c r="C179" s="2"/>
      <c r="D179" s="2"/>
    </row>
    <row r="180" spans="1:4" x14ac:dyDescent="0.3">
      <c r="A180"/>
      <c r="B180"/>
      <c r="C180" s="2"/>
      <c r="D180" s="2"/>
    </row>
    <row r="181" spans="1:4" x14ac:dyDescent="0.3">
      <c r="A181"/>
      <c r="B181"/>
      <c r="C181" s="2"/>
      <c r="D181" s="2"/>
    </row>
    <row r="182" spans="1:4" x14ac:dyDescent="0.3">
      <c r="A182"/>
      <c r="B182"/>
      <c r="C182" s="2"/>
      <c r="D182" s="2"/>
    </row>
    <row r="183" spans="1:4" x14ac:dyDescent="0.3">
      <c r="A183"/>
      <c r="B183"/>
      <c r="C183" s="2"/>
      <c r="D183" s="2"/>
    </row>
    <row r="184" spans="1:4" x14ac:dyDescent="0.3">
      <c r="A184"/>
      <c r="B184"/>
      <c r="C184" s="2"/>
      <c r="D184" s="2"/>
    </row>
    <row r="185" spans="1:4" x14ac:dyDescent="0.3">
      <c r="A185"/>
      <c r="B185"/>
      <c r="C185" s="2"/>
      <c r="D185" s="2"/>
    </row>
    <row r="186" spans="1:4" x14ac:dyDescent="0.3">
      <c r="A186"/>
      <c r="B186"/>
      <c r="C186" s="2"/>
      <c r="D186" s="2"/>
    </row>
    <row r="187" spans="1:4" x14ac:dyDescent="0.3">
      <c r="A187"/>
      <c r="B187"/>
      <c r="C187" s="2"/>
      <c r="D187" s="2"/>
    </row>
    <row r="188" spans="1:4" x14ac:dyDescent="0.3">
      <c r="A188"/>
      <c r="B188"/>
      <c r="C188" s="2"/>
      <c r="D188" s="2"/>
    </row>
    <row r="189" spans="1:4" x14ac:dyDescent="0.3">
      <c r="A189"/>
      <c r="B189"/>
      <c r="C189" s="2"/>
      <c r="D189" s="2"/>
    </row>
    <row r="190" spans="1:4" x14ac:dyDescent="0.3">
      <c r="A190"/>
      <c r="B190"/>
      <c r="C190" s="2"/>
      <c r="D190" s="2"/>
    </row>
    <row r="191" spans="1:4" x14ac:dyDescent="0.3">
      <c r="A191"/>
      <c r="B191"/>
      <c r="C191" s="2"/>
      <c r="D191" s="2"/>
    </row>
    <row r="192" spans="1:4" x14ac:dyDescent="0.3">
      <c r="A192"/>
      <c r="B192"/>
      <c r="C192" s="2"/>
      <c r="D192" s="2"/>
    </row>
    <row r="193" spans="1:4" x14ac:dyDescent="0.3">
      <c r="A193"/>
      <c r="B193"/>
      <c r="C193" s="2"/>
      <c r="D193" s="2"/>
    </row>
    <row r="194" spans="1:4" x14ac:dyDescent="0.3">
      <c r="A194"/>
      <c r="B194"/>
      <c r="C194" s="2"/>
      <c r="D194" s="2"/>
    </row>
    <row r="195" spans="1:4" x14ac:dyDescent="0.3">
      <c r="A195"/>
      <c r="B195"/>
      <c r="C195" s="2"/>
      <c r="D195" s="2"/>
    </row>
    <row r="196" spans="1:4" x14ac:dyDescent="0.3">
      <c r="A196"/>
      <c r="B196"/>
      <c r="C196" s="2"/>
      <c r="D196" s="2"/>
    </row>
    <row r="197" spans="1:4" x14ac:dyDescent="0.3">
      <c r="A197"/>
      <c r="B197"/>
      <c r="C197" s="2"/>
      <c r="D197" s="2"/>
    </row>
    <row r="198" spans="1:4" x14ac:dyDescent="0.3">
      <c r="A198"/>
      <c r="B198"/>
      <c r="C198" s="2"/>
      <c r="D198" s="2"/>
    </row>
    <row r="199" spans="1:4" x14ac:dyDescent="0.3">
      <c r="A199"/>
      <c r="B199"/>
      <c r="C199" s="2"/>
      <c r="D199" s="2"/>
    </row>
    <row r="200" spans="1:4" x14ac:dyDescent="0.3">
      <c r="A200"/>
      <c r="B200"/>
      <c r="C200" s="2"/>
      <c r="D200" s="2"/>
    </row>
    <row r="201" spans="1:4" x14ac:dyDescent="0.3">
      <c r="A201"/>
      <c r="B201"/>
      <c r="C201" s="2"/>
      <c r="D201" s="2"/>
    </row>
    <row r="202" spans="1:4" x14ac:dyDescent="0.3">
      <c r="A202"/>
      <c r="B202"/>
      <c r="C202" s="2"/>
      <c r="D202" s="2"/>
    </row>
    <row r="203" spans="1:4" x14ac:dyDescent="0.3">
      <c r="A203"/>
      <c r="B203"/>
      <c r="C203" s="2"/>
      <c r="D203" s="2"/>
    </row>
    <row r="204" spans="1:4" x14ac:dyDescent="0.3">
      <c r="A204"/>
      <c r="B204"/>
      <c r="C204" s="2"/>
      <c r="D204" s="2"/>
    </row>
    <row r="205" spans="1:4" x14ac:dyDescent="0.3">
      <c r="A205"/>
      <c r="B205"/>
      <c r="C205" s="2"/>
      <c r="D205" s="2"/>
    </row>
    <row r="206" spans="1:4" x14ac:dyDescent="0.3">
      <c r="A206"/>
      <c r="B206"/>
      <c r="C206" s="2"/>
      <c r="D206" s="2"/>
    </row>
    <row r="207" spans="1:4" x14ac:dyDescent="0.3">
      <c r="A207"/>
      <c r="B207"/>
      <c r="C207" s="2"/>
      <c r="D207" s="2"/>
    </row>
    <row r="208" spans="1:4" x14ac:dyDescent="0.3">
      <c r="A208"/>
      <c r="B208"/>
      <c r="C208" s="2"/>
      <c r="D208" s="2"/>
    </row>
    <row r="209" spans="1:4" x14ac:dyDescent="0.3">
      <c r="A209"/>
      <c r="B209"/>
      <c r="C209" s="2"/>
      <c r="D209" s="2"/>
    </row>
    <row r="210" spans="1:4" x14ac:dyDescent="0.3">
      <c r="A210"/>
      <c r="B210"/>
      <c r="C210" s="2"/>
      <c r="D210" s="2"/>
    </row>
    <row r="211" spans="1:4" x14ac:dyDescent="0.3">
      <c r="A211"/>
      <c r="B211"/>
      <c r="C211" s="2"/>
      <c r="D211" s="2"/>
    </row>
    <row r="212" spans="1:4" x14ac:dyDescent="0.3">
      <c r="A212"/>
      <c r="B212"/>
      <c r="C212" s="2"/>
      <c r="D212" s="2"/>
    </row>
    <row r="213" spans="1:4" x14ac:dyDescent="0.3">
      <c r="A213"/>
      <c r="B213"/>
      <c r="C213" s="2"/>
      <c r="D213" s="2"/>
    </row>
    <row r="214" spans="1:4" x14ac:dyDescent="0.3">
      <c r="A214"/>
      <c r="B214"/>
      <c r="C214" s="2"/>
      <c r="D214" s="2"/>
    </row>
    <row r="215" spans="1:4" x14ac:dyDescent="0.3">
      <c r="A215"/>
      <c r="B215"/>
      <c r="C215" s="2"/>
      <c r="D215" s="2"/>
    </row>
    <row r="216" spans="1:4" x14ac:dyDescent="0.3">
      <c r="A216"/>
      <c r="B216"/>
      <c r="C216" s="2"/>
      <c r="D216" s="2"/>
    </row>
    <row r="217" spans="1:4" x14ac:dyDescent="0.3">
      <c r="A217"/>
      <c r="B217"/>
      <c r="C217" s="2"/>
      <c r="D217" s="2"/>
    </row>
    <row r="218" spans="1:4" x14ac:dyDescent="0.3">
      <c r="A218"/>
      <c r="B218"/>
      <c r="C218" s="2"/>
      <c r="D218" s="2"/>
    </row>
    <row r="219" spans="1:4" x14ac:dyDescent="0.3">
      <c r="A219"/>
      <c r="B219"/>
      <c r="C219" s="2"/>
      <c r="D219" s="2"/>
    </row>
    <row r="220" spans="1:4" x14ac:dyDescent="0.3">
      <c r="A220"/>
      <c r="B220"/>
      <c r="C220" s="2"/>
      <c r="D220" s="2"/>
    </row>
    <row r="221" spans="1:4" x14ac:dyDescent="0.3">
      <c r="A221"/>
      <c r="B221"/>
      <c r="C221" s="2"/>
      <c r="D221" s="2"/>
    </row>
    <row r="222" spans="1:4" x14ac:dyDescent="0.3">
      <c r="A222"/>
      <c r="B222"/>
      <c r="C222" s="2"/>
      <c r="D222" s="2"/>
    </row>
    <row r="223" spans="1:4" x14ac:dyDescent="0.3">
      <c r="A223"/>
      <c r="B223"/>
      <c r="C223" s="2"/>
      <c r="D223" s="2"/>
    </row>
    <row r="224" spans="1:4" x14ac:dyDescent="0.3">
      <c r="A224"/>
      <c r="B224"/>
      <c r="C224" s="2"/>
      <c r="D224" s="2"/>
    </row>
    <row r="225" spans="1:4" x14ac:dyDescent="0.3">
      <c r="A225"/>
      <c r="B225"/>
      <c r="C225" s="2"/>
      <c r="D225" s="2"/>
    </row>
    <row r="226" spans="1:4" x14ac:dyDescent="0.3">
      <c r="A226"/>
      <c r="B226"/>
      <c r="C226" s="2"/>
      <c r="D226" s="2"/>
    </row>
    <row r="227" spans="1:4" x14ac:dyDescent="0.3">
      <c r="A227"/>
      <c r="B227"/>
      <c r="C227" s="2"/>
      <c r="D227" s="2"/>
    </row>
    <row r="228" spans="1:4" x14ac:dyDescent="0.3">
      <c r="A228"/>
      <c r="B228"/>
      <c r="C228" s="2"/>
      <c r="D228" s="2"/>
    </row>
    <row r="229" spans="1:4" x14ac:dyDescent="0.3">
      <c r="A229"/>
      <c r="B229"/>
      <c r="C229" s="2"/>
      <c r="D229" s="2"/>
    </row>
    <row r="230" spans="1:4" x14ac:dyDescent="0.3">
      <c r="A230"/>
      <c r="B230"/>
      <c r="C230" s="2"/>
      <c r="D230" s="2"/>
    </row>
    <row r="231" spans="1:4" x14ac:dyDescent="0.3">
      <c r="A231"/>
      <c r="B231"/>
      <c r="C231" s="2"/>
      <c r="D231" s="2"/>
    </row>
    <row r="232" spans="1:4" x14ac:dyDescent="0.3">
      <c r="A232"/>
      <c r="B232"/>
      <c r="C232" s="2"/>
      <c r="D232" s="2"/>
    </row>
    <row r="233" spans="1:4" x14ac:dyDescent="0.3">
      <c r="A233"/>
      <c r="B233"/>
      <c r="C233" s="2"/>
      <c r="D233" s="2"/>
    </row>
    <row r="234" spans="1:4" x14ac:dyDescent="0.3">
      <c r="A234"/>
      <c r="B234"/>
      <c r="C234" s="2"/>
      <c r="D234" s="2"/>
    </row>
    <row r="235" spans="1:4" x14ac:dyDescent="0.3">
      <c r="A235"/>
      <c r="B235"/>
      <c r="C235" s="2"/>
      <c r="D235" s="2"/>
    </row>
    <row r="236" spans="1:4" x14ac:dyDescent="0.3">
      <c r="A236"/>
      <c r="B236"/>
      <c r="C236" s="2"/>
      <c r="D236" s="2"/>
    </row>
    <row r="237" spans="1:4" x14ac:dyDescent="0.3">
      <c r="A237"/>
      <c r="B237"/>
      <c r="C237" s="2"/>
      <c r="D237" s="2"/>
    </row>
    <row r="238" spans="1:4" x14ac:dyDescent="0.3">
      <c r="A238"/>
      <c r="B238"/>
      <c r="C238" s="2"/>
      <c r="D238" s="2"/>
    </row>
    <row r="239" spans="1:4" x14ac:dyDescent="0.3">
      <c r="A239"/>
      <c r="B239"/>
      <c r="C239" s="2"/>
      <c r="D239" s="2"/>
    </row>
    <row r="240" spans="1:4" x14ac:dyDescent="0.3">
      <c r="A240"/>
      <c r="B240"/>
      <c r="C240" s="2"/>
      <c r="D240" s="2"/>
    </row>
    <row r="241" spans="1:4" x14ac:dyDescent="0.3">
      <c r="A241"/>
      <c r="B241"/>
      <c r="C241" s="2"/>
      <c r="D241" s="2"/>
    </row>
    <row r="242" spans="1:4" x14ac:dyDescent="0.3">
      <c r="A242"/>
      <c r="B242"/>
      <c r="C242" s="2"/>
      <c r="D242" s="2"/>
    </row>
    <row r="243" spans="1:4" x14ac:dyDescent="0.3">
      <c r="A243"/>
      <c r="B243"/>
      <c r="C243" s="2"/>
      <c r="D243" s="2"/>
    </row>
    <row r="244" spans="1:4" x14ac:dyDescent="0.3">
      <c r="A244"/>
      <c r="B244"/>
      <c r="C244" s="2"/>
      <c r="D244" s="2"/>
    </row>
    <row r="245" spans="1:4" x14ac:dyDescent="0.3">
      <c r="A245"/>
      <c r="B245"/>
      <c r="C245" s="2"/>
      <c r="D245" s="2"/>
    </row>
    <row r="246" spans="1:4" x14ac:dyDescent="0.3">
      <c r="A246"/>
      <c r="B246"/>
      <c r="C246" s="2"/>
      <c r="D246" s="2"/>
    </row>
    <row r="247" spans="1:4" x14ac:dyDescent="0.3">
      <c r="A247"/>
      <c r="B247"/>
      <c r="C247" s="2"/>
      <c r="D247" s="2"/>
    </row>
    <row r="248" spans="1:4" x14ac:dyDescent="0.3">
      <c r="A248"/>
      <c r="B248"/>
      <c r="C248" s="2"/>
      <c r="D248" s="2"/>
    </row>
    <row r="249" spans="1:4" x14ac:dyDescent="0.3">
      <c r="A249"/>
      <c r="B249"/>
      <c r="C249" s="2"/>
      <c r="D249" s="2"/>
    </row>
    <row r="250" spans="1:4" x14ac:dyDescent="0.3">
      <c r="A250"/>
      <c r="B250"/>
      <c r="C250" s="2"/>
      <c r="D250" s="2"/>
    </row>
    <row r="251" spans="1:4" x14ac:dyDescent="0.3">
      <c r="A251"/>
      <c r="B251"/>
      <c r="C251" s="2"/>
      <c r="D251" s="2"/>
    </row>
    <row r="252" spans="1:4" x14ac:dyDescent="0.3">
      <c r="A252"/>
      <c r="B252"/>
      <c r="C252" s="2"/>
      <c r="D252" s="2"/>
    </row>
    <row r="253" spans="1:4" x14ac:dyDescent="0.3">
      <c r="A253"/>
      <c r="B253"/>
      <c r="C253" s="2"/>
      <c r="D253" s="2"/>
    </row>
    <row r="254" spans="1:4" x14ac:dyDescent="0.3">
      <c r="A254"/>
      <c r="B254"/>
      <c r="C254" s="2"/>
      <c r="D254" s="2"/>
    </row>
    <row r="255" spans="1:4" x14ac:dyDescent="0.3">
      <c r="A255"/>
      <c r="B255"/>
      <c r="C255" s="2"/>
      <c r="D255" s="2"/>
    </row>
    <row r="256" spans="1:4" x14ac:dyDescent="0.3">
      <c r="A256"/>
      <c r="B256"/>
      <c r="C256" s="2"/>
      <c r="D256" s="2"/>
    </row>
    <row r="257" spans="1:4" x14ac:dyDescent="0.3">
      <c r="A257"/>
      <c r="B257"/>
      <c r="C257" s="2"/>
      <c r="D257" s="2"/>
    </row>
    <row r="258" spans="1:4" x14ac:dyDescent="0.3">
      <c r="A258"/>
      <c r="B258"/>
      <c r="C258" s="2"/>
      <c r="D258" s="2"/>
    </row>
    <row r="259" spans="1:4" x14ac:dyDescent="0.3">
      <c r="A259"/>
      <c r="B259"/>
      <c r="C259" s="2"/>
      <c r="D259" s="2"/>
    </row>
    <row r="260" spans="1:4" x14ac:dyDescent="0.3">
      <c r="A260"/>
      <c r="B260"/>
      <c r="C260" s="2"/>
      <c r="D260" s="2"/>
    </row>
    <row r="261" spans="1:4" x14ac:dyDescent="0.3">
      <c r="A261"/>
      <c r="B261"/>
      <c r="C261" s="2"/>
      <c r="D261" s="2"/>
    </row>
    <row r="262" spans="1:4" x14ac:dyDescent="0.3">
      <c r="A262"/>
      <c r="B262"/>
      <c r="C262" s="2"/>
      <c r="D262" s="2"/>
    </row>
    <row r="263" spans="1:4" x14ac:dyDescent="0.3">
      <c r="A263"/>
      <c r="B263"/>
      <c r="C263" s="2"/>
      <c r="D263" s="2"/>
    </row>
    <row r="264" spans="1:4" x14ac:dyDescent="0.3">
      <c r="A264"/>
      <c r="B264"/>
      <c r="C264" s="2"/>
      <c r="D264" s="2"/>
    </row>
    <row r="265" spans="1:4" x14ac:dyDescent="0.3">
      <c r="A265"/>
      <c r="B265"/>
      <c r="C265" s="2"/>
      <c r="D265" s="2"/>
    </row>
    <row r="266" spans="1:4" x14ac:dyDescent="0.3">
      <c r="A266"/>
      <c r="B266"/>
      <c r="C266" s="2"/>
      <c r="D266" s="2"/>
    </row>
    <row r="267" spans="1:4" x14ac:dyDescent="0.3">
      <c r="A267"/>
      <c r="B267"/>
      <c r="C267" s="2"/>
      <c r="D267" s="2"/>
    </row>
    <row r="268" spans="1:4" x14ac:dyDescent="0.3">
      <c r="A268"/>
      <c r="B268"/>
      <c r="C268" s="2"/>
      <c r="D268" s="2"/>
    </row>
    <row r="269" spans="1:4" x14ac:dyDescent="0.3">
      <c r="A269"/>
      <c r="B269"/>
      <c r="C269" s="2"/>
      <c r="D269" s="2"/>
    </row>
    <row r="270" spans="1:4" x14ac:dyDescent="0.3">
      <c r="A270"/>
      <c r="B270"/>
      <c r="C270" s="2"/>
      <c r="D270" s="2"/>
    </row>
    <row r="271" spans="1:4" x14ac:dyDescent="0.3">
      <c r="A271"/>
      <c r="B271"/>
      <c r="C271" s="2"/>
      <c r="D271" s="2"/>
    </row>
    <row r="272" spans="1:4" x14ac:dyDescent="0.3">
      <c r="A272"/>
      <c r="B272"/>
      <c r="C272" s="2"/>
      <c r="D272" s="2"/>
    </row>
    <row r="273" spans="1:4" x14ac:dyDescent="0.3">
      <c r="A273"/>
      <c r="B273"/>
      <c r="C273" s="2"/>
      <c r="D273" s="2"/>
    </row>
    <row r="274" spans="1:4" x14ac:dyDescent="0.3">
      <c r="A274"/>
      <c r="B274"/>
      <c r="C274" s="2"/>
      <c r="D274" s="2"/>
    </row>
    <row r="275" spans="1:4" x14ac:dyDescent="0.3">
      <c r="A275"/>
      <c r="B275"/>
      <c r="C275" s="2"/>
      <c r="D275" s="2"/>
    </row>
    <row r="276" spans="1:4" x14ac:dyDescent="0.3">
      <c r="A276"/>
      <c r="B276"/>
      <c r="C276" s="2"/>
      <c r="D276" s="2"/>
    </row>
    <row r="277" spans="1:4" x14ac:dyDescent="0.3">
      <c r="A277"/>
      <c r="B277"/>
      <c r="C277" s="2"/>
      <c r="D277" s="2"/>
    </row>
    <row r="278" spans="1:4" x14ac:dyDescent="0.3">
      <c r="A278"/>
      <c r="B278"/>
      <c r="C278" s="2"/>
      <c r="D278" s="2"/>
    </row>
    <row r="279" spans="1:4" x14ac:dyDescent="0.3">
      <c r="A279"/>
      <c r="B279"/>
      <c r="C279" s="2"/>
      <c r="D279" s="2"/>
    </row>
    <row r="280" spans="1:4" x14ac:dyDescent="0.3">
      <c r="A280"/>
      <c r="B280"/>
      <c r="C280" s="2"/>
      <c r="D280" s="2"/>
    </row>
    <row r="281" spans="1:4" x14ac:dyDescent="0.3">
      <c r="A281"/>
      <c r="B281"/>
      <c r="C281" s="2"/>
      <c r="D281" s="2"/>
    </row>
    <row r="282" spans="1:4" x14ac:dyDescent="0.3">
      <c r="A282"/>
      <c r="B282"/>
      <c r="C282" s="2"/>
      <c r="D282" s="2"/>
    </row>
    <row r="283" spans="1:4" x14ac:dyDescent="0.3">
      <c r="A283"/>
      <c r="B283"/>
      <c r="C283" s="2"/>
      <c r="D283" s="2"/>
    </row>
    <row r="284" spans="1:4" x14ac:dyDescent="0.3">
      <c r="A284"/>
      <c r="B284"/>
      <c r="C284" s="2"/>
      <c r="D284" s="2"/>
    </row>
    <row r="285" spans="1:4" x14ac:dyDescent="0.3">
      <c r="A285"/>
      <c r="B285"/>
      <c r="C285" s="2"/>
      <c r="D285" s="2"/>
    </row>
    <row r="286" spans="1:4" x14ac:dyDescent="0.3">
      <c r="A286"/>
      <c r="B286"/>
      <c r="C286" s="2"/>
      <c r="D286" s="2"/>
    </row>
    <row r="287" spans="1:4" x14ac:dyDescent="0.3">
      <c r="A287"/>
      <c r="B287"/>
      <c r="C287" s="2"/>
      <c r="D287" s="2"/>
    </row>
    <row r="288" spans="1:4" x14ac:dyDescent="0.3">
      <c r="A288"/>
      <c r="B288"/>
      <c r="C288" s="2"/>
      <c r="D288" s="2"/>
    </row>
    <row r="289" spans="1:4" x14ac:dyDescent="0.3">
      <c r="A289"/>
      <c r="B289"/>
      <c r="C289" s="2"/>
      <c r="D289" s="2"/>
    </row>
    <row r="290" spans="1:4" x14ac:dyDescent="0.3">
      <c r="A290"/>
      <c r="B290"/>
      <c r="C290" s="2"/>
      <c r="D290" s="2"/>
    </row>
    <row r="291" spans="1:4" x14ac:dyDescent="0.3">
      <c r="A291"/>
      <c r="B291"/>
      <c r="C291" s="2"/>
      <c r="D291" s="2"/>
    </row>
    <row r="292" spans="1:4" x14ac:dyDescent="0.3">
      <c r="A292"/>
      <c r="B292"/>
      <c r="C292" s="2"/>
      <c r="D292" s="2"/>
    </row>
    <row r="293" spans="1:4" x14ac:dyDescent="0.3">
      <c r="A293"/>
      <c r="B293"/>
      <c r="C293" s="2"/>
      <c r="D293" s="2"/>
    </row>
    <row r="294" spans="1:4" x14ac:dyDescent="0.3">
      <c r="A294"/>
      <c r="B294"/>
      <c r="C294" s="2"/>
      <c r="D294" s="2"/>
    </row>
    <row r="295" spans="1:4" x14ac:dyDescent="0.3">
      <c r="A295"/>
      <c r="B295"/>
      <c r="C295" s="2"/>
      <c r="D295" s="2"/>
    </row>
    <row r="296" spans="1:4" x14ac:dyDescent="0.3">
      <c r="A296"/>
      <c r="B296"/>
      <c r="C296" s="2"/>
      <c r="D296" s="2"/>
    </row>
    <row r="297" spans="1:4" x14ac:dyDescent="0.3">
      <c r="A297"/>
      <c r="B297"/>
      <c r="C297" s="2"/>
      <c r="D297" s="2"/>
    </row>
    <row r="298" spans="1:4" x14ac:dyDescent="0.3">
      <c r="A298"/>
      <c r="B298"/>
      <c r="C298" s="2"/>
      <c r="D298" s="2"/>
    </row>
    <row r="299" spans="1:4" x14ac:dyDescent="0.3">
      <c r="A299"/>
      <c r="B299"/>
      <c r="C299" s="2"/>
      <c r="D299" s="2"/>
    </row>
    <row r="300" spans="1:4" x14ac:dyDescent="0.3">
      <c r="A300"/>
      <c r="B300"/>
      <c r="C300" s="2"/>
      <c r="D300" s="2"/>
    </row>
    <row r="301" spans="1:4" x14ac:dyDescent="0.3">
      <c r="A301"/>
      <c r="B301"/>
      <c r="C301" s="2"/>
      <c r="D301" s="2"/>
    </row>
    <row r="302" spans="1:4" x14ac:dyDescent="0.3">
      <c r="A302"/>
      <c r="B302"/>
      <c r="C302" s="2"/>
      <c r="D302" s="2"/>
    </row>
    <row r="303" spans="1:4" x14ac:dyDescent="0.3">
      <c r="A303"/>
      <c r="B303"/>
      <c r="C303" s="2"/>
      <c r="D303" s="2"/>
    </row>
    <row r="304" spans="1:4" x14ac:dyDescent="0.3">
      <c r="A304"/>
      <c r="B304"/>
      <c r="C304" s="2"/>
      <c r="D304" s="2"/>
    </row>
    <row r="305" spans="1:4" x14ac:dyDescent="0.3">
      <c r="A305"/>
      <c r="B305"/>
      <c r="C305" s="2"/>
      <c r="D305" s="2"/>
    </row>
    <row r="306" spans="1:4" x14ac:dyDescent="0.3">
      <c r="A306"/>
      <c r="B306"/>
      <c r="C306" s="2"/>
      <c r="D306" s="2"/>
    </row>
    <row r="307" spans="1:4" x14ac:dyDescent="0.3">
      <c r="A307"/>
      <c r="B307"/>
      <c r="C307" s="2"/>
      <c r="D307" s="2"/>
    </row>
    <row r="308" spans="1:4" x14ac:dyDescent="0.3">
      <c r="A308"/>
      <c r="B308"/>
      <c r="C308" s="2"/>
      <c r="D308" s="2"/>
    </row>
    <row r="309" spans="1:4" x14ac:dyDescent="0.3">
      <c r="A309"/>
      <c r="B309"/>
      <c r="C309" s="2"/>
      <c r="D309" s="2"/>
    </row>
    <row r="310" spans="1:4" x14ac:dyDescent="0.3">
      <c r="A310"/>
      <c r="B310"/>
      <c r="C310" s="2"/>
      <c r="D310" s="2"/>
    </row>
    <row r="311" spans="1:4" x14ac:dyDescent="0.3">
      <c r="A311"/>
      <c r="B311"/>
      <c r="C311" s="2"/>
      <c r="D311" s="2"/>
    </row>
    <row r="312" spans="1:4" x14ac:dyDescent="0.3">
      <c r="A312"/>
      <c r="B312"/>
      <c r="C312" s="2"/>
      <c r="D312" s="2"/>
    </row>
    <row r="313" spans="1:4" x14ac:dyDescent="0.3">
      <c r="A313"/>
      <c r="B313"/>
      <c r="C313" s="2"/>
      <c r="D313" s="2"/>
    </row>
    <row r="314" spans="1:4" x14ac:dyDescent="0.3">
      <c r="A314"/>
      <c r="B314"/>
      <c r="C314" s="2"/>
      <c r="D314" s="2"/>
    </row>
    <row r="315" spans="1:4" x14ac:dyDescent="0.3">
      <c r="A315"/>
      <c r="B315"/>
      <c r="C315" s="2"/>
      <c r="D315" s="2"/>
    </row>
    <row r="316" spans="1:4" x14ac:dyDescent="0.3">
      <c r="A316"/>
      <c r="B316"/>
      <c r="C316" s="2"/>
      <c r="D316" s="2"/>
    </row>
    <row r="317" spans="1:4" x14ac:dyDescent="0.3">
      <c r="A317"/>
      <c r="B317"/>
      <c r="C317" s="2"/>
      <c r="D317" s="2"/>
    </row>
    <row r="318" spans="1:4" x14ac:dyDescent="0.3">
      <c r="A318"/>
      <c r="B318"/>
      <c r="C318" s="2"/>
      <c r="D318" s="2"/>
    </row>
    <row r="319" spans="1:4" x14ac:dyDescent="0.3">
      <c r="A319"/>
      <c r="B319"/>
      <c r="C319" s="2"/>
      <c r="D319" s="2"/>
    </row>
    <row r="320" spans="1:4" x14ac:dyDescent="0.3">
      <c r="A320"/>
      <c r="B320"/>
      <c r="C320" s="2"/>
      <c r="D320" s="2"/>
    </row>
    <row r="321" spans="1:4" x14ac:dyDescent="0.3">
      <c r="A321"/>
      <c r="B321"/>
      <c r="C321" s="2"/>
      <c r="D321" s="2"/>
    </row>
    <row r="322" spans="1:4" x14ac:dyDescent="0.3">
      <c r="A322"/>
      <c r="B322"/>
      <c r="C322" s="2"/>
      <c r="D322" s="2"/>
    </row>
    <row r="323" spans="1:4" x14ac:dyDescent="0.3">
      <c r="A323"/>
      <c r="B323"/>
      <c r="C323" s="2"/>
      <c r="D323" s="2"/>
    </row>
    <row r="324" spans="1:4" x14ac:dyDescent="0.3">
      <c r="A324"/>
      <c r="B324"/>
      <c r="C324" s="2"/>
      <c r="D324" s="2"/>
    </row>
    <row r="325" spans="1:4" x14ac:dyDescent="0.3">
      <c r="A325"/>
      <c r="B325"/>
      <c r="C325" s="2"/>
      <c r="D325" s="2"/>
    </row>
    <row r="326" spans="1:4" x14ac:dyDescent="0.3">
      <c r="A326"/>
      <c r="B326"/>
      <c r="C326" s="2"/>
      <c r="D326" s="2"/>
    </row>
    <row r="327" spans="1:4" x14ac:dyDescent="0.3">
      <c r="A327"/>
      <c r="B327"/>
      <c r="C327" s="2"/>
      <c r="D327" s="2"/>
    </row>
    <row r="328" spans="1:4" x14ac:dyDescent="0.3">
      <c r="A328"/>
      <c r="B328"/>
      <c r="C328" s="2"/>
      <c r="D328" s="2"/>
    </row>
    <row r="329" spans="1:4" x14ac:dyDescent="0.3">
      <c r="A329"/>
      <c r="B329"/>
      <c r="C329" s="2"/>
      <c r="D329" s="2"/>
    </row>
    <row r="330" spans="1:4" x14ac:dyDescent="0.3">
      <c r="A330"/>
      <c r="B330"/>
      <c r="C330" s="2"/>
      <c r="D330" s="2"/>
    </row>
    <row r="331" spans="1:4" x14ac:dyDescent="0.3">
      <c r="A331"/>
      <c r="B331"/>
      <c r="C331" s="2"/>
      <c r="D331" s="2"/>
    </row>
    <row r="332" spans="1:4" x14ac:dyDescent="0.3">
      <c r="A332"/>
      <c r="B332"/>
      <c r="C332" s="2"/>
      <c r="D332" s="2"/>
    </row>
    <row r="333" spans="1:4" x14ac:dyDescent="0.3">
      <c r="A333"/>
      <c r="B333"/>
      <c r="C333" s="2"/>
      <c r="D333" s="2"/>
    </row>
    <row r="334" spans="1:4" x14ac:dyDescent="0.3">
      <c r="A334"/>
      <c r="B334"/>
      <c r="C334" s="2"/>
      <c r="D334" s="2"/>
    </row>
    <row r="335" spans="1:4" x14ac:dyDescent="0.3">
      <c r="A335"/>
      <c r="B335"/>
      <c r="C335" s="2"/>
      <c r="D335" s="2"/>
    </row>
    <row r="336" spans="1:4" x14ac:dyDescent="0.3">
      <c r="A336"/>
      <c r="B336"/>
      <c r="C336" s="2"/>
      <c r="D336" s="2"/>
    </row>
    <row r="337" spans="1:4" x14ac:dyDescent="0.3">
      <c r="A337"/>
      <c r="B337"/>
      <c r="C337" s="2"/>
      <c r="D337" s="2"/>
    </row>
    <row r="338" spans="1:4" x14ac:dyDescent="0.3">
      <c r="A338"/>
      <c r="B338"/>
      <c r="C338" s="2"/>
      <c r="D338" s="2"/>
    </row>
    <row r="339" spans="1:4" x14ac:dyDescent="0.3">
      <c r="A339"/>
      <c r="B339"/>
      <c r="C339" s="2"/>
      <c r="D339" s="2"/>
    </row>
    <row r="340" spans="1:4" x14ac:dyDescent="0.3">
      <c r="A340"/>
      <c r="B340"/>
      <c r="C340" s="2"/>
      <c r="D340" s="2"/>
    </row>
    <row r="341" spans="1:4" x14ac:dyDescent="0.3">
      <c r="A341"/>
      <c r="B341"/>
      <c r="C341" s="2"/>
      <c r="D341" s="2"/>
    </row>
    <row r="342" spans="1:4" x14ac:dyDescent="0.3">
      <c r="A342"/>
      <c r="B342"/>
      <c r="C342" s="2"/>
      <c r="D342" s="2"/>
    </row>
    <row r="343" spans="1:4" x14ac:dyDescent="0.3">
      <c r="A343"/>
      <c r="B343"/>
      <c r="C343" s="2"/>
      <c r="D343" s="2"/>
    </row>
    <row r="344" spans="1:4" x14ac:dyDescent="0.3">
      <c r="A344"/>
      <c r="B344"/>
      <c r="C344" s="2"/>
      <c r="D344" s="2"/>
    </row>
    <row r="345" spans="1:4" x14ac:dyDescent="0.3">
      <c r="A345"/>
      <c r="B345"/>
      <c r="C345" s="2"/>
      <c r="D345" s="2"/>
    </row>
    <row r="346" spans="1:4" x14ac:dyDescent="0.3">
      <c r="A346"/>
      <c r="B346"/>
      <c r="C346" s="2"/>
      <c r="D346" s="2"/>
    </row>
    <row r="347" spans="1:4" x14ac:dyDescent="0.3">
      <c r="A347"/>
      <c r="B347"/>
      <c r="C347" s="2"/>
      <c r="D347" s="2"/>
    </row>
    <row r="348" spans="1:4" x14ac:dyDescent="0.3">
      <c r="A348"/>
      <c r="B348"/>
      <c r="C348" s="2"/>
      <c r="D348" s="2"/>
    </row>
    <row r="349" spans="1:4" x14ac:dyDescent="0.3">
      <c r="A349"/>
      <c r="B349"/>
      <c r="C349" s="2"/>
      <c r="D349" s="2"/>
    </row>
    <row r="350" spans="1:4" x14ac:dyDescent="0.3">
      <c r="A350"/>
      <c r="B350"/>
      <c r="C350" s="2"/>
      <c r="D350" s="2"/>
    </row>
    <row r="351" spans="1:4" x14ac:dyDescent="0.3">
      <c r="A351"/>
      <c r="B351"/>
      <c r="C351" s="2"/>
      <c r="D351" s="2"/>
    </row>
    <row r="352" spans="1:4" x14ac:dyDescent="0.3">
      <c r="A352"/>
      <c r="B352"/>
      <c r="C352" s="2"/>
      <c r="D352" s="2"/>
    </row>
    <row r="353" spans="1:4" x14ac:dyDescent="0.3">
      <c r="A353"/>
      <c r="B353"/>
      <c r="C353" s="2"/>
      <c r="D353" s="2"/>
    </row>
    <row r="354" spans="1:4" x14ac:dyDescent="0.3">
      <c r="A354"/>
      <c r="B354"/>
      <c r="C354" s="2"/>
      <c r="D354" s="2"/>
    </row>
    <row r="355" spans="1:4" x14ac:dyDescent="0.3">
      <c r="A355"/>
      <c r="B355"/>
      <c r="C355" s="2"/>
      <c r="D355" s="2"/>
    </row>
    <row r="356" spans="1:4" x14ac:dyDescent="0.3">
      <c r="A356"/>
      <c r="B356"/>
      <c r="C356" s="2"/>
      <c r="D356" s="2"/>
    </row>
    <row r="357" spans="1:4" x14ac:dyDescent="0.3">
      <c r="A357"/>
      <c r="B357"/>
      <c r="C357" s="2"/>
      <c r="D357" s="2"/>
    </row>
    <row r="358" spans="1:4" x14ac:dyDescent="0.3">
      <c r="A358"/>
      <c r="B358"/>
      <c r="C358" s="2"/>
      <c r="D358" s="2"/>
    </row>
    <row r="359" spans="1:4" x14ac:dyDescent="0.3">
      <c r="A359"/>
      <c r="B359"/>
      <c r="C359" s="2"/>
      <c r="D359" s="2"/>
    </row>
    <row r="360" spans="1:4" x14ac:dyDescent="0.3">
      <c r="A360"/>
      <c r="B360"/>
      <c r="C360" s="2"/>
      <c r="D360" s="2"/>
    </row>
    <row r="361" spans="1:4" x14ac:dyDescent="0.3">
      <c r="A361"/>
      <c r="B361"/>
      <c r="C361" s="2"/>
      <c r="D361" s="2"/>
    </row>
    <row r="362" spans="1:4" x14ac:dyDescent="0.3">
      <c r="A362"/>
      <c r="B362"/>
      <c r="C362" s="2"/>
      <c r="D362" s="2"/>
    </row>
    <row r="363" spans="1:4" x14ac:dyDescent="0.3">
      <c r="A363"/>
      <c r="B363"/>
      <c r="C363" s="2"/>
      <c r="D363" s="2"/>
    </row>
    <row r="364" spans="1:4" x14ac:dyDescent="0.3">
      <c r="A364"/>
      <c r="B364"/>
      <c r="C364" s="2"/>
      <c r="D364" s="2"/>
    </row>
    <row r="365" spans="1:4" x14ac:dyDescent="0.3">
      <c r="A365"/>
      <c r="B365"/>
      <c r="C365" s="2"/>
      <c r="D365" s="2"/>
    </row>
    <row r="366" spans="1:4" x14ac:dyDescent="0.3">
      <c r="A366"/>
      <c r="B366"/>
      <c r="C366" s="2"/>
      <c r="D366" s="2"/>
    </row>
    <row r="367" spans="1:4" x14ac:dyDescent="0.3">
      <c r="A367"/>
      <c r="B367"/>
      <c r="C367" s="2"/>
      <c r="D367" s="2"/>
    </row>
    <row r="368" spans="1:4" x14ac:dyDescent="0.3">
      <c r="A368"/>
      <c r="B368"/>
      <c r="C368" s="2"/>
      <c r="D368" s="2"/>
    </row>
    <row r="369" spans="1:4" x14ac:dyDescent="0.3">
      <c r="A369"/>
      <c r="B369"/>
      <c r="C369" s="2"/>
      <c r="D369" s="2"/>
    </row>
    <row r="370" spans="1:4" x14ac:dyDescent="0.3">
      <c r="A370"/>
      <c r="B370"/>
      <c r="C370" s="2"/>
      <c r="D370" s="2"/>
    </row>
    <row r="371" spans="1:4" x14ac:dyDescent="0.3">
      <c r="A371"/>
      <c r="B371"/>
      <c r="C371" s="2"/>
      <c r="D371" s="2"/>
    </row>
    <row r="372" spans="1:4" x14ac:dyDescent="0.3">
      <c r="A372"/>
      <c r="B372"/>
      <c r="C372" s="2"/>
      <c r="D372" s="2"/>
    </row>
    <row r="373" spans="1:4" x14ac:dyDescent="0.3">
      <c r="A373"/>
      <c r="B373"/>
      <c r="C373" s="2"/>
      <c r="D373" s="2"/>
    </row>
    <row r="374" spans="1:4" x14ac:dyDescent="0.3">
      <c r="A374"/>
      <c r="B374"/>
      <c r="C374" s="2"/>
      <c r="D374" s="2"/>
    </row>
    <row r="375" spans="1:4" x14ac:dyDescent="0.3">
      <c r="A375"/>
      <c r="B375"/>
      <c r="C375" s="2"/>
      <c r="D375" s="2"/>
    </row>
    <row r="376" spans="1:4" x14ac:dyDescent="0.3">
      <c r="A376"/>
      <c r="B376"/>
      <c r="C376" s="2"/>
      <c r="D376" s="2"/>
    </row>
    <row r="377" spans="1:4" x14ac:dyDescent="0.3">
      <c r="A377"/>
      <c r="B377"/>
      <c r="C377" s="2"/>
      <c r="D377" s="2"/>
    </row>
    <row r="378" spans="1:4" x14ac:dyDescent="0.3">
      <c r="A378"/>
      <c r="B378"/>
      <c r="C378" s="2"/>
      <c r="D378" s="2"/>
    </row>
    <row r="379" spans="1:4" x14ac:dyDescent="0.3">
      <c r="A379"/>
      <c r="B379"/>
      <c r="C379" s="2"/>
      <c r="D379" s="2"/>
    </row>
    <row r="380" spans="1:4" x14ac:dyDescent="0.3">
      <c r="A380"/>
      <c r="B380"/>
      <c r="C380" s="2"/>
      <c r="D380" s="2"/>
    </row>
    <row r="381" spans="1:4" x14ac:dyDescent="0.3">
      <c r="A381"/>
      <c r="B381"/>
      <c r="C381" s="2"/>
      <c r="D381" s="2"/>
    </row>
    <row r="382" spans="1:4" x14ac:dyDescent="0.3">
      <c r="A382"/>
      <c r="B382"/>
      <c r="C382" s="2"/>
      <c r="D382" s="2"/>
    </row>
    <row r="383" spans="1:4" x14ac:dyDescent="0.3">
      <c r="A383"/>
      <c r="B383"/>
      <c r="C383" s="2"/>
      <c r="D383" s="2"/>
    </row>
    <row r="384" spans="1:4" x14ac:dyDescent="0.3">
      <c r="A384"/>
      <c r="B384"/>
      <c r="C384" s="2"/>
      <c r="D384" s="2"/>
    </row>
    <row r="385" spans="1:4" x14ac:dyDescent="0.3">
      <c r="A385"/>
      <c r="B385"/>
      <c r="C385" s="2"/>
      <c r="D385" s="2"/>
    </row>
    <row r="386" spans="1:4" x14ac:dyDescent="0.3">
      <c r="A386"/>
      <c r="B386"/>
      <c r="C386" s="2"/>
      <c r="D386" s="2"/>
    </row>
    <row r="387" spans="1:4" x14ac:dyDescent="0.3">
      <c r="A387"/>
      <c r="B387"/>
      <c r="C387" s="2"/>
      <c r="D387" s="2"/>
    </row>
    <row r="388" spans="1:4" x14ac:dyDescent="0.3">
      <c r="A388"/>
      <c r="B388"/>
      <c r="C388" s="2"/>
      <c r="D388" s="2"/>
    </row>
    <row r="389" spans="1:4" x14ac:dyDescent="0.3">
      <c r="A389"/>
      <c r="B389"/>
      <c r="C389" s="2"/>
      <c r="D389" s="2"/>
    </row>
    <row r="390" spans="1:4" x14ac:dyDescent="0.3">
      <c r="A390"/>
      <c r="B390"/>
      <c r="C390" s="2"/>
      <c r="D390" s="2"/>
    </row>
    <row r="391" spans="1:4" x14ac:dyDescent="0.3">
      <c r="A391"/>
      <c r="B391"/>
      <c r="C391" s="2"/>
      <c r="D391" s="2"/>
    </row>
    <row r="392" spans="1:4" x14ac:dyDescent="0.3">
      <c r="A392"/>
      <c r="B392"/>
      <c r="C392" s="2"/>
      <c r="D392" s="2"/>
    </row>
    <row r="393" spans="1:4" x14ac:dyDescent="0.3">
      <c r="A393"/>
      <c r="B393"/>
      <c r="C393" s="2"/>
      <c r="D393" s="2"/>
    </row>
    <row r="394" spans="1:4" x14ac:dyDescent="0.3">
      <c r="A394"/>
      <c r="B394"/>
      <c r="C394" s="2"/>
      <c r="D394" s="2"/>
    </row>
    <row r="395" spans="1:4" x14ac:dyDescent="0.3">
      <c r="A395"/>
      <c r="B395"/>
      <c r="C395" s="2"/>
      <c r="D395" s="2"/>
    </row>
    <row r="396" spans="1:4" x14ac:dyDescent="0.3">
      <c r="A396"/>
      <c r="B396"/>
      <c r="C396" s="2"/>
      <c r="D396" s="2"/>
    </row>
    <row r="397" spans="1:4" x14ac:dyDescent="0.3">
      <c r="A397"/>
      <c r="B397"/>
      <c r="C397" s="2"/>
      <c r="D397" s="2"/>
    </row>
    <row r="398" spans="1:4" x14ac:dyDescent="0.3">
      <c r="A398"/>
      <c r="B398"/>
      <c r="C398" s="2"/>
      <c r="D398" s="2"/>
    </row>
    <row r="399" spans="1:4" x14ac:dyDescent="0.3">
      <c r="A399"/>
      <c r="B399"/>
      <c r="C399" s="2"/>
      <c r="D399" s="2"/>
    </row>
    <row r="400" spans="1:4" x14ac:dyDescent="0.3">
      <c r="A400"/>
      <c r="B400"/>
      <c r="C400" s="2"/>
      <c r="D400" s="2"/>
    </row>
    <row r="401" spans="1:4" x14ac:dyDescent="0.3">
      <c r="A401"/>
      <c r="B401"/>
      <c r="C401" s="2"/>
      <c r="D401" s="2"/>
    </row>
    <row r="402" spans="1:4" x14ac:dyDescent="0.3">
      <c r="A402"/>
      <c r="B402"/>
      <c r="C402" s="2"/>
      <c r="D402" s="2"/>
    </row>
    <row r="403" spans="1:4" x14ac:dyDescent="0.3">
      <c r="A403"/>
      <c r="B403"/>
      <c r="C403" s="2"/>
      <c r="D403" s="2"/>
    </row>
    <row r="404" spans="1:4" x14ac:dyDescent="0.3">
      <c r="A404"/>
      <c r="B404"/>
      <c r="C404" s="2"/>
      <c r="D404" s="2"/>
    </row>
    <row r="405" spans="1:4" x14ac:dyDescent="0.3">
      <c r="A405"/>
      <c r="B405"/>
      <c r="C405" s="2"/>
      <c r="D405" s="2"/>
    </row>
    <row r="406" spans="1:4" x14ac:dyDescent="0.3">
      <c r="A406"/>
      <c r="B406"/>
      <c r="C406" s="2"/>
      <c r="D406" s="2"/>
    </row>
    <row r="407" spans="1:4" x14ac:dyDescent="0.3">
      <c r="A407"/>
      <c r="B407"/>
      <c r="C407" s="2"/>
      <c r="D407" s="2"/>
    </row>
    <row r="408" spans="1:4" x14ac:dyDescent="0.3">
      <c r="A408"/>
      <c r="B408"/>
      <c r="C408" s="2"/>
      <c r="D408" s="2"/>
    </row>
    <row r="409" spans="1:4" x14ac:dyDescent="0.3">
      <c r="A409"/>
      <c r="B409"/>
      <c r="C409" s="2"/>
      <c r="D409" s="2"/>
    </row>
    <row r="410" spans="1:4" x14ac:dyDescent="0.3">
      <c r="A410"/>
      <c r="B410"/>
      <c r="C410" s="2"/>
      <c r="D410" s="2"/>
    </row>
    <row r="411" spans="1:4" x14ac:dyDescent="0.3">
      <c r="A411"/>
      <c r="B411"/>
      <c r="C411" s="2"/>
      <c r="D411" s="2"/>
    </row>
    <row r="412" spans="1:4" x14ac:dyDescent="0.3">
      <c r="A412"/>
      <c r="B412"/>
      <c r="C412" s="2"/>
      <c r="D412" s="2"/>
    </row>
    <row r="413" spans="1:4" x14ac:dyDescent="0.3">
      <c r="A413"/>
      <c r="B413"/>
      <c r="C413" s="2"/>
      <c r="D413" s="2"/>
    </row>
    <row r="414" spans="1:4" x14ac:dyDescent="0.3">
      <c r="A414"/>
      <c r="B414"/>
      <c r="C414" s="2"/>
      <c r="D414" s="2"/>
    </row>
    <row r="415" spans="1:4" x14ac:dyDescent="0.3">
      <c r="A415"/>
      <c r="B415"/>
      <c r="C415" s="2"/>
      <c r="D415" s="2"/>
    </row>
    <row r="416" spans="1:4" x14ac:dyDescent="0.3">
      <c r="A416"/>
      <c r="B416"/>
      <c r="C416" s="2"/>
      <c r="D416" s="2"/>
    </row>
    <row r="417" spans="1:4" x14ac:dyDescent="0.3">
      <c r="A417"/>
      <c r="B417"/>
      <c r="C417" s="2"/>
      <c r="D417" s="2"/>
    </row>
    <row r="418" spans="1:4" x14ac:dyDescent="0.3">
      <c r="A418"/>
      <c r="B418"/>
      <c r="C418" s="2"/>
      <c r="D418" s="2"/>
    </row>
    <row r="419" spans="1:4" x14ac:dyDescent="0.3">
      <c r="A419"/>
      <c r="B419"/>
      <c r="C419" s="2"/>
      <c r="D419" s="2"/>
    </row>
    <row r="420" spans="1:4" x14ac:dyDescent="0.3">
      <c r="A420"/>
      <c r="B420"/>
      <c r="C420" s="2"/>
      <c r="D420" s="2"/>
    </row>
    <row r="421" spans="1:4" x14ac:dyDescent="0.3">
      <c r="A421"/>
      <c r="B421"/>
      <c r="C421" s="2"/>
      <c r="D421" s="2"/>
    </row>
    <row r="422" spans="1:4" x14ac:dyDescent="0.3">
      <c r="A422"/>
      <c r="B422"/>
      <c r="C422" s="2"/>
      <c r="D422" s="2"/>
    </row>
    <row r="423" spans="1:4" x14ac:dyDescent="0.3">
      <c r="A423"/>
      <c r="B423"/>
      <c r="C423" s="2"/>
      <c r="D423" s="2"/>
    </row>
    <row r="424" spans="1:4" x14ac:dyDescent="0.3">
      <c r="A424"/>
      <c r="B424"/>
      <c r="C424" s="2"/>
      <c r="D424" s="2"/>
    </row>
    <row r="425" spans="1:4" x14ac:dyDescent="0.3">
      <c r="A425"/>
      <c r="B425"/>
      <c r="C425" s="2"/>
      <c r="D425" s="2"/>
    </row>
    <row r="426" spans="1:4" x14ac:dyDescent="0.3">
      <c r="A426"/>
      <c r="B426"/>
      <c r="C426" s="2"/>
      <c r="D426" s="2"/>
    </row>
    <row r="427" spans="1:4" x14ac:dyDescent="0.3">
      <c r="A427"/>
      <c r="B427"/>
      <c r="C427" s="2"/>
      <c r="D427" s="2"/>
    </row>
    <row r="428" spans="1:4" x14ac:dyDescent="0.3">
      <c r="A428"/>
      <c r="B428"/>
      <c r="C428" s="2"/>
      <c r="D428" s="2"/>
    </row>
    <row r="429" spans="1:4" x14ac:dyDescent="0.3">
      <c r="A429"/>
      <c r="B429"/>
      <c r="C429" s="2"/>
      <c r="D429" s="2"/>
    </row>
    <row r="430" spans="1:4" x14ac:dyDescent="0.3">
      <c r="A430"/>
      <c r="B430"/>
      <c r="C430" s="2"/>
      <c r="D430" s="2"/>
    </row>
    <row r="431" spans="1:4" x14ac:dyDescent="0.3">
      <c r="A431"/>
      <c r="B431"/>
      <c r="C431" s="2"/>
      <c r="D431" s="2"/>
    </row>
    <row r="432" spans="1:4" x14ac:dyDescent="0.3">
      <c r="A432"/>
      <c r="B432"/>
      <c r="C432" s="2"/>
      <c r="D432" s="2"/>
    </row>
    <row r="433" spans="1:4" x14ac:dyDescent="0.3">
      <c r="A433"/>
      <c r="B433"/>
      <c r="C433" s="2"/>
      <c r="D433" s="2"/>
    </row>
    <row r="434" spans="1:4" x14ac:dyDescent="0.3">
      <c r="A434"/>
      <c r="B434"/>
      <c r="C434" s="2"/>
      <c r="D434" s="2"/>
    </row>
    <row r="435" spans="1:4" x14ac:dyDescent="0.3">
      <c r="A435"/>
      <c r="B435"/>
      <c r="C435" s="2"/>
      <c r="D435" s="2"/>
    </row>
    <row r="436" spans="1:4" x14ac:dyDescent="0.3">
      <c r="A436"/>
      <c r="B436"/>
      <c r="C436" s="2"/>
      <c r="D436" s="2"/>
    </row>
    <row r="437" spans="1:4" x14ac:dyDescent="0.3">
      <c r="A437"/>
      <c r="B437"/>
      <c r="C437" s="2"/>
      <c r="D437" s="2"/>
    </row>
    <row r="438" spans="1:4" x14ac:dyDescent="0.3">
      <c r="A438"/>
      <c r="B438"/>
      <c r="C438" s="2"/>
      <c r="D438" s="2"/>
    </row>
    <row r="439" spans="1:4" x14ac:dyDescent="0.3">
      <c r="A439"/>
      <c r="B439"/>
      <c r="C439" s="2"/>
      <c r="D439" s="2"/>
    </row>
    <row r="440" spans="1:4" x14ac:dyDescent="0.3">
      <c r="A440"/>
      <c r="B440"/>
      <c r="C440" s="2"/>
      <c r="D440" s="2"/>
    </row>
    <row r="441" spans="1:4" x14ac:dyDescent="0.3">
      <c r="A441"/>
      <c r="B441"/>
      <c r="C441" s="2"/>
      <c r="D441" s="2"/>
    </row>
    <row r="442" spans="1:4" x14ac:dyDescent="0.3">
      <c r="A442"/>
      <c r="B442"/>
      <c r="C442" s="2"/>
      <c r="D442" s="2"/>
    </row>
    <row r="443" spans="1:4" x14ac:dyDescent="0.3">
      <c r="A443"/>
      <c r="B443"/>
      <c r="C443" s="2"/>
      <c r="D443" s="2"/>
    </row>
    <row r="444" spans="1:4" x14ac:dyDescent="0.3">
      <c r="A444"/>
      <c r="B444"/>
      <c r="C444" s="2"/>
      <c r="D444" s="2"/>
    </row>
    <row r="445" spans="1:4" x14ac:dyDescent="0.3">
      <c r="A445"/>
      <c r="B445"/>
      <c r="C445" s="2"/>
      <c r="D445" s="2"/>
    </row>
    <row r="446" spans="1:4" x14ac:dyDescent="0.3">
      <c r="A446"/>
      <c r="B446"/>
      <c r="C446" s="2"/>
      <c r="D446" s="2"/>
    </row>
    <row r="447" spans="1:4" x14ac:dyDescent="0.3">
      <c r="A447"/>
      <c r="B447"/>
      <c r="C447" s="2"/>
      <c r="D447" s="2"/>
    </row>
    <row r="448" spans="1:4" x14ac:dyDescent="0.3">
      <c r="A448"/>
      <c r="B448"/>
      <c r="C448" s="2"/>
      <c r="D448" s="2"/>
    </row>
    <row r="449" spans="1:4" x14ac:dyDescent="0.3">
      <c r="A449"/>
      <c r="B449"/>
      <c r="C449" s="2"/>
      <c r="D449" s="2"/>
    </row>
    <row r="450" spans="1:4" x14ac:dyDescent="0.3">
      <c r="A450"/>
      <c r="B450"/>
      <c r="C450" s="2"/>
      <c r="D450" s="2"/>
    </row>
    <row r="451" spans="1:4" x14ac:dyDescent="0.3">
      <c r="A451"/>
      <c r="B451"/>
      <c r="C451" s="2"/>
      <c r="D451" s="2"/>
    </row>
    <row r="452" spans="1:4" x14ac:dyDescent="0.3">
      <c r="A452"/>
      <c r="B452"/>
      <c r="C452" s="2"/>
      <c r="D452" s="2"/>
    </row>
    <row r="453" spans="1:4" x14ac:dyDescent="0.3">
      <c r="A453"/>
      <c r="B453"/>
      <c r="C453" s="2"/>
      <c r="D453" s="2"/>
    </row>
    <row r="454" spans="1:4" x14ac:dyDescent="0.3">
      <c r="A454"/>
      <c r="B454"/>
      <c r="C454" s="2"/>
      <c r="D454" s="2"/>
    </row>
    <row r="455" spans="1:4" x14ac:dyDescent="0.3">
      <c r="A455"/>
      <c r="B455"/>
      <c r="C455" s="2"/>
      <c r="D455" s="2"/>
    </row>
    <row r="456" spans="1:4" x14ac:dyDescent="0.3">
      <c r="A456"/>
      <c r="B456"/>
      <c r="C456" s="2"/>
      <c r="D456" s="2"/>
    </row>
    <row r="457" spans="1:4" x14ac:dyDescent="0.3">
      <c r="A457"/>
      <c r="B457"/>
      <c r="C457" s="2"/>
      <c r="D457" s="2"/>
    </row>
    <row r="458" spans="1:4" x14ac:dyDescent="0.3">
      <c r="A458"/>
      <c r="B458"/>
      <c r="C458" s="2"/>
      <c r="D458" s="2"/>
    </row>
    <row r="459" spans="1:4" x14ac:dyDescent="0.3">
      <c r="A459"/>
      <c r="B459"/>
      <c r="C459" s="2"/>
      <c r="D459" s="2"/>
    </row>
    <row r="460" spans="1:4" x14ac:dyDescent="0.3">
      <c r="A460"/>
      <c r="B460"/>
      <c r="C460" s="2"/>
      <c r="D460" s="2"/>
    </row>
    <row r="461" spans="1:4" x14ac:dyDescent="0.3">
      <c r="A461"/>
      <c r="B461"/>
      <c r="C461" s="2"/>
      <c r="D461" s="2"/>
    </row>
    <row r="462" spans="1:4" x14ac:dyDescent="0.3">
      <c r="A462"/>
      <c r="B462"/>
      <c r="C462" s="2"/>
      <c r="D462" s="2"/>
    </row>
    <row r="463" spans="1:4" x14ac:dyDescent="0.3">
      <c r="A463"/>
      <c r="B463"/>
      <c r="C463" s="2"/>
      <c r="D463" s="2"/>
    </row>
    <row r="464" spans="1:4" x14ac:dyDescent="0.3">
      <c r="A464"/>
      <c r="B464"/>
      <c r="C464" s="2"/>
      <c r="D464" s="2"/>
    </row>
    <row r="465" spans="1:4" x14ac:dyDescent="0.3">
      <c r="A465"/>
      <c r="B465"/>
      <c r="C465" s="2"/>
      <c r="D465" s="2"/>
    </row>
    <row r="466" spans="1:4" x14ac:dyDescent="0.3">
      <c r="A466"/>
      <c r="B466"/>
      <c r="C466" s="2"/>
      <c r="D466" s="2"/>
    </row>
    <row r="467" spans="1:4" x14ac:dyDescent="0.3">
      <c r="A467"/>
      <c r="B467"/>
      <c r="C467" s="2"/>
      <c r="D467" s="2"/>
    </row>
    <row r="468" spans="1:4" x14ac:dyDescent="0.3">
      <c r="A468"/>
      <c r="B468"/>
      <c r="C468" s="2"/>
      <c r="D468" s="2"/>
    </row>
    <row r="469" spans="1:4" x14ac:dyDescent="0.3">
      <c r="A469"/>
      <c r="B469"/>
      <c r="C469" s="2"/>
      <c r="D469" s="2"/>
    </row>
    <row r="470" spans="1:4" x14ac:dyDescent="0.3">
      <c r="A470"/>
      <c r="B470"/>
      <c r="C470" s="2"/>
      <c r="D470" s="2"/>
    </row>
    <row r="471" spans="1:4" x14ac:dyDescent="0.3">
      <c r="A471"/>
      <c r="B471"/>
      <c r="C471" s="2"/>
      <c r="D471" s="2"/>
    </row>
    <row r="472" spans="1:4" x14ac:dyDescent="0.3">
      <c r="A472"/>
      <c r="B472"/>
      <c r="C472" s="2"/>
      <c r="D472" s="2"/>
    </row>
    <row r="473" spans="1:4" x14ac:dyDescent="0.3">
      <c r="A473"/>
      <c r="B473"/>
      <c r="C473" s="2"/>
      <c r="D473" s="2"/>
    </row>
    <row r="474" spans="1:4" x14ac:dyDescent="0.3">
      <c r="A474"/>
      <c r="B474"/>
      <c r="C474" s="2"/>
      <c r="D474" s="2"/>
    </row>
    <row r="475" spans="1:4" x14ac:dyDescent="0.3">
      <c r="A475"/>
      <c r="B475"/>
      <c r="C475" s="2"/>
      <c r="D475" s="2"/>
    </row>
    <row r="476" spans="1:4" x14ac:dyDescent="0.3">
      <c r="A476"/>
      <c r="B476"/>
      <c r="C476" s="2"/>
      <c r="D476" s="2"/>
    </row>
    <row r="477" spans="1:4" x14ac:dyDescent="0.3">
      <c r="A477"/>
      <c r="B477"/>
      <c r="C477" s="2"/>
      <c r="D477" s="2"/>
    </row>
    <row r="478" spans="1:4" x14ac:dyDescent="0.3">
      <c r="A478"/>
      <c r="B478"/>
      <c r="C478" s="2"/>
      <c r="D478" s="2"/>
    </row>
    <row r="479" spans="1:4" x14ac:dyDescent="0.3">
      <c r="A479"/>
      <c r="B479"/>
      <c r="C479" s="2"/>
      <c r="D479" s="2"/>
    </row>
    <row r="480" spans="1:4" x14ac:dyDescent="0.3">
      <c r="A480"/>
      <c r="B480"/>
      <c r="C480" s="2"/>
      <c r="D480" s="2"/>
    </row>
    <row r="481" spans="1:4" x14ac:dyDescent="0.3">
      <c r="A481"/>
      <c r="B481"/>
      <c r="C481" s="2"/>
      <c r="D481" s="2"/>
    </row>
    <row r="482" spans="1:4" x14ac:dyDescent="0.3">
      <c r="A482"/>
      <c r="B482"/>
      <c r="C482" s="2"/>
      <c r="D482" s="2"/>
    </row>
    <row r="483" spans="1:4" x14ac:dyDescent="0.3">
      <c r="A483"/>
      <c r="B483"/>
      <c r="C483" s="2"/>
      <c r="D483" s="2"/>
    </row>
    <row r="484" spans="1:4" x14ac:dyDescent="0.3">
      <c r="A484"/>
      <c r="B484"/>
      <c r="C484" s="2"/>
      <c r="D484" s="2"/>
    </row>
    <row r="485" spans="1:4" x14ac:dyDescent="0.3">
      <c r="A485"/>
      <c r="B485"/>
      <c r="C485" s="2"/>
      <c r="D485" s="2"/>
    </row>
    <row r="486" spans="1:4" x14ac:dyDescent="0.3">
      <c r="A486"/>
      <c r="B486"/>
      <c r="C486" s="2"/>
      <c r="D486" s="2"/>
    </row>
    <row r="487" spans="1:4" x14ac:dyDescent="0.3">
      <c r="A487"/>
      <c r="B487"/>
      <c r="C487" s="2"/>
      <c r="D487" s="2"/>
    </row>
    <row r="488" spans="1:4" x14ac:dyDescent="0.3">
      <c r="A488"/>
      <c r="B488"/>
      <c r="C488" s="2"/>
      <c r="D488" s="2"/>
    </row>
    <row r="489" spans="1:4" x14ac:dyDescent="0.3">
      <c r="A489"/>
      <c r="B489"/>
      <c r="C489" s="2"/>
      <c r="D489" s="2"/>
    </row>
    <row r="490" spans="1:4" x14ac:dyDescent="0.3">
      <c r="A490"/>
      <c r="B490"/>
      <c r="C490" s="2"/>
      <c r="D490" s="2"/>
    </row>
    <row r="491" spans="1:4" x14ac:dyDescent="0.3">
      <c r="A491"/>
      <c r="B491"/>
      <c r="C491" s="2"/>
      <c r="D491" s="2"/>
    </row>
    <row r="492" spans="1:4" x14ac:dyDescent="0.3">
      <c r="A492"/>
      <c r="B492"/>
      <c r="C492" s="2"/>
      <c r="D492" s="2"/>
    </row>
    <row r="493" spans="1:4" x14ac:dyDescent="0.3">
      <c r="A493"/>
      <c r="B493"/>
      <c r="C493" s="2"/>
      <c r="D493" s="2"/>
    </row>
    <row r="494" spans="1:4" x14ac:dyDescent="0.3">
      <c r="A494"/>
      <c r="B494"/>
      <c r="C494" s="2"/>
      <c r="D494" s="2"/>
    </row>
    <row r="495" spans="1:4" x14ac:dyDescent="0.3">
      <c r="A495"/>
      <c r="B495"/>
      <c r="C495" s="2"/>
      <c r="D495" s="2"/>
    </row>
    <row r="496" spans="1:4" x14ac:dyDescent="0.3">
      <c r="A496"/>
      <c r="B496"/>
      <c r="C496" s="2"/>
      <c r="D496" s="2"/>
    </row>
    <row r="497" spans="1:4" x14ac:dyDescent="0.3">
      <c r="A497"/>
      <c r="B497"/>
      <c r="C497" s="2"/>
      <c r="D497" s="2"/>
    </row>
    <row r="498" spans="1:4" x14ac:dyDescent="0.3">
      <c r="A498"/>
      <c r="B498"/>
      <c r="C498" s="2"/>
      <c r="D498" s="2"/>
    </row>
    <row r="499" spans="1:4" x14ac:dyDescent="0.3">
      <c r="A499"/>
      <c r="B499"/>
      <c r="C499" s="2"/>
      <c r="D499" s="2"/>
    </row>
    <row r="500" spans="1:4" x14ac:dyDescent="0.3">
      <c r="A500"/>
      <c r="B500"/>
      <c r="C500" s="2"/>
      <c r="D500" s="2"/>
    </row>
    <row r="501" spans="1:4" x14ac:dyDescent="0.3">
      <c r="A501"/>
      <c r="B501"/>
      <c r="C501" s="2"/>
      <c r="D501" s="2"/>
    </row>
    <row r="502" spans="1:4" x14ac:dyDescent="0.3">
      <c r="A502"/>
      <c r="B502"/>
      <c r="C502" s="2"/>
      <c r="D502" s="2"/>
    </row>
    <row r="503" spans="1:4" x14ac:dyDescent="0.3">
      <c r="A503"/>
      <c r="B503"/>
      <c r="C503" s="2"/>
      <c r="D503" s="2"/>
    </row>
    <row r="504" spans="1:4" x14ac:dyDescent="0.3">
      <c r="A504"/>
      <c r="B504"/>
      <c r="C504" s="2"/>
      <c r="D504" s="2"/>
    </row>
    <row r="505" spans="1:4" x14ac:dyDescent="0.3">
      <c r="A505"/>
      <c r="B505"/>
      <c r="C505" s="2"/>
      <c r="D505" s="2"/>
    </row>
    <row r="506" spans="1:4" x14ac:dyDescent="0.3">
      <c r="A506"/>
      <c r="B506"/>
      <c r="C506" s="2"/>
      <c r="D506" s="2"/>
    </row>
    <row r="507" spans="1:4" x14ac:dyDescent="0.3">
      <c r="A507"/>
      <c r="B507"/>
      <c r="C507" s="2"/>
      <c r="D507" s="2"/>
    </row>
    <row r="508" spans="1:4" x14ac:dyDescent="0.3">
      <c r="A508"/>
      <c r="B508"/>
      <c r="C508" s="2"/>
      <c r="D508" s="2"/>
    </row>
    <row r="509" spans="1:4" x14ac:dyDescent="0.3">
      <c r="A509"/>
      <c r="B509"/>
      <c r="C509" s="2"/>
      <c r="D509" s="2"/>
    </row>
    <row r="510" spans="1:4" x14ac:dyDescent="0.3">
      <c r="A510"/>
      <c r="B510"/>
      <c r="C510" s="2"/>
      <c r="D510" s="2"/>
    </row>
    <row r="511" spans="1:4" x14ac:dyDescent="0.3">
      <c r="A511"/>
      <c r="B511"/>
      <c r="C511" s="2"/>
      <c r="D511" s="2"/>
    </row>
    <row r="512" spans="1:4" x14ac:dyDescent="0.3">
      <c r="A512"/>
      <c r="B512"/>
      <c r="C512" s="2"/>
      <c r="D512" s="2"/>
    </row>
    <row r="513" spans="1:4" x14ac:dyDescent="0.3">
      <c r="A513"/>
      <c r="B513"/>
      <c r="C513" s="2"/>
      <c r="D513" s="2"/>
    </row>
    <row r="514" spans="1:4" x14ac:dyDescent="0.3">
      <c r="A514"/>
      <c r="B514"/>
      <c r="C514" s="2"/>
      <c r="D514" s="2"/>
    </row>
    <row r="515" spans="1:4" x14ac:dyDescent="0.3">
      <c r="A515"/>
      <c r="B515"/>
      <c r="C515" s="2"/>
      <c r="D515" s="2"/>
    </row>
    <row r="516" spans="1:4" x14ac:dyDescent="0.3">
      <c r="A516"/>
      <c r="B516"/>
      <c r="C516" s="2"/>
      <c r="D516" s="2"/>
    </row>
    <row r="517" spans="1:4" x14ac:dyDescent="0.3">
      <c r="A517"/>
      <c r="B517"/>
      <c r="C517" s="2"/>
      <c r="D517" s="2"/>
    </row>
    <row r="518" spans="1:4" x14ac:dyDescent="0.3">
      <c r="A518"/>
      <c r="B518"/>
      <c r="C518" s="2"/>
      <c r="D518" s="2"/>
    </row>
    <row r="519" spans="1:4" x14ac:dyDescent="0.3">
      <c r="A519"/>
      <c r="B519"/>
      <c r="C519" s="2"/>
      <c r="D519" s="2"/>
    </row>
    <row r="520" spans="1:4" x14ac:dyDescent="0.3">
      <c r="A520"/>
      <c r="B520"/>
      <c r="C520" s="2"/>
      <c r="D520" s="2"/>
    </row>
    <row r="521" spans="1:4" x14ac:dyDescent="0.3">
      <c r="A521"/>
      <c r="B521"/>
      <c r="C521" s="2"/>
      <c r="D521" s="2"/>
    </row>
    <row r="522" spans="1:4" x14ac:dyDescent="0.3">
      <c r="A522"/>
      <c r="B522"/>
      <c r="C522" s="2"/>
      <c r="D522" s="2"/>
    </row>
    <row r="523" spans="1:4" x14ac:dyDescent="0.3">
      <c r="A523"/>
      <c r="B523"/>
      <c r="C523" s="2"/>
      <c r="D523" s="2"/>
    </row>
    <row r="524" spans="1:4" x14ac:dyDescent="0.3">
      <c r="A524"/>
      <c r="B524"/>
      <c r="C524" s="2"/>
      <c r="D524" s="2"/>
    </row>
    <row r="525" spans="1:4" x14ac:dyDescent="0.3">
      <c r="A525"/>
      <c r="B525"/>
      <c r="C525" s="2"/>
      <c r="D525" s="2"/>
    </row>
    <row r="526" spans="1:4" x14ac:dyDescent="0.3">
      <c r="A526"/>
      <c r="B526"/>
      <c r="C526" s="2"/>
      <c r="D526" s="2"/>
    </row>
    <row r="527" spans="1:4" x14ac:dyDescent="0.3">
      <c r="A527"/>
      <c r="B527"/>
      <c r="C527" s="2"/>
      <c r="D527" s="2"/>
    </row>
    <row r="528" spans="1:4" x14ac:dyDescent="0.3">
      <c r="A528"/>
      <c r="B528"/>
      <c r="C528" s="2"/>
      <c r="D528" s="2"/>
    </row>
    <row r="529" spans="1:4" x14ac:dyDescent="0.3">
      <c r="A529"/>
      <c r="B529"/>
      <c r="C529" s="2"/>
      <c r="D529" s="2"/>
    </row>
    <row r="530" spans="1:4" x14ac:dyDescent="0.3">
      <c r="A530"/>
      <c r="B530"/>
      <c r="C530" s="2"/>
      <c r="D530" s="2"/>
    </row>
    <row r="531" spans="1:4" x14ac:dyDescent="0.3">
      <c r="A531"/>
      <c r="B531"/>
      <c r="C531" s="2"/>
      <c r="D531" s="2"/>
    </row>
    <row r="532" spans="1:4" x14ac:dyDescent="0.3">
      <c r="A532"/>
      <c r="B532"/>
      <c r="C532" s="2"/>
      <c r="D532" s="2"/>
    </row>
    <row r="533" spans="1:4" x14ac:dyDescent="0.3">
      <c r="A533"/>
      <c r="B533"/>
      <c r="C533" s="2"/>
      <c r="D533" s="2"/>
    </row>
    <row r="534" spans="1:4" x14ac:dyDescent="0.3">
      <c r="A534"/>
      <c r="B534"/>
      <c r="C534" s="2"/>
      <c r="D534" s="2"/>
    </row>
    <row r="535" spans="1:4" x14ac:dyDescent="0.3">
      <c r="A535"/>
      <c r="B535"/>
      <c r="C535" s="2"/>
      <c r="D535" s="2"/>
    </row>
    <row r="536" spans="1:4" x14ac:dyDescent="0.3">
      <c r="A536"/>
      <c r="B536"/>
      <c r="C536" s="2"/>
      <c r="D536" s="2"/>
    </row>
    <row r="537" spans="1:4" x14ac:dyDescent="0.3">
      <c r="A537"/>
      <c r="B537"/>
      <c r="C537" s="2"/>
      <c r="D537" s="2"/>
    </row>
    <row r="538" spans="1:4" x14ac:dyDescent="0.3">
      <c r="A538"/>
      <c r="B538"/>
      <c r="C538" s="2"/>
      <c r="D538" s="2"/>
    </row>
    <row r="539" spans="1:4" x14ac:dyDescent="0.3">
      <c r="A539"/>
      <c r="B539"/>
      <c r="C539" s="2"/>
      <c r="D539" s="2"/>
    </row>
    <row r="540" spans="1:4" x14ac:dyDescent="0.3">
      <c r="A540"/>
      <c r="B540"/>
      <c r="C540" s="2"/>
      <c r="D540" s="2"/>
    </row>
    <row r="541" spans="1:4" x14ac:dyDescent="0.3">
      <c r="A541"/>
      <c r="B541"/>
      <c r="C541" s="2"/>
      <c r="D541" s="2"/>
    </row>
    <row r="542" spans="1:4" x14ac:dyDescent="0.3">
      <c r="A542"/>
      <c r="B542"/>
      <c r="C542" s="2"/>
      <c r="D542" s="2"/>
    </row>
    <row r="543" spans="1:4" x14ac:dyDescent="0.3">
      <c r="A543"/>
      <c r="B543"/>
      <c r="C543" s="2"/>
      <c r="D543" s="2"/>
    </row>
    <row r="544" spans="1:4" x14ac:dyDescent="0.3">
      <c r="A544"/>
      <c r="B544"/>
      <c r="C544" s="2"/>
      <c r="D544" s="2"/>
    </row>
    <row r="545" spans="1:4" x14ac:dyDescent="0.3">
      <c r="A545"/>
      <c r="B545"/>
      <c r="C545" s="2"/>
      <c r="D545" s="2"/>
    </row>
    <row r="546" spans="1:4" x14ac:dyDescent="0.3">
      <c r="A546"/>
      <c r="B546"/>
      <c r="C546" s="2"/>
      <c r="D546" s="2"/>
    </row>
    <row r="547" spans="1:4" x14ac:dyDescent="0.3">
      <c r="A547"/>
      <c r="B547"/>
      <c r="C547" s="2"/>
      <c r="D547" s="2"/>
    </row>
    <row r="548" spans="1:4" x14ac:dyDescent="0.3">
      <c r="A548"/>
      <c r="B548"/>
      <c r="C548" s="2"/>
      <c r="D548" s="2"/>
    </row>
    <row r="549" spans="1:4" x14ac:dyDescent="0.3">
      <c r="A549"/>
      <c r="B549"/>
      <c r="C549" s="2"/>
      <c r="D549" s="2"/>
    </row>
    <row r="550" spans="1:4" x14ac:dyDescent="0.3">
      <c r="A550"/>
      <c r="B550"/>
      <c r="C550" s="2"/>
      <c r="D550" s="2"/>
    </row>
    <row r="551" spans="1:4" x14ac:dyDescent="0.3">
      <c r="A551"/>
      <c r="B551"/>
      <c r="C551" s="2"/>
      <c r="D551" s="2"/>
    </row>
    <row r="552" spans="1:4" x14ac:dyDescent="0.3">
      <c r="A552"/>
      <c r="B552"/>
      <c r="C552" s="2"/>
      <c r="D552" s="2"/>
    </row>
    <row r="553" spans="1:4" x14ac:dyDescent="0.3">
      <c r="A553"/>
      <c r="B553"/>
      <c r="C553" s="2"/>
      <c r="D553" s="2"/>
    </row>
    <row r="554" spans="1:4" x14ac:dyDescent="0.3">
      <c r="A554"/>
      <c r="B554"/>
      <c r="C554" s="2"/>
      <c r="D554" s="2"/>
    </row>
    <row r="555" spans="1:4" x14ac:dyDescent="0.3">
      <c r="A555"/>
      <c r="B555"/>
      <c r="C555" s="2"/>
      <c r="D555" s="2"/>
    </row>
    <row r="556" spans="1:4" x14ac:dyDescent="0.3">
      <c r="A556"/>
      <c r="B556"/>
      <c r="C556" s="2"/>
      <c r="D556" s="2"/>
    </row>
    <row r="557" spans="1:4" x14ac:dyDescent="0.3">
      <c r="A557"/>
      <c r="B557"/>
      <c r="C557" s="2"/>
      <c r="D557" s="2"/>
    </row>
    <row r="558" spans="1:4" x14ac:dyDescent="0.3">
      <c r="A558"/>
      <c r="B558"/>
      <c r="C558" s="2"/>
      <c r="D558" s="2"/>
    </row>
    <row r="559" spans="1:4" x14ac:dyDescent="0.3">
      <c r="A559"/>
      <c r="B559"/>
      <c r="C559" s="2"/>
      <c r="D559" s="2"/>
    </row>
    <row r="560" spans="1:4" x14ac:dyDescent="0.3">
      <c r="A560"/>
      <c r="B560"/>
      <c r="C560" s="2"/>
      <c r="D560" s="2"/>
    </row>
    <row r="561" spans="1:4" x14ac:dyDescent="0.3">
      <c r="A561"/>
      <c r="B561"/>
      <c r="C561" s="2"/>
      <c r="D561" s="2"/>
    </row>
    <row r="562" spans="1:4" x14ac:dyDescent="0.3">
      <c r="A562"/>
      <c r="B562"/>
      <c r="C562" s="2"/>
      <c r="D562" s="2"/>
    </row>
    <row r="563" spans="1:4" x14ac:dyDescent="0.3">
      <c r="A563"/>
      <c r="B563"/>
      <c r="C563" s="2"/>
      <c r="D563" s="2"/>
    </row>
    <row r="564" spans="1:4" x14ac:dyDescent="0.3">
      <c r="A564"/>
      <c r="B564"/>
      <c r="C564" s="2"/>
      <c r="D564" s="2"/>
    </row>
    <row r="565" spans="1:4" x14ac:dyDescent="0.3">
      <c r="A565"/>
      <c r="B565"/>
      <c r="C565" s="2"/>
      <c r="D565" s="2"/>
    </row>
    <row r="566" spans="1:4" x14ac:dyDescent="0.3">
      <c r="A566"/>
      <c r="B566"/>
      <c r="C566" s="2"/>
      <c r="D566" s="2"/>
    </row>
    <row r="567" spans="1:4" x14ac:dyDescent="0.3">
      <c r="A567"/>
      <c r="B567"/>
      <c r="C567" s="2"/>
      <c r="D567" s="2"/>
    </row>
    <row r="568" spans="1:4" x14ac:dyDescent="0.3">
      <c r="A568"/>
      <c r="B568"/>
      <c r="C568" s="2"/>
      <c r="D568" s="2"/>
    </row>
    <row r="569" spans="1:4" x14ac:dyDescent="0.3">
      <c r="A569"/>
      <c r="B569"/>
      <c r="C569" s="2"/>
      <c r="D569" s="2"/>
    </row>
    <row r="570" spans="1:4" x14ac:dyDescent="0.3">
      <c r="A570"/>
      <c r="B570"/>
      <c r="C570" s="2"/>
      <c r="D570" s="2"/>
    </row>
    <row r="571" spans="1:4" x14ac:dyDescent="0.3">
      <c r="A571"/>
      <c r="B571"/>
      <c r="C571" s="2"/>
      <c r="D571" s="2"/>
    </row>
    <row r="572" spans="1:4" x14ac:dyDescent="0.3">
      <c r="A572"/>
      <c r="B572"/>
      <c r="C572" s="2"/>
      <c r="D572" s="2"/>
    </row>
    <row r="573" spans="1:4" x14ac:dyDescent="0.3">
      <c r="A573"/>
      <c r="B573"/>
      <c r="C573" s="2"/>
      <c r="D573" s="2"/>
    </row>
    <row r="574" spans="1:4" x14ac:dyDescent="0.3">
      <c r="A574"/>
      <c r="B574"/>
      <c r="C574" s="2"/>
      <c r="D574" s="2"/>
    </row>
    <row r="575" spans="1:4" x14ac:dyDescent="0.3">
      <c r="A575"/>
      <c r="B575"/>
      <c r="C575" s="2"/>
      <c r="D575" s="2"/>
    </row>
    <row r="576" spans="1:4" x14ac:dyDescent="0.3">
      <c r="A576"/>
      <c r="B576"/>
      <c r="C576" s="2"/>
      <c r="D576" s="2"/>
    </row>
    <row r="577" spans="1:4" x14ac:dyDescent="0.3">
      <c r="A577"/>
      <c r="B577"/>
      <c r="C577" s="2"/>
      <c r="D577" s="2"/>
    </row>
    <row r="578" spans="1:4" x14ac:dyDescent="0.3">
      <c r="A578"/>
      <c r="B578"/>
      <c r="C578" s="2"/>
      <c r="D578" s="2"/>
    </row>
    <row r="579" spans="1:4" x14ac:dyDescent="0.3">
      <c r="A579"/>
      <c r="B579"/>
      <c r="C579" s="2"/>
      <c r="D579" s="2"/>
    </row>
    <row r="580" spans="1:4" x14ac:dyDescent="0.3">
      <c r="A580"/>
      <c r="B580"/>
      <c r="C580" s="2"/>
      <c r="D580" s="2"/>
    </row>
    <row r="581" spans="1:4" x14ac:dyDescent="0.3">
      <c r="A581"/>
      <c r="B581"/>
      <c r="C581" s="2"/>
      <c r="D581" s="2"/>
    </row>
    <row r="582" spans="1:4" x14ac:dyDescent="0.3">
      <c r="A582"/>
      <c r="B582"/>
      <c r="C582" s="2"/>
      <c r="D582" s="2"/>
    </row>
    <row r="583" spans="1:4" x14ac:dyDescent="0.3">
      <c r="A583"/>
      <c r="B583"/>
      <c r="C583" s="2"/>
      <c r="D583" s="2"/>
    </row>
    <row r="584" spans="1:4" x14ac:dyDescent="0.3">
      <c r="A584"/>
      <c r="B584"/>
      <c r="C584" s="2"/>
      <c r="D584" s="2"/>
    </row>
    <row r="585" spans="1:4" x14ac:dyDescent="0.3">
      <c r="A585"/>
      <c r="B585"/>
      <c r="C585" s="2"/>
      <c r="D585" s="2"/>
    </row>
    <row r="586" spans="1:4" x14ac:dyDescent="0.3">
      <c r="A586"/>
      <c r="B586"/>
      <c r="C586" s="2"/>
      <c r="D586" s="2"/>
    </row>
    <row r="587" spans="1:4" x14ac:dyDescent="0.3">
      <c r="A587"/>
      <c r="B587"/>
      <c r="C587" s="2"/>
      <c r="D587" s="2"/>
    </row>
    <row r="588" spans="1:4" x14ac:dyDescent="0.3">
      <c r="A588"/>
      <c r="B588"/>
      <c r="C588" s="2"/>
      <c r="D588" s="2"/>
    </row>
    <row r="589" spans="1:4" x14ac:dyDescent="0.3">
      <c r="A589"/>
      <c r="B589"/>
      <c r="C589" s="2"/>
      <c r="D589" s="2"/>
    </row>
    <row r="590" spans="1:4" x14ac:dyDescent="0.3">
      <c r="A590"/>
      <c r="B590"/>
      <c r="C590" s="2"/>
      <c r="D590" s="2"/>
    </row>
    <row r="591" spans="1:4" x14ac:dyDescent="0.3">
      <c r="A591"/>
      <c r="B591"/>
      <c r="C591" s="2"/>
      <c r="D591" s="2"/>
    </row>
    <row r="592" spans="1:4" x14ac:dyDescent="0.3">
      <c r="A592"/>
      <c r="B592"/>
      <c r="C592" s="2"/>
      <c r="D592" s="2"/>
    </row>
    <row r="593" spans="1:4" x14ac:dyDescent="0.3">
      <c r="A593"/>
      <c r="B593"/>
      <c r="C593" s="2"/>
      <c r="D593" s="2"/>
    </row>
    <row r="594" spans="1:4" x14ac:dyDescent="0.3">
      <c r="A594"/>
      <c r="B594"/>
      <c r="C594" s="2"/>
      <c r="D594" s="2"/>
    </row>
    <row r="595" spans="1:4" x14ac:dyDescent="0.3">
      <c r="A595"/>
      <c r="B595"/>
      <c r="C595" s="2"/>
      <c r="D595" s="2"/>
    </row>
    <row r="596" spans="1:4" x14ac:dyDescent="0.3">
      <c r="A596"/>
      <c r="B596"/>
      <c r="C596" s="2"/>
      <c r="D596" s="2"/>
    </row>
    <row r="597" spans="1:4" x14ac:dyDescent="0.3">
      <c r="A597"/>
      <c r="B597"/>
      <c r="C597" s="2"/>
      <c r="D597" s="2"/>
    </row>
    <row r="598" spans="1:4" x14ac:dyDescent="0.3">
      <c r="A598"/>
      <c r="B598"/>
      <c r="C598" s="2"/>
      <c r="D598" s="2"/>
    </row>
    <row r="599" spans="1:4" x14ac:dyDescent="0.3">
      <c r="A599"/>
      <c r="B599"/>
      <c r="C599" s="2"/>
      <c r="D599" s="2"/>
    </row>
    <row r="600" spans="1:4" x14ac:dyDescent="0.3">
      <c r="A600"/>
      <c r="B600"/>
      <c r="C600" s="2"/>
      <c r="D600" s="2"/>
    </row>
    <row r="601" spans="1:4" x14ac:dyDescent="0.3">
      <c r="A601"/>
      <c r="B601"/>
      <c r="C601" s="2"/>
      <c r="D601" s="2"/>
    </row>
    <row r="602" spans="1:4" x14ac:dyDescent="0.3">
      <c r="A602"/>
      <c r="B602"/>
      <c r="C602" s="2"/>
      <c r="D602" s="2"/>
    </row>
    <row r="603" spans="1:4" x14ac:dyDescent="0.3">
      <c r="A603"/>
      <c r="B603"/>
      <c r="C603" s="2"/>
      <c r="D603" s="2"/>
    </row>
    <row r="604" spans="1:4" x14ac:dyDescent="0.3">
      <c r="A604"/>
      <c r="B604"/>
      <c r="C604" s="2"/>
      <c r="D604" s="2"/>
    </row>
    <row r="605" spans="1:4" x14ac:dyDescent="0.3">
      <c r="A605"/>
      <c r="B605"/>
      <c r="C605" s="2"/>
      <c r="D605" s="2"/>
    </row>
    <row r="606" spans="1:4" x14ac:dyDescent="0.3">
      <c r="A606"/>
      <c r="B606"/>
      <c r="C606" s="2"/>
      <c r="D606" s="2"/>
    </row>
    <row r="607" spans="1:4" x14ac:dyDescent="0.3">
      <c r="A607"/>
      <c r="B607"/>
      <c r="C607" s="2"/>
      <c r="D607" s="2"/>
    </row>
    <row r="608" spans="1:4" x14ac:dyDescent="0.3">
      <c r="A608"/>
      <c r="B608"/>
      <c r="C608" s="2"/>
      <c r="D608" s="2"/>
    </row>
    <row r="609" spans="1:4" x14ac:dyDescent="0.3">
      <c r="A609"/>
      <c r="B609"/>
      <c r="C609" s="2"/>
      <c r="D609" s="2"/>
    </row>
    <row r="610" spans="1:4" x14ac:dyDescent="0.3">
      <c r="A610"/>
      <c r="B610"/>
      <c r="C610" s="2"/>
      <c r="D610" s="2"/>
    </row>
    <row r="611" spans="1:4" x14ac:dyDescent="0.3">
      <c r="A611"/>
      <c r="B611"/>
      <c r="C611" s="2"/>
      <c r="D611" s="2"/>
    </row>
    <row r="612" spans="1:4" x14ac:dyDescent="0.3">
      <c r="A612"/>
      <c r="B612"/>
      <c r="C612" s="2"/>
      <c r="D612" s="2"/>
    </row>
    <row r="613" spans="1:4" x14ac:dyDescent="0.3">
      <c r="A613"/>
      <c r="B613"/>
      <c r="C613" s="2"/>
      <c r="D613" s="2"/>
    </row>
    <row r="614" spans="1:4" x14ac:dyDescent="0.3">
      <c r="A614"/>
      <c r="B614"/>
      <c r="C614" s="2"/>
      <c r="D614" s="2"/>
    </row>
    <row r="615" spans="1:4" x14ac:dyDescent="0.3">
      <c r="A615"/>
      <c r="B615"/>
      <c r="C615" s="2"/>
      <c r="D615" s="2"/>
    </row>
    <row r="616" spans="1:4" x14ac:dyDescent="0.3">
      <c r="A616"/>
      <c r="B616"/>
      <c r="C616" s="2"/>
      <c r="D616" s="2"/>
    </row>
    <row r="617" spans="1:4" x14ac:dyDescent="0.3">
      <c r="A617"/>
      <c r="B617"/>
      <c r="C617" s="2"/>
      <c r="D617" s="2"/>
    </row>
    <row r="618" spans="1:4" x14ac:dyDescent="0.3">
      <c r="A618"/>
      <c r="B618"/>
      <c r="C618" s="2"/>
      <c r="D618" s="2"/>
    </row>
    <row r="619" spans="1:4" x14ac:dyDescent="0.3">
      <c r="A619"/>
      <c r="B619"/>
      <c r="C619" s="2"/>
      <c r="D619" s="2"/>
    </row>
    <row r="620" spans="1:4" x14ac:dyDescent="0.3">
      <c r="A620"/>
      <c r="B620"/>
      <c r="C620" s="2"/>
      <c r="D620" s="2"/>
    </row>
    <row r="621" spans="1:4" x14ac:dyDescent="0.3">
      <c r="A621"/>
      <c r="B621"/>
      <c r="C621" s="2"/>
      <c r="D621" s="2"/>
    </row>
    <row r="622" spans="1:4" x14ac:dyDescent="0.3">
      <c r="A622"/>
      <c r="B622"/>
      <c r="C622" s="2"/>
      <c r="D622" s="2"/>
    </row>
    <row r="623" spans="1:4" x14ac:dyDescent="0.3">
      <c r="A623"/>
      <c r="B623"/>
      <c r="C623" s="2"/>
      <c r="D623" s="2"/>
    </row>
    <row r="624" spans="1:4" x14ac:dyDescent="0.3">
      <c r="A624"/>
      <c r="B624"/>
      <c r="C624" s="2"/>
      <c r="D624" s="2"/>
    </row>
    <row r="625" spans="1:4" x14ac:dyDescent="0.3">
      <c r="A625"/>
      <c r="B625"/>
      <c r="C625" s="2"/>
      <c r="D625" s="2"/>
    </row>
    <row r="626" spans="1:4" x14ac:dyDescent="0.3">
      <c r="A626"/>
      <c r="B626"/>
      <c r="C626" s="2"/>
      <c r="D626" s="2"/>
    </row>
    <row r="627" spans="1:4" x14ac:dyDescent="0.3">
      <c r="A627"/>
      <c r="B627"/>
      <c r="C627" s="2"/>
      <c r="D627" s="2"/>
    </row>
    <row r="628" spans="1:4" x14ac:dyDescent="0.3">
      <c r="A628"/>
      <c r="B628"/>
      <c r="C628" s="2"/>
      <c r="D628" s="2"/>
    </row>
    <row r="629" spans="1:4" x14ac:dyDescent="0.3">
      <c r="A629"/>
      <c r="B629"/>
      <c r="C629" s="2"/>
      <c r="D629" s="2"/>
    </row>
    <row r="630" spans="1:4" x14ac:dyDescent="0.3">
      <c r="A630"/>
      <c r="B630"/>
      <c r="C630" s="2"/>
      <c r="D630" s="2"/>
    </row>
    <row r="631" spans="1:4" x14ac:dyDescent="0.3">
      <c r="A631"/>
      <c r="B631"/>
      <c r="C631" s="2"/>
      <c r="D631" s="2"/>
    </row>
    <row r="632" spans="1:4" x14ac:dyDescent="0.3">
      <c r="A632"/>
      <c r="B632"/>
      <c r="C632" s="2"/>
      <c r="D632" s="2"/>
    </row>
    <row r="633" spans="1:4" x14ac:dyDescent="0.3">
      <c r="A633"/>
      <c r="B633"/>
      <c r="C633" s="2"/>
      <c r="D633" s="2"/>
    </row>
    <row r="634" spans="1:4" x14ac:dyDescent="0.3">
      <c r="A634"/>
      <c r="B634"/>
      <c r="C634" s="2"/>
      <c r="D634" s="2"/>
    </row>
    <row r="635" spans="1:4" x14ac:dyDescent="0.3">
      <c r="A635"/>
      <c r="B635"/>
      <c r="C635" s="2"/>
      <c r="D635" s="2"/>
    </row>
    <row r="636" spans="1:4" x14ac:dyDescent="0.3">
      <c r="A636"/>
      <c r="B636"/>
      <c r="C636" s="2"/>
      <c r="D636" s="2"/>
    </row>
    <row r="637" spans="1:4" x14ac:dyDescent="0.3">
      <c r="A637"/>
      <c r="B637"/>
      <c r="C637" s="2"/>
      <c r="D637" s="2"/>
    </row>
    <row r="638" spans="1:4" x14ac:dyDescent="0.3">
      <c r="A638"/>
      <c r="B638"/>
      <c r="C638" s="2"/>
      <c r="D638" s="2"/>
    </row>
    <row r="639" spans="1:4" x14ac:dyDescent="0.3">
      <c r="A639"/>
      <c r="B639"/>
      <c r="C639" s="2"/>
      <c r="D639" s="2"/>
    </row>
    <row r="640" spans="1:4" x14ac:dyDescent="0.3">
      <c r="A640"/>
      <c r="B640"/>
      <c r="C640" s="2"/>
      <c r="D640" s="2"/>
    </row>
    <row r="641" spans="1:4" x14ac:dyDescent="0.3">
      <c r="A641"/>
      <c r="B641"/>
      <c r="C641" s="2"/>
      <c r="D641" s="2"/>
    </row>
    <row r="642" spans="1:4" x14ac:dyDescent="0.3">
      <c r="A642"/>
      <c r="B642"/>
      <c r="C642" s="2"/>
      <c r="D642" s="2"/>
    </row>
    <row r="643" spans="1:4" x14ac:dyDescent="0.3">
      <c r="A643"/>
      <c r="B643"/>
      <c r="C643" s="2"/>
      <c r="D643" s="2"/>
    </row>
    <row r="644" spans="1:4" x14ac:dyDescent="0.3">
      <c r="A644"/>
      <c r="B644"/>
      <c r="C644" s="2"/>
      <c r="D644" s="2"/>
    </row>
    <row r="645" spans="1:4" x14ac:dyDescent="0.3">
      <c r="A645"/>
      <c r="B645"/>
      <c r="C645" s="2"/>
      <c r="D645" s="2"/>
    </row>
    <row r="646" spans="1:4" x14ac:dyDescent="0.3">
      <c r="A646"/>
      <c r="B646"/>
      <c r="C646" s="2"/>
      <c r="D646" s="2"/>
    </row>
    <row r="647" spans="1:4" x14ac:dyDescent="0.3">
      <c r="A647"/>
      <c r="B647"/>
      <c r="C647" s="2"/>
      <c r="D647" s="2"/>
    </row>
    <row r="648" spans="1:4" x14ac:dyDescent="0.3">
      <c r="A648"/>
      <c r="B648"/>
      <c r="C648" s="2"/>
      <c r="D648" s="2"/>
    </row>
    <row r="649" spans="1:4" x14ac:dyDescent="0.3">
      <c r="A649"/>
      <c r="B649"/>
      <c r="C649" s="2"/>
      <c r="D649" s="2"/>
    </row>
    <row r="650" spans="1:4" x14ac:dyDescent="0.3">
      <c r="A650"/>
      <c r="B650"/>
      <c r="C650" s="2"/>
      <c r="D650" s="2"/>
    </row>
    <row r="651" spans="1:4" x14ac:dyDescent="0.3">
      <c r="A651"/>
      <c r="B651"/>
      <c r="C651" s="2"/>
      <c r="D651" s="2"/>
    </row>
    <row r="652" spans="1:4" x14ac:dyDescent="0.3">
      <c r="A652"/>
      <c r="B652"/>
      <c r="C652" s="2"/>
      <c r="D652" s="2"/>
    </row>
    <row r="653" spans="1:4" x14ac:dyDescent="0.3">
      <c r="A653"/>
      <c r="B653"/>
      <c r="C653" s="2"/>
      <c r="D653" s="2"/>
    </row>
    <row r="654" spans="1:4" x14ac:dyDescent="0.3">
      <c r="A654"/>
      <c r="B654"/>
      <c r="C654" s="2"/>
      <c r="D654" s="2"/>
    </row>
    <row r="655" spans="1:4" x14ac:dyDescent="0.3">
      <c r="A655"/>
      <c r="B655"/>
      <c r="C655" s="2"/>
      <c r="D655" s="2"/>
    </row>
    <row r="656" spans="1:4" x14ac:dyDescent="0.3">
      <c r="A656"/>
      <c r="B656"/>
      <c r="C656" s="2"/>
      <c r="D656" s="2"/>
    </row>
    <row r="657" spans="1:4" x14ac:dyDescent="0.3">
      <c r="A657"/>
      <c r="B657"/>
      <c r="C657" s="2"/>
      <c r="D657" s="2"/>
    </row>
    <row r="658" spans="1:4" x14ac:dyDescent="0.3">
      <c r="A658"/>
      <c r="B658"/>
      <c r="C658" s="2"/>
      <c r="D658" s="2"/>
    </row>
    <row r="659" spans="1:4" x14ac:dyDescent="0.3">
      <c r="A659"/>
      <c r="B659"/>
      <c r="C659" s="2"/>
      <c r="D659" s="2"/>
    </row>
    <row r="660" spans="1:4" x14ac:dyDescent="0.3">
      <c r="A660"/>
      <c r="B660"/>
      <c r="C660" s="2"/>
      <c r="D660" s="2"/>
    </row>
    <row r="661" spans="1:4" x14ac:dyDescent="0.3">
      <c r="A661"/>
      <c r="B661"/>
      <c r="C661" s="2"/>
      <c r="D661" s="2"/>
    </row>
    <row r="662" spans="1:4" x14ac:dyDescent="0.3">
      <c r="A662"/>
      <c r="B662"/>
      <c r="C662" s="2"/>
      <c r="D662" s="2"/>
    </row>
    <row r="663" spans="1:4" x14ac:dyDescent="0.3">
      <c r="A663"/>
      <c r="B663"/>
      <c r="C663" s="2"/>
      <c r="D663" s="2"/>
    </row>
    <row r="664" spans="1:4" x14ac:dyDescent="0.3">
      <c r="A664"/>
      <c r="B664"/>
      <c r="C664" s="2"/>
      <c r="D664" s="2"/>
    </row>
    <row r="665" spans="1:4" x14ac:dyDescent="0.3">
      <c r="A665"/>
      <c r="B665"/>
      <c r="C665" s="2"/>
      <c r="D665" s="2"/>
    </row>
    <row r="666" spans="1:4" x14ac:dyDescent="0.3">
      <c r="A666"/>
      <c r="B666"/>
      <c r="C666" s="2"/>
      <c r="D666" s="2"/>
    </row>
    <row r="667" spans="1:4" x14ac:dyDescent="0.3">
      <c r="A667"/>
      <c r="B667"/>
      <c r="C667" s="2"/>
      <c r="D667" s="2"/>
    </row>
    <row r="668" spans="1:4" x14ac:dyDescent="0.3">
      <c r="A668"/>
      <c r="B668"/>
      <c r="C668" s="2"/>
      <c r="D668" s="2"/>
    </row>
    <row r="669" spans="1:4" x14ac:dyDescent="0.3">
      <c r="A669"/>
      <c r="B669"/>
      <c r="C669" s="2"/>
      <c r="D669" s="2"/>
    </row>
    <row r="670" spans="1:4" x14ac:dyDescent="0.3">
      <c r="A670"/>
      <c r="B670"/>
      <c r="C670" s="2"/>
      <c r="D670" s="2"/>
    </row>
    <row r="671" spans="1:4" x14ac:dyDescent="0.3">
      <c r="A671"/>
      <c r="B671"/>
      <c r="C671" s="2"/>
      <c r="D671" s="2"/>
    </row>
    <row r="672" spans="1:4" x14ac:dyDescent="0.3">
      <c r="A672"/>
      <c r="B672"/>
      <c r="C672" s="2"/>
      <c r="D672" s="2"/>
    </row>
    <row r="673" spans="1:4" x14ac:dyDescent="0.3">
      <c r="A673"/>
      <c r="B673"/>
      <c r="C673" s="2"/>
      <c r="D673" s="2"/>
    </row>
    <row r="674" spans="1:4" x14ac:dyDescent="0.3">
      <c r="A674"/>
      <c r="B674"/>
      <c r="C674" s="2"/>
      <c r="D674" s="2"/>
    </row>
    <row r="675" spans="1:4" x14ac:dyDescent="0.3">
      <c r="A675"/>
      <c r="B675"/>
      <c r="C675" s="2"/>
      <c r="D675" s="2"/>
    </row>
    <row r="676" spans="1:4" x14ac:dyDescent="0.3">
      <c r="A676"/>
      <c r="B676"/>
      <c r="C676" s="2"/>
      <c r="D676" s="2"/>
    </row>
    <row r="677" spans="1:4" x14ac:dyDescent="0.3">
      <c r="A677"/>
      <c r="B677"/>
      <c r="C677" s="2"/>
      <c r="D677" s="2"/>
    </row>
    <row r="678" spans="1:4" x14ac:dyDescent="0.3">
      <c r="A678"/>
      <c r="B678"/>
      <c r="C678" s="2"/>
      <c r="D678" s="2"/>
    </row>
    <row r="679" spans="1:4" x14ac:dyDescent="0.3">
      <c r="A679"/>
      <c r="B679"/>
      <c r="C679" s="2"/>
      <c r="D679" s="2"/>
    </row>
    <row r="680" spans="1:4" x14ac:dyDescent="0.3">
      <c r="A680"/>
      <c r="B680"/>
      <c r="C680" s="2"/>
      <c r="D680" s="2"/>
    </row>
    <row r="681" spans="1:4" x14ac:dyDescent="0.3">
      <c r="A681"/>
      <c r="B681"/>
      <c r="C681" s="2"/>
      <c r="D681" s="2"/>
    </row>
    <row r="682" spans="1:4" x14ac:dyDescent="0.3">
      <c r="A682"/>
      <c r="B682"/>
      <c r="C682" s="2"/>
      <c r="D682" s="2"/>
    </row>
    <row r="683" spans="1:4" x14ac:dyDescent="0.3">
      <c r="A683"/>
      <c r="B683"/>
      <c r="C683" s="2"/>
      <c r="D683" s="2"/>
    </row>
    <row r="684" spans="1:4" x14ac:dyDescent="0.3">
      <c r="A684"/>
      <c r="B684"/>
      <c r="C684" s="2"/>
      <c r="D684" s="2"/>
    </row>
    <row r="685" spans="1:4" x14ac:dyDescent="0.3">
      <c r="A685"/>
      <c r="B685"/>
      <c r="C685" s="2"/>
      <c r="D685" s="2"/>
    </row>
    <row r="686" spans="1:4" x14ac:dyDescent="0.3">
      <c r="A686"/>
      <c r="B686"/>
      <c r="C686" s="2"/>
      <c r="D686" s="2"/>
    </row>
    <row r="687" spans="1:4" x14ac:dyDescent="0.3">
      <c r="A687"/>
      <c r="B687"/>
      <c r="C687" s="2"/>
      <c r="D687" s="2"/>
    </row>
    <row r="688" spans="1:4" x14ac:dyDescent="0.3">
      <c r="A688"/>
      <c r="B688"/>
      <c r="C688" s="2"/>
      <c r="D688" s="2"/>
    </row>
    <row r="689" spans="1:4" x14ac:dyDescent="0.3">
      <c r="A689"/>
      <c r="B689"/>
      <c r="C689" s="2"/>
      <c r="D689" s="2"/>
    </row>
    <row r="690" spans="1:4" x14ac:dyDescent="0.3">
      <c r="A690"/>
      <c r="B690"/>
      <c r="C690" s="2"/>
      <c r="D690" s="2"/>
    </row>
    <row r="691" spans="1:4" x14ac:dyDescent="0.3">
      <c r="A691"/>
      <c r="B691"/>
      <c r="C691" s="2"/>
      <c r="D691" s="2"/>
    </row>
    <row r="692" spans="1:4" x14ac:dyDescent="0.3">
      <c r="A692"/>
      <c r="B692"/>
      <c r="C692" s="2"/>
      <c r="D692" s="2"/>
    </row>
    <row r="693" spans="1:4" x14ac:dyDescent="0.3">
      <c r="A693"/>
      <c r="B693"/>
      <c r="C693" s="2"/>
      <c r="D693" s="2"/>
    </row>
    <row r="694" spans="1:4" x14ac:dyDescent="0.3">
      <c r="A694"/>
      <c r="B694"/>
      <c r="C694" s="2"/>
      <c r="D694" s="2"/>
    </row>
    <row r="695" spans="1:4" x14ac:dyDescent="0.3">
      <c r="A695"/>
      <c r="B695"/>
      <c r="C695" s="2"/>
      <c r="D695" s="2"/>
    </row>
    <row r="696" spans="1:4" x14ac:dyDescent="0.3">
      <c r="A696"/>
      <c r="B696"/>
      <c r="C696" s="2"/>
      <c r="D696" s="2"/>
    </row>
    <row r="697" spans="1:4" x14ac:dyDescent="0.3">
      <c r="A697"/>
      <c r="B697"/>
      <c r="C697" s="2"/>
      <c r="D697" s="2"/>
    </row>
    <row r="698" spans="1:4" x14ac:dyDescent="0.3">
      <c r="A698"/>
      <c r="B698"/>
      <c r="C698" s="2"/>
      <c r="D698" s="2"/>
    </row>
    <row r="699" spans="1:4" x14ac:dyDescent="0.3">
      <c r="A699"/>
      <c r="B699"/>
      <c r="C699" s="2"/>
      <c r="D699" s="2"/>
    </row>
    <row r="700" spans="1:4" x14ac:dyDescent="0.3">
      <c r="A700"/>
      <c r="B700"/>
      <c r="C700" s="2"/>
      <c r="D700" s="2"/>
    </row>
    <row r="701" spans="1:4" x14ac:dyDescent="0.3">
      <c r="A701"/>
      <c r="B701"/>
      <c r="C701" s="2"/>
      <c r="D701" s="2"/>
    </row>
    <row r="702" spans="1:4" x14ac:dyDescent="0.3">
      <c r="A702"/>
      <c r="B702"/>
      <c r="C702" s="2"/>
      <c r="D702" s="2"/>
    </row>
    <row r="703" spans="1:4" x14ac:dyDescent="0.3">
      <c r="A703"/>
      <c r="B703"/>
      <c r="C703" s="2"/>
      <c r="D703" s="2"/>
    </row>
    <row r="704" spans="1:4" x14ac:dyDescent="0.3">
      <c r="A704"/>
      <c r="B704"/>
      <c r="C704" s="2"/>
      <c r="D704" s="2"/>
    </row>
    <row r="705" spans="1:4" x14ac:dyDescent="0.3">
      <c r="A705"/>
      <c r="B705"/>
      <c r="C705" s="2"/>
      <c r="D705" s="2"/>
    </row>
    <row r="706" spans="1:4" x14ac:dyDescent="0.3">
      <c r="A706"/>
      <c r="B706"/>
      <c r="C706" s="2"/>
      <c r="D706" s="2"/>
    </row>
    <row r="707" spans="1:4" x14ac:dyDescent="0.3">
      <c r="A707"/>
      <c r="B707"/>
      <c r="C707" s="2"/>
      <c r="D707" s="2"/>
    </row>
    <row r="708" spans="1:4" x14ac:dyDescent="0.3">
      <c r="A708"/>
      <c r="B708"/>
      <c r="C708" s="2"/>
      <c r="D708" s="2"/>
    </row>
    <row r="709" spans="1:4" x14ac:dyDescent="0.3">
      <c r="A709"/>
      <c r="B709"/>
      <c r="C709" s="2"/>
      <c r="D709" s="2"/>
    </row>
    <row r="710" spans="1:4" x14ac:dyDescent="0.3">
      <c r="A710"/>
      <c r="B710"/>
      <c r="C710" s="2"/>
      <c r="D710" s="2"/>
    </row>
    <row r="711" spans="1:4" x14ac:dyDescent="0.3">
      <c r="A711"/>
      <c r="B711"/>
      <c r="C711" s="2"/>
      <c r="D711" s="2"/>
    </row>
    <row r="712" spans="1:4" x14ac:dyDescent="0.3">
      <c r="A712"/>
      <c r="B712"/>
      <c r="C712" s="2"/>
      <c r="D712" s="2"/>
    </row>
    <row r="713" spans="1:4" x14ac:dyDescent="0.3">
      <c r="A713"/>
      <c r="B713"/>
      <c r="C713" s="2"/>
      <c r="D713" s="2"/>
    </row>
    <row r="714" spans="1:4" x14ac:dyDescent="0.3">
      <c r="A714"/>
      <c r="B714"/>
      <c r="C714" s="2"/>
      <c r="D714" s="2"/>
    </row>
    <row r="715" spans="1:4" x14ac:dyDescent="0.3">
      <c r="A715"/>
      <c r="B715"/>
      <c r="C715" s="2"/>
      <c r="D715" s="2"/>
    </row>
    <row r="716" spans="1:4" x14ac:dyDescent="0.3">
      <c r="A716"/>
      <c r="B716"/>
      <c r="C716" s="2"/>
      <c r="D716" s="2"/>
    </row>
    <row r="717" spans="1:4" x14ac:dyDescent="0.3">
      <c r="A717"/>
      <c r="B717"/>
      <c r="C717" s="2"/>
      <c r="D717" s="2"/>
    </row>
    <row r="718" spans="1:4" x14ac:dyDescent="0.3">
      <c r="A718"/>
      <c r="B718"/>
      <c r="C718" s="2"/>
      <c r="D718" s="2"/>
    </row>
    <row r="719" spans="1:4" x14ac:dyDescent="0.3">
      <c r="A719"/>
      <c r="B719"/>
      <c r="C719" s="2"/>
      <c r="D719" s="2"/>
    </row>
    <row r="720" spans="1:4" x14ac:dyDescent="0.3">
      <c r="A720"/>
      <c r="B720"/>
      <c r="C720" s="2"/>
      <c r="D720" s="2"/>
    </row>
    <row r="721" spans="1:4" x14ac:dyDescent="0.3">
      <c r="A721"/>
      <c r="B721"/>
      <c r="C721" s="2"/>
      <c r="D721" s="2"/>
    </row>
    <row r="722" spans="1:4" x14ac:dyDescent="0.3">
      <c r="A722"/>
      <c r="B722"/>
      <c r="C722" s="2"/>
      <c r="D722" s="2"/>
    </row>
    <row r="723" spans="1:4" x14ac:dyDescent="0.3">
      <c r="A723"/>
      <c r="B723"/>
      <c r="C723" s="2"/>
      <c r="D723" s="2"/>
    </row>
    <row r="724" spans="1:4" x14ac:dyDescent="0.3">
      <c r="A724"/>
      <c r="B724"/>
      <c r="C724" s="2"/>
      <c r="D724" s="2"/>
    </row>
    <row r="725" spans="1:4" x14ac:dyDescent="0.3">
      <c r="A725"/>
      <c r="B725"/>
      <c r="C725" s="2"/>
      <c r="D725" s="2"/>
    </row>
    <row r="726" spans="1:4" x14ac:dyDescent="0.3">
      <c r="A726"/>
      <c r="B726"/>
      <c r="C726" s="2"/>
      <c r="D726" s="2"/>
    </row>
    <row r="727" spans="1:4" x14ac:dyDescent="0.3">
      <c r="A727"/>
      <c r="B727"/>
      <c r="C727" s="2"/>
      <c r="D727" s="2"/>
    </row>
    <row r="728" spans="1:4" x14ac:dyDescent="0.3">
      <c r="A728"/>
      <c r="B728"/>
      <c r="C728" s="2"/>
      <c r="D728" s="2"/>
    </row>
    <row r="729" spans="1:4" x14ac:dyDescent="0.3">
      <c r="A729"/>
      <c r="B729"/>
      <c r="C729" s="2"/>
      <c r="D729" s="2"/>
    </row>
    <row r="730" spans="1:4" x14ac:dyDescent="0.3">
      <c r="A730"/>
      <c r="B730"/>
      <c r="C730" s="2"/>
      <c r="D730" s="2"/>
    </row>
    <row r="731" spans="1:4" x14ac:dyDescent="0.3">
      <c r="A731"/>
      <c r="B731"/>
      <c r="C731" s="2"/>
      <c r="D731" s="2"/>
    </row>
    <row r="732" spans="1:4" x14ac:dyDescent="0.3">
      <c r="A732"/>
      <c r="B732"/>
      <c r="C732" s="2"/>
      <c r="D732" s="2"/>
    </row>
    <row r="733" spans="1:4" x14ac:dyDescent="0.3">
      <c r="A733"/>
      <c r="B733"/>
      <c r="C733" s="2"/>
      <c r="D733" s="2"/>
    </row>
    <row r="734" spans="1:4" x14ac:dyDescent="0.3">
      <c r="A734"/>
      <c r="B734"/>
      <c r="C734" s="2"/>
      <c r="D734" s="2"/>
    </row>
    <row r="735" spans="1:4" x14ac:dyDescent="0.3">
      <c r="A735"/>
      <c r="B735"/>
      <c r="C735" s="2"/>
      <c r="D735" s="2"/>
    </row>
    <row r="736" spans="1:4" x14ac:dyDescent="0.3">
      <c r="A736"/>
      <c r="B736"/>
      <c r="C736" s="2"/>
      <c r="D736" s="2"/>
    </row>
    <row r="737" spans="1:4" x14ac:dyDescent="0.3">
      <c r="A737"/>
      <c r="B737"/>
      <c r="C737" s="2"/>
      <c r="D737" s="2"/>
    </row>
    <row r="738" spans="1:4" x14ac:dyDescent="0.3">
      <c r="A738"/>
      <c r="B738"/>
      <c r="C738" s="2"/>
      <c r="D738" s="2"/>
    </row>
    <row r="739" spans="1:4" x14ac:dyDescent="0.3">
      <c r="A739"/>
      <c r="B739"/>
      <c r="C739" s="2"/>
      <c r="D739" s="2"/>
    </row>
    <row r="740" spans="1:4" x14ac:dyDescent="0.3">
      <c r="A740"/>
      <c r="B740"/>
      <c r="C740" s="2"/>
      <c r="D740" s="2"/>
    </row>
    <row r="741" spans="1:4" x14ac:dyDescent="0.3">
      <c r="A741"/>
      <c r="B741"/>
      <c r="C741" s="2"/>
      <c r="D741" s="2"/>
    </row>
    <row r="742" spans="1:4" x14ac:dyDescent="0.3">
      <c r="A742"/>
      <c r="B742"/>
      <c r="C742" s="2"/>
      <c r="D742" s="2"/>
    </row>
    <row r="743" spans="1:4" x14ac:dyDescent="0.3">
      <c r="A743"/>
      <c r="B743"/>
      <c r="C743" s="2"/>
      <c r="D743" s="2"/>
    </row>
    <row r="744" spans="1:4" x14ac:dyDescent="0.3">
      <c r="A744"/>
      <c r="B744"/>
      <c r="C744" s="2"/>
      <c r="D744" s="2"/>
    </row>
    <row r="745" spans="1:4" x14ac:dyDescent="0.3">
      <c r="A745"/>
      <c r="B745"/>
      <c r="C745" s="2"/>
      <c r="D745" s="2"/>
    </row>
    <row r="746" spans="1:4" x14ac:dyDescent="0.3">
      <c r="A746"/>
      <c r="B746"/>
      <c r="C746" s="2"/>
      <c r="D746" s="2"/>
    </row>
    <row r="747" spans="1:4" x14ac:dyDescent="0.3">
      <c r="A747"/>
      <c r="B747"/>
      <c r="C747" s="2"/>
      <c r="D747" s="2"/>
    </row>
    <row r="748" spans="1:4" x14ac:dyDescent="0.3">
      <c r="A748"/>
      <c r="B748"/>
      <c r="C748" s="2"/>
      <c r="D748" s="2"/>
    </row>
    <row r="749" spans="1:4" x14ac:dyDescent="0.3">
      <c r="A749"/>
      <c r="B749"/>
      <c r="C749" s="2"/>
      <c r="D749" s="2"/>
    </row>
    <row r="750" spans="1:4" x14ac:dyDescent="0.3">
      <c r="A750"/>
      <c r="B750"/>
      <c r="C750" s="2"/>
      <c r="D750" s="2"/>
    </row>
    <row r="751" spans="1:4" x14ac:dyDescent="0.3">
      <c r="A751"/>
      <c r="B751"/>
      <c r="C751" s="2"/>
      <c r="D751" s="2"/>
    </row>
    <row r="752" spans="1:4" x14ac:dyDescent="0.3">
      <c r="A752"/>
      <c r="B752"/>
      <c r="C752" s="2"/>
      <c r="D752" s="2"/>
    </row>
    <row r="753" spans="1:4" x14ac:dyDescent="0.3">
      <c r="A753"/>
      <c r="B753"/>
      <c r="C753" s="2"/>
      <c r="D753" s="2"/>
    </row>
    <row r="754" spans="1:4" x14ac:dyDescent="0.3">
      <c r="A754"/>
      <c r="B754"/>
      <c r="C754" s="2"/>
      <c r="D754" s="2"/>
    </row>
    <row r="755" spans="1:4" x14ac:dyDescent="0.3">
      <c r="A755"/>
      <c r="B755"/>
      <c r="C755" s="2"/>
      <c r="D755" s="2"/>
    </row>
    <row r="756" spans="1:4" x14ac:dyDescent="0.3">
      <c r="A756"/>
      <c r="B756"/>
      <c r="C756" s="2"/>
      <c r="D756" s="2"/>
    </row>
    <row r="757" spans="1:4" x14ac:dyDescent="0.3">
      <c r="A757"/>
      <c r="B757"/>
      <c r="C757" s="2"/>
      <c r="D757" s="2"/>
    </row>
    <row r="758" spans="1:4" x14ac:dyDescent="0.3">
      <c r="A758"/>
      <c r="B758"/>
      <c r="C758" s="2"/>
      <c r="D758" s="2"/>
    </row>
    <row r="759" spans="1:4" x14ac:dyDescent="0.3">
      <c r="A759"/>
      <c r="B759"/>
      <c r="C759" s="2"/>
      <c r="D759" s="2"/>
    </row>
    <row r="760" spans="1:4" x14ac:dyDescent="0.3">
      <c r="A760"/>
      <c r="B760"/>
      <c r="C760" s="2"/>
      <c r="D760" s="2"/>
    </row>
    <row r="761" spans="1:4" x14ac:dyDescent="0.3">
      <c r="A761"/>
      <c r="B761"/>
      <c r="C761" s="2"/>
      <c r="D761" s="2"/>
    </row>
    <row r="762" spans="1:4" x14ac:dyDescent="0.3">
      <c r="A762"/>
      <c r="B762"/>
      <c r="C762" s="2"/>
      <c r="D762" s="2"/>
    </row>
    <row r="763" spans="1:4" x14ac:dyDescent="0.3">
      <c r="A763"/>
      <c r="B763"/>
      <c r="C763" s="2"/>
      <c r="D763" s="2"/>
    </row>
    <row r="764" spans="1:4" x14ac:dyDescent="0.3">
      <c r="A764"/>
      <c r="B764"/>
      <c r="C764" s="2"/>
      <c r="D764" s="2"/>
    </row>
    <row r="765" spans="1:4" x14ac:dyDescent="0.3">
      <c r="A765"/>
      <c r="B765"/>
      <c r="C765" s="2"/>
      <c r="D765" s="2"/>
    </row>
    <row r="766" spans="1:4" x14ac:dyDescent="0.3">
      <c r="A766"/>
      <c r="B766"/>
      <c r="C766" s="2"/>
      <c r="D766" s="2"/>
    </row>
    <row r="767" spans="1:4" x14ac:dyDescent="0.3">
      <c r="A767"/>
      <c r="B767"/>
      <c r="C767" s="2"/>
      <c r="D767" s="2"/>
    </row>
    <row r="768" spans="1:4" x14ac:dyDescent="0.3">
      <c r="A768"/>
      <c r="B768"/>
      <c r="C768" s="2"/>
      <c r="D768" s="2"/>
    </row>
    <row r="769" spans="1:4" x14ac:dyDescent="0.3">
      <c r="A769"/>
      <c r="B769"/>
      <c r="C769" s="2"/>
      <c r="D769" s="2"/>
    </row>
    <row r="770" spans="1:4" x14ac:dyDescent="0.3">
      <c r="A770"/>
      <c r="B770"/>
      <c r="C770" s="2"/>
      <c r="D770" s="2"/>
    </row>
    <row r="771" spans="1:4" x14ac:dyDescent="0.3">
      <c r="A771"/>
      <c r="B771"/>
      <c r="C771" s="2"/>
      <c r="D771" s="2"/>
    </row>
    <row r="772" spans="1:4" x14ac:dyDescent="0.3">
      <c r="A772"/>
      <c r="B772"/>
      <c r="C772" s="2"/>
      <c r="D772" s="2"/>
    </row>
    <row r="773" spans="1:4" x14ac:dyDescent="0.3">
      <c r="A773"/>
      <c r="B773"/>
      <c r="C773" s="2"/>
      <c r="D773" s="2"/>
    </row>
    <row r="774" spans="1:4" x14ac:dyDescent="0.3">
      <c r="A774"/>
      <c r="B774"/>
      <c r="C774" s="2"/>
      <c r="D774" s="2"/>
    </row>
    <row r="775" spans="1:4" x14ac:dyDescent="0.3">
      <c r="A775"/>
      <c r="B775"/>
      <c r="C775" s="2"/>
      <c r="D775" s="2"/>
    </row>
    <row r="776" spans="1:4" x14ac:dyDescent="0.3">
      <c r="A776"/>
      <c r="B776"/>
      <c r="C776" s="2"/>
      <c r="D776" s="2"/>
    </row>
    <row r="777" spans="1:4" x14ac:dyDescent="0.3">
      <c r="A777"/>
      <c r="B777"/>
      <c r="C777" s="2"/>
      <c r="D777" s="2"/>
    </row>
    <row r="778" spans="1:4" x14ac:dyDescent="0.3">
      <c r="A778"/>
      <c r="B778"/>
      <c r="C778" s="2"/>
      <c r="D778" s="2"/>
    </row>
    <row r="779" spans="1:4" x14ac:dyDescent="0.3">
      <c r="A779"/>
      <c r="B779"/>
      <c r="C779" s="2"/>
      <c r="D779" s="2"/>
    </row>
    <row r="780" spans="1:4" x14ac:dyDescent="0.3">
      <c r="A780"/>
      <c r="B780"/>
      <c r="C780" s="2"/>
      <c r="D780" s="2"/>
    </row>
    <row r="781" spans="1:4" x14ac:dyDescent="0.3">
      <c r="A781"/>
      <c r="B781"/>
      <c r="C781" s="2"/>
      <c r="D781" s="2"/>
    </row>
    <row r="782" spans="1:4" x14ac:dyDescent="0.3">
      <c r="A782"/>
      <c r="B782"/>
      <c r="C782" s="2"/>
      <c r="D782" s="2"/>
    </row>
    <row r="783" spans="1:4" x14ac:dyDescent="0.3">
      <c r="A783"/>
      <c r="B783"/>
      <c r="C783" s="2"/>
      <c r="D783" s="2"/>
    </row>
    <row r="784" spans="1:4" x14ac:dyDescent="0.3">
      <c r="A784"/>
      <c r="B784"/>
      <c r="C784" s="2"/>
      <c r="D784" s="2"/>
    </row>
    <row r="785" spans="1:4" x14ac:dyDescent="0.3">
      <c r="A785"/>
      <c r="B785"/>
      <c r="C785" s="2"/>
      <c r="D785" s="2"/>
    </row>
    <row r="786" spans="1:4" x14ac:dyDescent="0.3">
      <c r="A786"/>
      <c r="B786"/>
      <c r="C786" s="2"/>
      <c r="D786" s="2"/>
    </row>
    <row r="787" spans="1:4" x14ac:dyDescent="0.3">
      <c r="A787"/>
      <c r="B787"/>
      <c r="C787" s="2"/>
      <c r="D787" s="2"/>
    </row>
    <row r="788" spans="1:4" x14ac:dyDescent="0.3">
      <c r="A788"/>
      <c r="B788"/>
      <c r="C788" s="2"/>
      <c r="D788" s="2"/>
    </row>
    <row r="789" spans="1:4" x14ac:dyDescent="0.3">
      <c r="A789"/>
      <c r="B789"/>
      <c r="C789" s="2"/>
      <c r="D789" s="2"/>
    </row>
    <row r="790" spans="1:4" x14ac:dyDescent="0.3">
      <c r="A790"/>
      <c r="B790"/>
      <c r="C790" s="2"/>
      <c r="D790" s="2"/>
    </row>
    <row r="791" spans="1:4" x14ac:dyDescent="0.3">
      <c r="A791"/>
      <c r="B791"/>
      <c r="C791" s="2"/>
      <c r="D791" s="2"/>
    </row>
    <row r="792" spans="1:4" x14ac:dyDescent="0.3">
      <c r="A792"/>
      <c r="B792"/>
      <c r="C792" s="2"/>
      <c r="D792" s="2"/>
    </row>
    <row r="793" spans="1:4" x14ac:dyDescent="0.3">
      <c r="A793"/>
      <c r="B793"/>
      <c r="C793" s="2"/>
      <c r="D793" s="2"/>
    </row>
    <row r="794" spans="1:4" x14ac:dyDescent="0.3">
      <c r="A794"/>
      <c r="B794"/>
      <c r="C794" s="2"/>
      <c r="D794" s="2"/>
    </row>
    <row r="795" spans="1:4" x14ac:dyDescent="0.3">
      <c r="A795"/>
      <c r="B795"/>
      <c r="C795" s="2"/>
      <c r="D795" s="2"/>
    </row>
    <row r="796" spans="1:4" x14ac:dyDescent="0.3">
      <c r="A796"/>
      <c r="B796"/>
      <c r="C796" s="2"/>
      <c r="D796" s="2"/>
    </row>
    <row r="797" spans="1:4" x14ac:dyDescent="0.3">
      <c r="A797"/>
      <c r="B797"/>
      <c r="C797" s="2"/>
      <c r="D797" s="2"/>
    </row>
    <row r="798" spans="1:4" x14ac:dyDescent="0.3">
      <c r="A798"/>
      <c r="B798"/>
      <c r="C798" s="2"/>
      <c r="D798" s="2"/>
    </row>
    <row r="799" spans="1:4" x14ac:dyDescent="0.3">
      <c r="A799"/>
      <c r="B799"/>
      <c r="C799" s="2"/>
      <c r="D799" s="2"/>
    </row>
    <row r="800" spans="1:4" x14ac:dyDescent="0.3">
      <c r="A800"/>
      <c r="B800"/>
      <c r="C800" s="2"/>
      <c r="D800" s="2"/>
    </row>
    <row r="801" spans="1:4" x14ac:dyDescent="0.3">
      <c r="A801"/>
      <c r="B801"/>
      <c r="C801" s="2"/>
      <c r="D801" s="2"/>
    </row>
    <row r="802" spans="1:4" x14ac:dyDescent="0.3">
      <c r="A802"/>
      <c r="B802"/>
      <c r="C802" s="2"/>
      <c r="D802" s="2"/>
    </row>
    <row r="803" spans="1:4" x14ac:dyDescent="0.3">
      <c r="A803"/>
      <c r="B803"/>
      <c r="C803" s="2"/>
      <c r="D803" s="2"/>
    </row>
    <row r="804" spans="1:4" x14ac:dyDescent="0.3">
      <c r="A804"/>
      <c r="B804"/>
      <c r="C804" s="2"/>
      <c r="D804" s="2"/>
    </row>
    <row r="805" spans="1:4" x14ac:dyDescent="0.3">
      <c r="A805"/>
      <c r="B805"/>
      <c r="C805" s="2"/>
      <c r="D805" s="2"/>
    </row>
    <row r="806" spans="1:4" x14ac:dyDescent="0.3">
      <c r="A806"/>
      <c r="B806"/>
      <c r="C806" s="2"/>
      <c r="D806" s="2"/>
    </row>
    <row r="807" spans="1:4" x14ac:dyDescent="0.3">
      <c r="A807"/>
      <c r="B807"/>
      <c r="C807" s="2"/>
      <c r="D807" s="2"/>
    </row>
    <row r="808" spans="1:4" x14ac:dyDescent="0.3">
      <c r="A808"/>
      <c r="B808"/>
      <c r="C808" s="2"/>
      <c r="D808" s="2"/>
    </row>
    <row r="809" spans="1:4" x14ac:dyDescent="0.3">
      <c r="A809"/>
      <c r="B809"/>
      <c r="C809" s="2"/>
      <c r="D809" s="2"/>
    </row>
    <row r="810" spans="1:4" x14ac:dyDescent="0.3">
      <c r="A810"/>
      <c r="B810"/>
      <c r="C810" s="2"/>
      <c r="D810" s="2"/>
    </row>
    <row r="811" spans="1:4" x14ac:dyDescent="0.3">
      <c r="A811"/>
      <c r="B811"/>
      <c r="C811" s="2"/>
      <c r="D811" s="2"/>
    </row>
    <row r="812" spans="1:4" x14ac:dyDescent="0.3">
      <c r="A812"/>
      <c r="B812"/>
      <c r="C812" s="2"/>
      <c r="D812" s="2"/>
    </row>
    <row r="813" spans="1:4" x14ac:dyDescent="0.3">
      <c r="A813"/>
      <c r="B813"/>
      <c r="C813" s="2"/>
      <c r="D813" s="2"/>
    </row>
    <row r="814" spans="1:4" x14ac:dyDescent="0.3">
      <c r="A814"/>
      <c r="B814"/>
      <c r="C814" s="2"/>
      <c r="D814" s="2"/>
    </row>
    <row r="815" spans="1:4" x14ac:dyDescent="0.3">
      <c r="A815"/>
      <c r="B815"/>
      <c r="C815" s="2"/>
      <c r="D815" s="2"/>
    </row>
    <row r="816" spans="1:4" x14ac:dyDescent="0.3">
      <c r="A816"/>
      <c r="B816"/>
      <c r="C816" s="2"/>
      <c r="D816" s="2"/>
    </row>
    <row r="817" spans="1:4" x14ac:dyDescent="0.3">
      <c r="A817"/>
      <c r="B817"/>
      <c r="C817" s="2"/>
      <c r="D817" s="2"/>
    </row>
    <row r="818" spans="1:4" x14ac:dyDescent="0.3">
      <c r="A818"/>
      <c r="B818"/>
      <c r="C818" s="2"/>
      <c r="D818" s="2"/>
    </row>
    <row r="819" spans="1:4" x14ac:dyDescent="0.3">
      <c r="A819"/>
      <c r="B819"/>
      <c r="C819" s="2"/>
      <c r="D819" s="2"/>
    </row>
    <row r="820" spans="1:4" x14ac:dyDescent="0.3">
      <c r="A820"/>
      <c r="B820"/>
      <c r="C820" s="2"/>
      <c r="D820" s="2"/>
    </row>
    <row r="821" spans="1:4" x14ac:dyDescent="0.3">
      <c r="A821"/>
      <c r="B821"/>
      <c r="C821" s="2"/>
      <c r="D821" s="2"/>
    </row>
    <row r="822" spans="1:4" x14ac:dyDescent="0.3">
      <c r="A822"/>
      <c r="B822"/>
      <c r="C822" s="2"/>
      <c r="D822" s="2"/>
    </row>
    <row r="823" spans="1:4" x14ac:dyDescent="0.3">
      <c r="A823"/>
      <c r="B823"/>
      <c r="C823" s="2"/>
      <c r="D823" s="2"/>
    </row>
    <row r="824" spans="1:4" x14ac:dyDescent="0.3">
      <c r="A824"/>
      <c r="B824"/>
      <c r="C824" s="2"/>
      <c r="D824" s="2"/>
    </row>
    <row r="825" spans="1:4" x14ac:dyDescent="0.3">
      <c r="A825"/>
      <c r="B825"/>
      <c r="C825" s="2"/>
      <c r="D825" s="2"/>
    </row>
    <row r="826" spans="1:4" x14ac:dyDescent="0.3">
      <c r="A826"/>
      <c r="B826"/>
      <c r="C826" s="2"/>
      <c r="D826" s="2"/>
    </row>
    <row r="827" spans="1:4" x14ac:dyDescent="0.3">
      <c r="A827"/>
      <c r="B827"/>
      <c r="C827" s="2"/>
      <c r="D827" s="2"/>
    </row>
    <row r="828" spans="1:4" x14ac:dyDescent="0.3">
      <c r="A828"/>
      <c r="B828"/>
      <c r="C828" s="2"/>
      <c r="D828" s="2"/>
    </row>
    <row r="829" spans="1:4" x14ac:dyDescent="0.3">
      <c r="A829"/>
      <c r="B829"/>
      <c r="C829" s="2"/>
      <c r="D829" s="2"/>
    </row>
    <row r="830" spans="1:4" x14ac:dyDescent="0.3">
      <c r="A830"/>
      <c r="B830"/>
      <c r="C830" s="2"/>
      <c r="D830" s="2"/>
    </row>
    <row r="831" spans="1:4" x14ac:dyDescent="0.3">
      <c r="A831"/>
      <c r="B831"/>
      <c r="C831" s="2"/>
      <c r="D831" s="2"/>
    </row>
    <row r="832" spans="1:4" x14ac:dyDescent="0.3">
      <c r="A832"/>
      <c r="B832"/>
      <c r="C832" s="2"/>
      <c r="D832" s="2"/>
    </row>
    <row r="833" spans="1:4" x14ac:dyDescent="0.3">
      <c r="A833"/>
      <c r="B833"/>
      <c r="C833" s="2"/>
      <c r="D833" s="2"/>
    </row>
    <row r="834" spans="1:4" x14ac:dyDescent="0.3">
      <c r="A834"/>
      <c r="B834"/>
      <c r="C834" s="2"/>
      <c r="D834" s="2"/>
    </row>
    <row r="835" spans="1:4" x14ac:dyDescent="0.3">
      <c r="A835"/>
      <c r="B835"/>
      <c r="C835" s="2"/>
      <c r="D835" s="2"/>
    </row>
    <row r="836" spans="1:4" x14ac:dyDescent="0.3">
      <c r="A836"/>
      <c r="B836"/>
      <c r="C836" s="2"/>
      <c r="D836" s="2"/>
    </row>
    <row r="837" spans="1:4" x14ac:dyDescent="0.3">
      <c r="A837"/>
      <c r="B837"/>
      <c r="C837" s="2"/>
      <c r="D837" s="2"/>
    </row>
    <row r="838" spans="1:4" x14ac:dyDescent="0.3">
      <c r="A838"/>
      <c r="B838"/>
      <c r="C838" s="2"/>
      <c r="D838" s="2"/>
    </row>
    <row r="839" spans="1:4" x14ac:dyDescent="0.3">
      <c r="A839"/>
      <c r="B839"/>
      <c r="C839" s="2"/>
      <c r="D839" s="2"/>
    </row>
    <row r="840" spans="1:4" x14ac:dyDescent="0.3">
      <c r="A840"/>
      <c r="B840"/>
      <c r="C840" s="2"/>
      <c r="D840" s="2"/>
    </row>
    <row r="841" spans="1:4" x14ac:dyDescent="0.3">
      <c r="A841"/>
      <c r="B841"/>
      <c r="C841" s="2"/>
      <c r="D841" s="2"/>
    </row>
    <row r="842" spans="1:4" x14ac:dyDescent="0.3">
      <c r="A842"/>
      <c r="B842"/>
      <c r="C842" s="2"/>
      <c r="D842" s="2"/>
    </row>
    <row r="843" spans="1:4" x14ac:dyDescent="0.3">
      <c r="A843"/>
      <c r="B843"/>
      <c r="C843" s="2"/>
      <c r="D843" s="2"/>
    </row>
    <row r="844" spans="1:4" x14ac:dyDescent="0.3">
      <c r="A844"/>
      <c r="B844"/>
      <c r="C844" s="2"/>
      <c r="D844" s="2"/>
    </row>
    <row r="845" spans="1:4" x14ac:dyDescent="0.3">
      <c r="A845"/>
      <c r="B845"/>
      <c r="C845" s="2"/>
      <c r="D845" s="2"/>
    </row>
    <row r="846" spans="1:4" x14ac:dyDescent="0.3">
      <c r="A846"/>
      <c r="B846"/>
      <c r="C846" s="2"/>
      <c r="D846" s="2"/>
    </row>
    <row r="847" spans="1:4" x14ac:dyDescent="0.3">
      <c r="A847"/>
      <c r="B847"/>
      <c r="C847" s="2"/>
      <c r="D847" s="2"/>
    </row>
    <row r="848" spans="1:4" x14ac:dyDescent="0.3">
      <c r="A848"/>
      <c r="B848"/>
      <c r="C848" s="2"/>
      <c r="D848" s="2"/>
    </row>
    <row r="849" spans="1:4" x14ac:dyDescent="0.3">
      <c r="A849"/>
      <c r="B849"/>
      <c r="C849" s="2"/>
      <c r="D849" s="2"/>
    </row>
    <row r="850" spans="1:4" x14ac:dyDescent="0.3">
      <c r="A850"/>
      <c r="B850"/>
      <c r="C850" s="2"/>
      <c r="D850" s="2"/>
    </row>
    <row r="851" spans="1:4" x14ac:dyDescent="0.3">
      <c r="A851"/>
      <c r="B851"/>
      <c r="C851" s="2"/>
      <c r="D851" s="2"/>
    </row>
    <row r="852" spans="1:4" x14ac:dyDescent="0.3">
      <c r="A852"/>
      <c r="B852"/>
      <c r="C852" s="2"/>
      <c r="D852" s="2"/>
    </row>
    <row r="853" spans="1:4" x14ac:dyDescent="0.3">
      <c r="A853"/>
      <c r="B853"/>
      <c r="C853" s="2"/>
      <c r="D853" s="2"/>
    </row>
    <row r="854" spans="1:4" x14ac:dyDescent="0.3">
      <c r="A854"/>
      <c r="B854"/>
      <c r="C854" s="2"/>
      <c r="D854" s="2"/>
    </row>
    <row r="855" spans="1:4" x14ac:dyDescent="0.3">
      <c r="A855"/>
      <c r="B855"/>
      <c r="C855" s="2"/>
      <c r="D855" s="2"/>
    </row>
    <row r="856" spans="1:4" x14ac:dyDescent="0.3">
      <c r="A856"/>
      <c r="B856"/>
      <c r="C856" s="2"/>
      <c r="D856" s="2"/>
    </row>
    <row r="857" spans="1:4" x14ac:dyDescent="0.3">
      <c r="A857"/>
      <c r="B857"/>
      <c r="C857" s="2"/>
      <c r="D857" s="2"/>
    </row>
    <row r="858" spans="1:4" x14ac:dyDescent="0.3">
      <c r="A858"/>
      <c r="B858"/>
      <c r="C858" s="2"/>
      <c r="D858" s="2"/>
    </row>
    <row r="859" spans="1:4" x14ac:dyDescent="0.3">
      <c r="A859"/>
      <c r="B859"/>
      <c r="C859" s="2"/>
      <c r="D859" s="2"/>
    </row>
    <row r="860" spans="1:4" x14ac:dyDescent="0.3">
      <c r="A860"/>
      <c r="B860"/>
      <c r="C860" s="2"/>
      <c r="D860" s="2"/>
    </row>
    <row r="861" spans="1:4" x14ac:dyDescent="0.3">
      <c r="A861"/>
      <c r="B861"/>
      <c r="C861" s="2"/>
      <c r="D861" s="2"/>
    </row>
    <row r="862" spans="1:4" x14ac:dyDescent="0.3">
      <c r="A862"/>
      <c r="B862"/>
      <c r="C862" s="2"/>
      <c r="D862" s="2"/>
    </row>
    <row r="863" spans="1:4" x14ac:dyDescent="0.3">
      <c r="A863"/>
      <c r="B863"/>
      <c r="C863" s="2"/>
      <c r="D863" s="2"/>
    </row>
    <row r="864" spans="1:4" x14ac:dyDescent="0.3">
      <c r="A864"/>
      <c r="B864"/>
      <c r="C864" s="2"/>
      <c r="D864" s="2"/>
    </row>
    <row r="865" spans="1:4" x14ac:dyDescent="0.3">
      <c r="A865"/>
      <c r="B865"/>
      <c r="C865" s="2"/>
      <c r="D865" s="2"/>
    </row>
    <row r="866" spans="1:4" x14ac:dyDescent="0.3">
      <c r="A866"/>
      <c r="B866"/>
      <c r="C866" s="2"/>
      <c r="D866" s="2"/>
    </row>
    <row r="867" spans="1:4" x14ac:dyDescent="0.3">
      <c r="A867"/>
      <c r="B867"/>
      <c r="C867" s="2"/>
      <c r="D867" s="2"/>
    </row>
    <row r="868" spans="1:4" x14ac:dyDescent="0.3">
      <c r="A868"/>
      <c r="B868"/>
      <c r="C868" s="2"/>
      <c r="D868" s="2"/>
    </row>
    <row r="869" spans="1:4" x14ac:dyDescent="0.3">
      <c r="A869"/>
      <c r="B869"/>
      <c r="C869" s="2"/>
      <c r="D869" s="2"/>
    </row>
    <row r="870" spans="1:4" x14ac:dyDescent="0.3">
      <c r="A870"/>
      <c r="B870"/>
      <c r="C870" s="2"/>
      <c r="D870" s="2"/>
    </row>
    <row r="871" spans="1:4" x14ac:dyDescent="0.3">
      <c r="A871"/>
      <c r="B871"/>
      <c r="C871" s="2"/>
      <c r="D871" s="2"/>
    </row>
    <row r="872" spans="1:4" x14ac:dyDescent="0.3">
      <c r="A872"/>
      <c r="B872"/>
      <c r="C872" s="2"/>
      <c r="D872" s="2"/>
    </row>
    <row r="873" spans="1:4" x14ac:dyDescent="0.3">
      <c r="A873"/>
      <c r="B873"/>
      <c r="C873" s="2"/>
      <c r="D873" s="2"/>
    </row>
    <row r="874" spans="1:4" x14ac:dyDescent="0.3">
      <c r="A874"/>
      <c r="B874"/>
      <c r="C874" s="2"/>
      <c r="D874" s="2"/>
    </row>
    <row r="875" spans="1:4" x14ac:dyDescent="0.3">
      <c r="A875"/>
      <c r="B875"/>
      <c r="C875" s="2"/>
      <c r="D875" s="2"/>
    </row>
    <row r="876" spans="1:4" x14ac:dyDescent="0.3">
      <c r="A876"/>
      <c r="B876"/>
      <c r="C876" s="2"/>
      <c r="D876" s="2"/>
    </row>
    <row r="877" spans="1:4" x14ac:dyDescent="0.3">
      <c r="A877"/>
      <c r="B877"/>
      <c r="C877" s="2"/>
      <c r="D877" s="2"/>
    </row>
    <row r="878" spans="1:4" x14ac:dyDescent="0.3">
      <c r="A878"/>
      <c r="B878"/>
      <c r="C878" s="2"/>
      <c r="D878" s="2"/>
    </row>
    <row r="879" spans="1:4" x14ac:dyDescent="0.3">
      <c r="A879"/>
      <c r="B879"/>
      <c r="C879" s="2"/>
      <c r="D879" s="2"/>
    </row>
    <row r="880" spans="1:4" x14ac:dyDescent="0.3">
      <c r="A880"/>
      <c r="B880"/>
      <c r="C880" s="2"/>
      <c r="D880" s="2"/>
    </row>
    <row r="881" spans="1:4" x14ac:dyDescent="0.3">
      <c r="A881"/>
      <c r="B881"/>
      <c r="C881" s="2"/>
      <c r="D881" s="2"/>
    </row>
    <row r="882" spans="1:4" x14ac:dyDescent="0.3">
      <c r="A882"/>
      <c r="B882"/>
      <c r="C882" s="2"/>
      <c r="D882" s="2"/>
    </row>
    <row r="883" spans="1:4" x14ac:dyDescent="0.3">
      <c r="A883"/>
      <c r="B883"/>
      <c r="C883" s="2"/>
      <c r="D883" s="2"/>
    </row>
    <row r="884" spans="1:4" x14ac:dyDescent="0.3">
      <c r="A884"/>
      <c r="B884"/>
      <c r="C884" s="2"/>
      <c r="D884" s="2"/>
    </row>
    <row r="885" spans="1:4" x14ac:dyDescent="0.3">
      <c r="A885"/>
      <c r="B885"/>
      <c r="C885" s="2"/>
      <c r="D885" s="2"/>
    </row>
    <row r="886" spans="1:4" x14ac:dyDescent="0.3">
      <c r="A886"/>
      <c r="B886"/>
      <c r="C886" s="2"/>
      <c r="D886" s="2"/>
    </row>
    <row r="887" spans="1:4" x14ac:dyDescent="0.3">
      <c r="A887"/>
      <c r="B887"/>
      <c r="C887" s="2"/>
      <c r="D887" s="2"/>
    </row>
    <row r="888" spans="1:4" x14ac:dyDescent="0.3">
      <c r="A888"/>
      <c r="B888"/>
      <c r="C888" s="2"/>
      <c r="D888" s="2"/>
    </row>
    <row r="889" spans="1:4" x14ac:dyDescent="0.3">
      <c r="A889"/>
      <c r="B889"/>
      <c r="C889" s="2"/>
      <c r="D889" s="2"/>
    </row>
    <row r="890" spans="1:4" x14ac:dyDescent="0.3">
      <c r="A890"/>
      <c r="B890"/>
      <c r="C890" s="2"/>
      <c r="D890" s="2"/>
    </row>
    <row r="891" spans="1:4" x14ac:dyDescent="0.3">
      <c r="A891"/>
      <c r="B891"/>
      <c r="C891" s="2"/>
      <c r="D891" s="2"/>
    </row>
    <row r="892" spans="1:4" x14ac:dyDescent="0.3">
      <c r="A892"/>
      <c r="B892"/>
      <c r="C892" s="2"/>
      <c r="D892" s="2"/>
    </row>
    <row r="893" spans="1:4" x14ac:dyDescent="0.3">
      <c r="A893"/>
      <c r="B893"/>
      <c r="C893" s="2"/>
      <c r="D893" s="2"/>
    </row>
    <row r="894" spans="1:4" x14ac:dyDescent="0.3">
      <c r="A894"/>
      <c r="B894"/>
      <c r="C894" s="2"/>
      <c r="D894" s="2"/>
    </row>
    <row r="895" spans="1:4" x14ac:dyDescent="0.3">
      <c r="A895"/>
      <c r="B895"/>
      <c r="C895" s="2"/>
      <c r="D895" s="2"/>
    </row>
    <row r="896" spans="1:4" x14ac:dyDescent="0.3">
      <c r="A896"/>
      <c r="B896"/>
      <c r="C896" s="2"/>
      <c r="D896" s="2"/>
    </row>
    <row r="897" spans="1:4" x14ac:dyDescent="0.3">
      <c r="A897"/>
      <c r="B897"/>
      <c r="C897" s="2"/>
      <c r="D897" s="2"/>
    </row>
    <row r="898" spans="1:4" x14ac:dyDescent="0.3">
      <c r="A898"/>
      <c r="B898"/>
      <c r="C898" s="2"/>
      <c r="D898" s="2"/>
    </row>
    <row r="899" spans="1:4" x14ac:dyDescent="0.3">
      <c r="A899"/>
      <c r="B899"/>
      <c r="C899" s="2"/>
      <c r="D899" s="2"/>
    </row>
    <row r="900" spans="1:4" x14ac:dyDescent="0.3">
      <c r="A900"/>
      <c r="B900"/>
      <c r="C900" s="2"/>
      <c r="D900" s="2"/>
    </row>
    <row r="901" spans="1:4" x14ac:dyDescent="0.3">
      <c r="A901"/>
      <c r="B901"/>
      <c r="C901" s="2"/>
      <c r="D901" s="2"/>
    </row>
    <row r="902" spans="1:4" x14ac:dyDescent="0.3">
      <c r="A902"/>
      <c r="B902"/>
      <c r="C902" s="2"/>
      <c r="D902" s="2"/>
    </row>
    <row r="903" spans="1:4" x14ac:dyDescent="0.3">
      <c r="A903"/>
      <c r="B903"/>
      <c r="C903" s="2"/>
      <c r="D903" s="2"/>
    </row>
    <row r="904" spans="1:4" x14ac:dyDescent="0.3">
      <c r="A904"/>
      <c r="B904"/>
      <c r="C904" s="2"/>
      <c r="D904" s="2"/>
    </row>
    <row r="905" spans="1:4" x14ac:dyDescent="0.3">
      <c r="A905"/>
      <c r="B905"/>
      <c r="C905" s="2"/>
      <c r="D905" s="2"/>
    </row>
    <row r="906" spans="1:4" x14ac:dyDescent="0.3">
      <c r="A906"/>
      <c r="B906"/>
      <c r="C906" s="2"/>
      <c r="D906" s="2"/>
    </row>
    <row r="907" spans="1:4" x14ac:dyDescent="0.3">
      <c r="A907"/>
      <c r="B907"/>
      <c r="C907" s="2"/>
      <c r="D907" s="2"/>
    </row>
    <row r="908" spans="1:4" x14ac:dyDescent="0.3">
      <c r="A908"/>
      <c r="B908"/>
      <c r="C908" s="2"/>
      <c r="D908" s="2"/>
    </row>
    <row r="909" spans="1:4" x14ac:dyDescent="0.3">
      <c r="A909"/>
      <c r="B909"/>
      <c r="C909" s="2"/>
      <c r="D909" s="2"/>
    </row>
    <row r="910" spans="1:4" x14ac:dyDescent="0.3">
      <c r="A910"/>
      <c r="B910"/>
      <c r="C910" s="2"/>
      <c r="D910" s="2"/>
    </row>
    <row r="911" spans="1:4" x14ac:dyDescent="0.3">
      <c r="A911"/>
      <c r="B911"/>
      <c r="C911" s="2"/>
      <c r="D911" s="2"/>
    </row>
    <row r="912" spans="1:4" x14ac:dyDescent="0.3">
      <c r="A912"/>
      <c r="B912"/>
      <c r="C912" s="2"/>
      <c r="D912" s="2"/>
    </row>
    <row r="913" spans="1:4" x14ac:dyDescent="0.3">
      <c r="A913"/>
      <c r="B913"/>
      <c r="C913" s="2"/>
      <c r="D913" s="2"/>
    </row>
    <row r="914" spans="1:4" x14ac:dyDescent="0.3">
      <c r="A914"/>
      <c r="B914"/>
      <c r="C914" s="2"/>
      <c r="D914" s="2"/>
    </row>
    <row r="915" spans="1:4" x14ac:dyDescent="0.3">
      <c r="A915"/>
      <c r="B915"/>
      <c r="C915" s="2"/>
      <c r="D915" s="2"/>
    </row>
    <row r="916" spans="1:4" x14ac:dyDescent="0.3">
      <c r="A916"/>
      <c r="B916"/>
      <c r="C916" s="2"/>
      <c r="D916" s="2"/>
    </row>
    <row r="917" spans="1:4" x14ac:dyDescent="0.3">
      <c r="A917"/>
      <c r="B917"/>
      <c r="C917" s="2"/>
      <c r="D917" s="2"/>
    </row>
    <row r="918" spans="1:4" x14ac:dyDescent="0.3">
      <c r="A918"/>
      <c r="B918"/>
      <c r="C918" s="2"/>
      <c r="D918" s="2"/>
    </row>
    <row r="919" spans="1:4" x14ac:dyDescent="0.3">
      <c r="A919"/>
      <c r="B919"/>
      <c r="C919" s="2"/>
      <c r="D919" s="2"/>
    </row>
    <row r="920" spans="1:4" x14ac:dyDescent="0.3">
      <c r="A920"/>
      <c r="B920"/>
      <c r="C920" s="2"/>
      <c r="D920" s="2"/>
    </row>
    <row r="921" spans="1:4" x14ac:dyDescent="0.3">
      <c r="A921"/>
      <c r="B921"/>
      <c r="C921" s="2"/>
      <c r="D921" s="2"/>
    </row>
    <row r="922" spans="1:4" x14ac:dyDescent="0.3">
      <c r="A922"/>
      <c r="B922"/>
      <c r="C922" s="2"/>
      <c r="D922" s="2"/>
    </row>
    <row r="923" spans="1:4" x14ac:dyDescent="0.3">
      <c r="A923"/>
      <c r="B923"/>
      <c r="C923" s="2"/>
      <c r="D923" s="2"/>
    </row>
    <row r="924" spans="1:4" x14ac:dyDescent="0.3">
      <c r="A924"/>
      <c r="B924"/>
      <c r="C924" s="2"/>
      <c r="D924" s="2"/>
    </row>
    <row r="925" spans="1:4" x14ac:dyDescent="0.3">
      <c r="A925"/>
      <c r="B925"/>
      <c r="C925" s="2"/>
      <c r="D925" s="2"/>
    </row>
    <row r="926" spans="1:4" x14ac:dyDescent="0.3">
      <c r="A926"/>
      <c r="B926"/>
      <c r="C926" s="2"/>
      <c r="D926" s="2"/>
    </row>
    <row r="927" spans="1:4" x14ac:dyDescent="0.3">
      <c r="A927"/>
      <c r="B927"/>
      <c r="C927" s="2"/>
      <c r="D927" s="2"/>
    </row>
    <row r="928" spans="1:4" x14ac:dyDescent="0.3">
      <c r="A928"/>
      <c r="B928"/>
      <c r="C928" s="2"/>
      <c r="D928" s="2"/>
    </row>
    <row r="929" spans="1:4" x14ac:dyDescent="0.3">
      <c r="A929"/>
      <c r="B929"/>
      <c r="C929" s="2"/>
      <c r="D929" s="2"/>
    </row>
    <row r="930" spans="1:4" x14ac:dyDescent="0.3">
      <c r="A930"/>
      <c r="B930"/>
      <c r="C930" s="2"/>
      <c r="D930" s="2"/>
    </row>
    <row r="931" spans="1:4" x14ac:dyDescent="0.3">
      <c r="A931"/>
      <c r="B931"/>
      <c r="C931" s="2"/>
      <c r="D931" s="2"/>
    </row>
    <row r="932" spans="1:4" x14ac:dyDescent="0.3">
      <c r="A932"/>
      <c r="B932"/>
      <c r="C932" s="2"/>
      <c r="D932" s="2"/>
    </row>
    <row r="933" spans="1:4" x14ac:dyDescent="0.3">
      <c r="A933"/>
      <c r="B933"/>
      <c r="C933" s="2"/>
      <c r="D933" s="2"/>
    </row>
    <row r="934" spans="1:4" x14ac:dyDescent="0.3">
      <c r="A934"/>
      <c r="B934"/>
      <c r="C934" s="2"/>
      <c r="D934" s="2"/>
    </row>
    <row r="935" spans="1:4" x14ac:dyDescent="0.3">
      <c r="A935"/>
      <c r="B935"/>
      <c r="C935" s="2"/>
      <c r="D935" s="2"/>
    </row>
    <row r="936" spans="1:4" x14ac:dyDescent="0.3">
      <c r="A936"/>
      <c r="B936"/>
      <c r="C936" s="2"/>
      <c r="D936" s="2"/>
    </row>
    <row r="937" spans="1:4" x14ac:dyDescent="0.3">
      <c r="A937"/>
      <c r="B937"/>
      <c r="C937" s="2"/>
      <c r="D937" s="2"/>
    </row>
    <row r="938" spans="1:4" x14ac:dyDescent="0.3">
      <c r="A938"/>
      <c r="B938"/>
      <c r="C938" s="2"/>
      <c r="D938" s="2"/>
    </row>
    <row r="939" spans="1:4" x14ac:dyDescent="0.3">
      <c r="A939"/>
      <c r="B939"/>
      <c r="C939" s="2"/>
      <c r="D939" s="2"/>
    </row>
    <row r="940" spans="1:4" x14ac:dyDescent="0.3">
      <c r="A940"/>
      <c r="B940"/>
      <c r="C940" s="2"/>
      <c r="D940" s="2"/>
    </row>
    <row r="941" spans="1:4" x14ac:dyDescent="0.3">
      <c r="A941"/>
      <c r="B941"/>
      <c r="C941" s="2"/>
      <c r="D941" s="2"/>
    </row>
    <row r="942" spans="1:4" x14ac:dyDescent="0.3">
      <c r="A942"/>
      <c r="B942"/>
      <c r="C942" s="2"/>
      <c r="D942" s="2"/>
    </row>
    <row r="943" spans="1:4" x14ac:dyDescent="0.3">
      <c r="A943"/>
      <c r="B943"/>
      <c r="C943" s="2"/>
      <c r="D943" s="2"/>
    </row>
    <row r="944" spans="1:4" x14ac:dyDescent="0.3">
      <c r="A944"/>
      <c r="B944"/>
      <c r="C944" s="2"/>
      <c r="D944" s="2"/>
    </row>
    <row r="945" spans="1:4" x14ac:dyDescent="0.3">
      <c r="A945"/>
      <c r="B945"/>
      <c r="C945" s="2"/>
      <c r="D945" s="2"/>
    </row>
    <row r="946" spans="1:4" x14ac:dyDescent="0.3">
      <c r="A946"/>
      <c r="B946"/>
      <c r="C946" s="2"/>
      <c r="D946" s="2"/>
    </row>
    <row r="947" spans="1:4" x14ac:dyDescent="0.3">
      <c r="A947"/>
      <c r="B947"/>
      <c r="C947" s="2"/>
      <c r="D947" s="2"/>
    </row>
    <row r="948" spans="1:4" x14ac:dyDescent="0.3">
      <c r="A948"/>
      <c r="B948"/>
      <c r="C948" s="2"/>
      <c r="D948" s="2"/>
    </row>
    <row r="949" spans="1:4" x14ac:dyDescent="0.3">
      <c r="A949"/>
      <c r="B949"/>
      <c r="C949" s="2"/>
      <c r="D949" s="2"/>
    </row>
    <row r="950" spans="1:4" x14ac:dyDescent="0.3">
      <c r="A950"/>
      <c r="B950"/>
      <c r="C950" s="2"/>
      <c r="D950" s="2"/>
    </row>
    <row r="951" spans="1:4" x14ac:dyDescent="0.3">
      <c r="A951"/>
      <c r="B951"/>
      <c r="C951" s="2"/>
      <c r="D951" s="2"/>
    </row>
    <row r="952" spans="1:4" x14ac:dyDescent="0.3">
      <c r="A952"/>
      <c r="B952"/>
      <c r="C952" s="2"/>
      <c r="D952" s="2"/>
    </row>
    <row r="953" spans="1:4" x14ac:dyDescent="0.3">
      <c r="A953"/>
      <c r="B953"/>
      <c r="C953" s="2"/>
      <c r="D953" s="2"/>
    </row>
    <row r="954" spans="1:4" x14ac:dyDescent="0.3">
      <c r="A954"/>
      <c r="B954"/>
      <c r="C954" s="2"/>
      <c r="D954" s="2"/>
    </row>
    <row r="955" spans="1:4" x14ac:dyDescent="0.3">
      <c r="A955"/>
      <c r="B955"/>
      <c r="C955" s="2"/>
      <c r="D955" s="2"/>
    </row>
    <row r="956" spans="1:4" x14ac:dyDescent="0.3">
      <c r="A956"/>
      <c r="B956"/>
      <c r="C956" s="2"/>
      <c r="D956" s="2"/>
    </row>
    <row r="957" spans="1:4" x14ac:dyDescent="0.3">
      <c r="A957"/>
      <c r="B957"/>
      <c r="C957" s="2"/>
      <c r="D957" s="2"/>
    </row>
    <row r="958" spans="1:4" x14ac:dyDescent="0.3">
      <c r="A958"/>
      <c r="B958"/>
      <c r="C958" s="2"/>
      <c r="D958" s="2"/>
    </row>
    <row r="959" spans="1:4" x14ac:dyDescent="0.3">
      <c r="A959"/>
      <c r="B959"/>
      <c r="C959" s="2"/>
      <c r="D959" s="2"/>
    </row>
    <row r="960" spans="1:4" x14ac:dyDescent="0.3">
      <c r="A960"/>
      <c r="B960"/>
      <c r="C960" s="2"/>
      <c r="D960" s="2"/>
    </row>
    <row r="961" spans="1:4" x14ac:dyDescent="0.3">
      <c r="A961"/>
      <c r="B961"/>
      <c r="C961" s="2"/>
      <c r="D961" s="2"/>
    </row>
    <row r="962" spans="1:4" x14ac:dyDescent="0.3">
      <c r="A962"/>
      <c r="B962"/>
      <c r="C962" s="2"/>
      <c r="D962" s="2"/>
    </row>
    <row r="963" spans="1:4" x14ac:dyDescent="0.3">
      <c r="A963"/>
      <c r="B963"/>
      <c r="C963" s="2"/>
      <c r="D963" s="2"/>
    </row>
    <row r="964" spans="1:4" x14ac:dyDescent="0.3">
      <c r="A964"/>
      <c r="B964"/>
      <c r="C964" s="2"/>
      <c r="D964" s="2"/>
    </row>
    <row r="965" spans="1:4" x14ac:dyDescent="0.3">
      <c r="A965"/>
      <c r="B965"/>
      <c r="C965" s="2"/>
      <c r="D965" s="2"/>
    </row>
    <row r="966" spans="1:4" x14ac:dyDescent="0.3">
      <c r="A966"/>
      <c r="B966"/>
      <c r="C966" s="2"/>
      <c r="D966" s="2"/>
    </row>
    <row r="967" spans="1:4" x14ac:dyDescent="0.3">
      <c r="A967"/>
      <c r="B967"/>
      <c r="C967" s="2"/>
      <c r="D967" s="2"/>
    </row>
    <row r="968" spans="1:4" x14ac:dyDescent="0.3">
      <c r="A968"/>
      <c r="B968"/>
      <c r="C968" s="2"/>
      <c r="D968" s="2"/>
    </row>
    <row r="969" spans="1:4" x14ac:dyDescent="0.3">
      <c r="A969"/>
      <c r="B969"/>
      <c r="C969" s="2"/>
      <c r="D969" s="2"/>
    </row>
    <row r="970" spans="1:4" x14ac:dyDescent="0.3">
      <c r="A970"/>
      <c r="B970"/>
      <c r="C970" s="2"/>
      <c r="D970" s="2"/>
    </row>
    <row r="971" spans="1:4" x14ac:dyDescent="0.3">
      <c r="A971"/>
      <c r="B971"/>
      <c r="C971" s="2"/>
      <c r="D971" s="2"/>
    </row>
    <row r="972" spans="1:4" x14ac:dyDescent="0.3">
      <c r="A972"/>
      <c r="B972"/>
      <c r="C972" s="2"/>
      <c r="D972" s="2"/>
    </row>
    <row r="973" spans="1:4" x14ac:dyDescent="0.3">
      <c r="A973"/>
      <c r="B973"/>
      <c r="C973" s="2"/>
      <c r="D973" s="2"/>
    </row>
    <row r="974" spans="1:4" x14ac:dyDescent="0.3">
      <c r="A974"/>
      <c r="B974"/>
      <c r="C974" s="2"/>
      <c r="D974" s="2"/>
    </row>
    <row r="975" spans="1:4" x14ac:dyDescent="0.3">
      <c r="A975"/>
      <c r="B975"/>
      <c r="C975" s="2"/>
      <c r="D975" s="2"/>
    </row>
    <row r="976" spans="1:4" x14ac:dyDescent="0.3">
      <c r="A976"/>
      <c r="B976"/>
      <c r="C976" s="2"/>
      <c r="D976" s="2"/>
    </row>
    <row r="977" spans="1:4" x14ac:dyDescent="0.3">
      <c r="A977"/>
      <c r="B977"/>
      <c r="C977" s="2"/>
      <c r="D977" s="2"/>
    </row>
    <row r="978" spans="1:4" x14ac:dyDescent="0.3">
      <c r="A978"/>
      <c r="B978"/>
      <c r="C978" s="2"/>
      <c r="D978" s="2"/>
    </row>
    <row r="979" spans="1:4" x14ac:dyDescent="0.3">
      <c r="A979"/>
      <c r="B979"/>
      <c r="C979" s="2"/>
      <c r="D979" s="2"/>
    </row>
    <row r="980" spans="1:4" x14ac:dyDescent="0.3">
      <c r="A980"/>
      <c r="B980"/>
      <c r="C980" s="2"/>
      <c r="D980" s="2"/>
    </row>
    <row r="981" spans="1:4" x14ac:dyDescent="0.3">
      <c r="A981"/>
      <c r="B981"/>
      <c r="C981" s="2"/>
      <c r="D981" s="2"/>
    </row>
    <row r="982" spans="1:4" x14ac:dyDescent="0.3">
      <c r="A982"/>
      <c r="B982"/>
      <c r="C982" s="2"/>
      <c r="D982" s="2"/>
    </row>
    <row r="983" spans="1:4" x14ac:dyDescent="0.3">
      <c r="A983"/>
      <c r="B983"/>
      <c r="C983" s="2"/>
      <c r="D983" s="2"/>
    </row>
    <row r="984" spans="1:4" x14ac:dyDescent="0.3">
      <c r="A984"/>
      <c r="B984"/>
      <c r="C984" s="2"/>
      <c r="D984" s="2"/>
    </row>
    <row r="985" spans="1:4" x14ac:dyDescent="0.3">
      <c r="A985"/>
      <c r="B985"/>
      <c r="C985" s="2"/>
      <c r="D985" s="2"/>
    </row>
    <row r="986" spans="1:4" x14ac:dyDescent="0.3">
      <c r="A986"/>
      <c r="B986"/>
      <c r="C986" s="2"/>
      <c r="D986" s="2"/>
    </row>
    <row r="987" spans="1:4" x14ac:dyDescent="0.3">
      <c r="A987"/>
      <c r="B987"/>
      <c r="C987" s="2"/>
      <c r="D987" s="2"/>
    </row>
    <row r="988" spans="1:4" x14ac:dyDescent="0.3">
      <c r="A988"/>
      <c r="B988"/>
      <c r="C988" s="2"/>
      <c r="D988" s="2"/>
    </row>
    <row r="989" spans="1:4" x14ac:dyDescent="0.3">
      <c r="A989"/>
      <c r="B989"/>
      <c r="C989" s="2"/>
      <c r="D989" s="2"/>
    </row>
    <row r="990" spans="1:4" x14ac:dyDescent="0.3">
      <c r="A990"/>
      <c r="B990"/>
      <c r="C990" s="2"/>
      <c r="D990" s="2"/>
    </row>
    <row r="991" spans="1:4" x14ac:dyDescent="0.3">
      <c r="A991"/>
      <c r="B991"/>
      <c r="C991" s="2"/>
      <c r="D991" s="2"/>
    </row>
    <row r="992" spans="1:4" x14ac:dyDescent="0.3">
      <c r="A992"/>
      <c r="B992"/>
      <c r="C992" s="2"/>
      <c r="D992" s="2"/>
    </row>
    <row r="993" spans="1:4" x14ac:dyDescent="0.3">
      <c r="A993"/>
      <c r="B993"/>
      <c r="C993" s="2"/>
      <c r="D993" s="2"/>
    </row>
    <row r="994" spans="1:4" x14ac:dyDescent="0.3">
      <c r="A994"/>
      <c r="B994"/>
      <c r="C994" s="2"/>
      <c r="D994" s="2"/>
    </row>
    <row r="995" spans="1:4" x14ac:dyDescent="0.3">
      <c r="A995"/>
      <c r="B995"/>
      <c r="C995" s="2"/>
      <c r="D995" s="2"/>
    </row>
    <row r="996" spans="1:4" x14ac:dyDescent="0.3">
      <c r="A996"/>
      <c r="B996"/>
      <c r="C996" s="2"/>
      <c r="D996" s="2"/>
    </row>
    <row r="997" spans="1:4" x14ac:dyDescent="0.3">
      <c r="A997"/>
      <c r="B997"/>
      <c r="C997" s="2"/>
      <c r="D997" s="2"/>
    </row>
    <row r="998" spans="1:4" x14ac:dyDescent="0.3">
      <c r="A998"/>
      <c r="B998"/>
      <c r="C998" s="2"/>
      <c r="D998" s="2"/>
    </row>
    <row r="999" spans="1:4" x14ac:dyDescent="0.3">
      <c r="A999"/>
      <c r="B999"/>
      <c r="C999" s="2"/>
      <c r="D999" s="2"/>
    </row>
    <row r="1000" spans="1:4" x14ac:dyDescent="0.3">
      <c r="A1000"/>
      <c r="B1000"/>
      <c r="C1000" s="2"/>
      <c r="D1000" s="2"/>
    </row>
    <row r="1001" spans="1:4" x14ac:dyDescent="0.3">
      <c r="A1001"/>
      <c r="B1001"/>
      <c r="C1001" s="2"/>
      <c r="D1001" s="2"/>
    </row>
    <row r="1002" spans="1:4" x14ac:dyDescent="0.3">
      <c r="A1002"/>
      <c r="B1002"/>
      <c r="C1002" s="2"/>
      <c r="D1002" s="2"/>
    </row>
    <row r="1003" spans="1:4" x14ac:dyDescent="0.3">
      <c r="A1003"/>
      <c r="B1003"/>
      <c r="C1003" s="2"/>
      <c r="D1003" s="2"/>
    </row>
    <row r="1004" spans="1:4" x14ac:dyDescent="0.3">
      <c r="A1004"/>
      <c r="B1004"/>
      <c r="C1004" s="2"/>
      <c r="D1004" s="2"/>
    </row>
    <row r="1005" spans="1:4" x14ac:dyDescent="0.3">
      <c r="A1005"/>
      <c r="B1005"/>
      <c r="C1005" s="2"/>
      <c r="D1005" s="2"/>
    </row>
    <row r="1006" spans="1:4" x14ac:dyDescent="0.3">
      <c r="A1006"/>
      <c r="B1006"/>
      <c r="C1006" s="2"/>
      <c r="D1006" s="2"/>
    </row>
    <row r="1007" spans="1:4" x14ac:dyDescent="0.3">
      <c r="A1007"/>
      <c r="B1007"/>
      <c r="C1007" s="2"/>
      <c r="D1007" s="2"/>
    </row>
    <row r="1008" spans="1:4" x14ac:dyDescent="0.3">
      <c r="A1008"/>
      <c r="B1008"/>
      <c r="C1008" s="2"/>
      <c r="D1008" s="2"/>
    </row>
    <row r="1009" spans="1:4" x14ac:dyDescent="0.3">
      <c r="A1009"/>
      <c r="B1009"/>
      <c r="C1009" s="2"/>
      <c r="D1009" s="2"/>
    </row>
    <row r="1010" spans="1:4" x14ac:dyDescent="0.3">
      <c r="A1010"/>
      <c r="B1010"/>
      <c r="C1010" s="2"/>
      <c r="D1010" s="2"/>
    </row>
    <row r="1011" spans="1:4" x14ac:dyDescent="0.3">
      <c r="A1011"/>
      <c r="B1011"/>
      <c r="C1011" s="2"/>
      <c r="D1011" s="2"/>
    </row>
    <row r="1012" spans="1:4" x14ac:dyDescent="0.3">
      <c r="A1012"/>
      <c r="B1012"/>
      <c r="C1012" s="2"/>
      <c r="D1012" s="2"/>
    </row>
    <row r="1013" spans="1:4" x14ac:dyDescent="0.3">
      <c r="A1013"/>
      <c r="B1013"/>
      <c r="C1013" s="2"/>
      <c r="D1013" s="2"/>
    </row>
    <row r="1014" spans="1:4" x14ac:dyDescent="0.3">
      <c r="A1014"/>
      <c r="B1014"/>
      <c r="C1014" s="2"/>
      <c r="D1014" s="2"/>
    </row>
    <row r="1015" spans="1:4" x14ac:dyDescent="0.3">
      <c r="A1015"/>
      <c r="B1015"/>
      <c r="C1015" s="2"/>
      <c r="D1015" s="2"/>
    </row>
    <row r="1016" spans="1:4" x14ac:dyDescent="0.3">
      <c r="A1016"/>
      <c r="B1016"/>
      <c r="C1016" s="2"/>
      <c r="D1016" s="2"/>
    </row>
    <row r="1017" spans="1:4" x14ac:dyDescent="0.3">
      <c r="A1017"/>
      <c r="B1017"/>
      <c r="C1017" s="2"/>
      <c r="D1017" s="2"/>
    </row>
    <row r="1018" spans="1:4" x14ac:dyDescent="0.3">
      <c r="A1018"/>
      <c r="B1018"/>
      <c r="C1018" s="2"/>
      <c r="D1018" s="2"/>
    </row>
    <row r="1019" spans="1:4" x14ac:dyDescent="0.3">
      <c r="A1019"/>
      <c r="B1019"/>
      <c r="C1019" s="2"/>
      <c r="D1019" s="2"/>
    </row>
    <row r="1020" spans="1:4" x14ac:dyDescent="0.3">
      <c r="A1020"/>
      <c r="B1020"/>
      <c r="C1020" s="2"/>
      <c r="D1020" s="2"/>
    </row>
    <row r="1021" spans="1:4" x14ac:dyDescent="0.3">
      <c r="A1021"/>
      <c r="B1021"/>
      <c r="C1021" s="2"/>
      <c r="D1021" s="2"/>
    </row>
    <row r="1022" spans="1:4" x14ac:dyDescent="0.3">
      <c r="A1022"/>
      <c r="B1022"/>
      <c r="C1022" s="2"/>
      <c r="D1022" s="2"/>
    </row>
    <row r="1023" spans="1:4" x14ac:dyDescent="0.3">
      <c r="A1023"/>
      <c r="B1023"/>
      <c r="C1023" s="2"/>
      <c r="D1023" s="2"/>
    </row>
    <row r="1024" spans="1:4" x14ac:dyDescent="0.3">
      <c r="A1024"/>
      <c r="B1024"/>
      <c r="C1024" s="2"/>
      <c r="D1024" s="2"/>
    </row>
    <row r="1025" spans="1:4" x14ac:dyDescent="0.3">
      <c r="A1025"/>
      <c r="B1025"/>
      <c r="C1025" s="2"/>
      <c r="D1025" s="2"/>
    </row>
    <row r="1026" spans="1:4" x14ac:dyDescent="0.3">
      <c r="A1026"/>
      <c r="B1026"/>
      <c r="C1026" s="2"/>
      <c r="D1026" s="2"/>
    </row>
    <row r="1027" spans="1:4" x14ac:dyDescent="0.3">
      <c r="A1027"/>
      <c r="B1027"/>
      <c r="C1027" s="2"/>
      <c r="D1027" s="2"/>
    </row>
    <row r="1028" spans="1:4" x14ac:dyDescent="0.3">
      <c r="A1028"/>
      <c r="B1028"/>
      <c r="C1028" s="2"/>
      <c r="D1028" s="2"/>
    </row>
    <row r="1029" spans="1:4" x14ac:dyDescent="0.3">
      <c r="A1029"/>
      <c r="B1029"/>
      <c r="C1029" s="2"/>
      <c r="D1029" s="2"/>
    </row>
    <row r="1030" spans="1:4" x14ac:dyDescent="0.3">
      <c r="A1030"/>
      <c r="B1030"/>
      <c r="C1030" s="2"/>
      <c r="D1030" s="2"/>
    </row>
    <row r="1031" spans="1:4" x14ac:dyDescent="0.3">
      <c r="A1031"/>
      <c r="B1031"/>
      <c r="C1031" s="2"/>
      <c r="D1031" s="2"/>
    </row>
    <row r="1032" spans="1:4" x14ac:dyDescent="0.3">
      <c r="A1032"/>
      <c r="B1032"/>
      <c r="C1032" s="2"/>
      <c r="D1032" s="2"/>
    </row>
    <row r="1033" spans="1:4" x14ac:dyDescent="0.3">
      <c r="A1033"/>
      <c r="B1033"/>
      <c r="C1033" s="2"/>
      <c r="D1033" s="2"/>
    </row>
    <row r="1034" spans="1:4" x14ac:dyDescent="0.3">
      <c r="A1034"/>
      <c r="B1034"/>
      <c r="C1034" s="2"/>
      <c r="D1034" s="2"/>
    </row>
    <row r="1035" spans="1:4" x14ac:dyDescent="0.3">
      <c r="A1035"/>
      <c r="B1035"/>
      <c r="C1035" s="2"/>
      <c r="D1035" s="2"/>
    </row>
    <row r="1036" spans="1:4" x14ac:dyDescent="0.3">
      <c r="A1036"/>
      <c r="B1036"/>
      <c r="C1036" s="2"/>
      <c r="D1036" s="2"/>
    </row>
    <row r="1037" spans="1:4" x14ac:dyDescent="0.3">
      <c r="A1037"/>
      <c r="B1037"/>
      <c r="C1037" s="2"/>
      <c r="D1037" s="2"/>
    </row>
    <row r="1038" spans="1:4" x14ac:dyDescent="0.3">
      <c r="A1038"/>
      <c r="B1038"/>
      <c r="C1038" s="2"/>
      <c r="D1038" s="2"/>
    </row>
    <row r="1039" spans="1:4" x14ac:dyDescent="0.3">
      <c r="A1039"/>
      <c r="B1039"/>
      <c r="C1039" s="2"/>
      <c r="D1039" s="2"/>
    </row>
    <row r="1040" spans="1:4" x14ac:dyDescent="0.3">
      <c r="A1040"/>
      <c r="B1040"/>
      <c r="C1040" s="2"/>
      <c r="D1040" s="2"/>
    </row>
    <row r="1041" spans="1:4" x14ac:dyDescent="0.3">
      <c r="A1041"/>
      <c r="B1041"/>
      <c r="C1041" s="2"/>
      <c r="D1041" s="2"/>
    </row>
    <row r="1042" spans="1:4" x14ac:dyDescent="0.3">
      <c r="A1042"/>
      <c r="B1042"/>
      <c r="C1042" s="2"/>
      <c r="D1042" s="2"/>
    </row>
    <row r="1043" spans="1:4" x14ac:dyDescent="0.3">
      <c r="A1043"/>
      <c r="B1043"/>
      <c r="C1043" s="2"/>
      <c r="D1043" s="2"/>
    </row>
    <row r="1044" spans="1:4" x14ac:dyDescent="0.3">
      <c r="A1044"/>
      <c r="B1044"/>
      <c r="C1044" s="2"/>
      <c r="D1044" s="2"/>
    </row>
    <row r="1045" spans="1:4" x14ac:dyDescent="0.3">
      <c r="A1045"/>
      <c r="B1045"/>
      <c r="C1045" s="2"/>
      <c r="D1045" s="2"/>
    </row>
    <row r="1046" spans="1:4" x14ac:dyDescent="0.3">
      <c r="A1046"/>
      <c r="B1046"/>
      <c r="C1046" s="2"/>
      <c r="D1046" s="2"/>
    </row>
    <row r="1047" spans="1:4" x14ac:dyDescent="0.3">
      <c r="A1047"/>
      <c r="B1047"/>
      <c r="C1047" s="2"/>
      <c r="D1047" s="2"/>
    </row>
    <row r="1048" spans="1:4" x14ac:dyDescent="0.3">
      <c r="A1048"/>
      <c r="B1048"/>
      <c r="C1048" s="2"/>
      <c r="D1048" s="2"/>
    </row>
    <row r="1049" spans="1:4" x14ac:dyDescent="0.3">
      <c r="A1049"/>
      <c r="B1049"/>
      <c r="C1049" s="2"/>
      <c r="D1049" s="2"/>
    </row>
    <row r="1050" spans="1:4" x14ac:dyDescent="0.3">
      <c r="A1050"/>
      <c r="B1050"/>
      <c r="C1050" s="2"/>
      <c r="D1050" s="2"/>
    </row>
    <row r="1051" spans="1:4" x14ac:dyDescent="0.3">
      <c r="A1051"/>
      <c r="B1051"/>
      <c r="C1051" s="2"/>
      <c r="D1051" s="2"/>
    </row>
    <row r="1052" spans="1:4" x14ac:dyDescent="0.3">
      <c r="A1052"/>
      <c r="B1052"/>
      <c r="C1052" s="2"/>
      <c r="D1052" s="2"/>
    </row>
    <row r="1053" spans="1:4" x14ac:dyDescent="0.3">
      <c r="A1053"/>
      <c r="B1053"/>
      <c r="C1053" s="2"/>
      <c r="D1053" s="2"/>
    </row>
    <row r="1054" spans="1:4" x14ac:dyDescent="0.3">
      <c r="A1054"/>
      <c r="B1054"/>
      <c r="C1054" s="2"/>
      <c r="D1054" s="2"/>
    </row>
    <row r="1055" spans="1:4" x14ac:dyDescent="0.3">
      <c r="A1055"/>
      <c r="B1055"/>
      <c r="C1055" s="2"/>
      <c r="D1055" s="2"/>
    </row>
    <row r="1056" spans="1:4" x14ac:dyDescent="0.3">
      <c r="A1056"/>
      <c r="B1056"/>
      <c r="C1056" s="2"/>
      <c r="D1056" s="2"/>
    </row>
    <row r="1057" spans="1:4" x14ac:dyDescent="0.3">
      <c r="A1057"/>
      <c r="B1057"/>
      <c r="C1057" s="2"/>
      <c r="D1057" s="2"/>
    </row>
    <row r="1058" spans="1:4" x14ac:dyDescent="0.3">
      <c r="A1058"/>
      <c r="B1058"/>
      <c r="C1058" s="2"/>
      <c r="D1058" s="2"/>
    </row>
    <row r="1059" spans="1:4" x14ac:dyDescent="0.3">
      <c r="A1059"/>
      <c r="B1059"/>
      <c r="C1059" s="2"/>
      <c r="D1059" s="2"/>
    </row>
    <row r="1060" spans="1:4" x14ac:dyDescent="0.3">
      <c r="A1060"/>
      <c r="B1060"/>
      <c r="C1060" s="2"/>
      <c r="D1060" s="2"/>
    </row>
    <row r="1061" spans="1:4" x14ac:dyDescent="0.3">
      <c r="A1061"/>
      <c r="B1061"/>
      <c r="C1061" s="2"/>
      <c r="D1061" s="2"/>
    </row>
    <row r="1062" spans="1:4" x14ac:dyDescent="0.3">
      <c r="A1062"/>
      <c r="B1062"/>
      <c r="C1062" s="2"/>
      <c r="D1062" s="2"/>
    </row>
    <row r="1063" spans="1:4" x14ac:dyDescent="0.3">
      <c r="A1063"/>
      <c r="B1063"/>
      <c r="C1063" s="2"/>
      <c r="D1063" s="2"/>
    </row>
    <row r="1064" spans="1:4" x14ac:dyDescent="0.3">
      <c r="A1064"/>
      <c r="B1064"/>
      <c r="C1064" s="2"/>
      <c r="D1064" s="2"/>
    </row>
    <row r="1065" spans="1:4" x14ac:dyDescent="0.3">
      <c r="A1065"/>
      <c r="B1065"/>
      <c r="C1065" s="2"/>
      <c r="D1065" s="2"/>
    </row>
    <row r="1066" spans="1:4" x14ac:dyDescent="0.3">
      <c r="A1066"/>
      <c r="B1066"/>
      <c r="C1066" s="2"/>
      <c r="D1066" s="2"/>
    </row>
    <row r="1067" spans="1:4" x14ac:dyDescent="0.3">
      <c r="A1067"/>
      <c r="B1067"/>
      <c r="C1067" s="2"/>
      <c r="D1067" s="2"/>
    </row>
    <row r="1068" spans="1:4" x14ac:dyDescent="0.3">
      <c r="A1068"/>
      <c r="B1068"/>
      <c r="C1068" s="2"/>
      <c r="D1068" s="2"/>
    </row>
    <row r="1069" spans="1:4" x14ac:dyDescent="0.3">
      <c r="A1069"/>
      <c r="B1069"/>
      <c r="C1069" s="2"/>
      <c r="D1069" s="2"/>
    </row>
    <row r="1070" spans="1:4" x14ac:dyDescent="0.3">
      <c r="A1070"/>
      <c r="B1070"/>
      <c r="C1070" s="2"/>
      <c r="D1070" s="2"/>
    </row>
    <row r="1071" spans="1:4" x14ac:dyDescent="0.3">
      <c r="A1071"/>
      <c r="B1071"/>
      <c r="C1071" s="2"/>
      <c r="D1071" s="2"/>
    </row>
    <row r="1072" spans="1:4" x14ac:dyDescent="0.3">
      <c r="A1072"/>
      <c r="B1072"/>
      <c r="C1072" s="2"/>
      <c r="D1072" s="2"/>
    </row>
    <row r="1073" spans="1:4" x14ac:dyDescent="0.3">
      <c r="A1073"/>
      <c r="B1073"/>
      <c r="C1073" s="2"/>
      <c r="D1073" s="2"/>
    </row>
    <row r="1074" spans="1:4" x14ac:dyDescent="0.3">
      <c r="A1074"/>
      <c r="B1074"/>
      <c r="C1074" s="2"/>
      <c r="D1074" s="2"/>
    </row>
    <row r="1075" spans="1:4" x14ac:dyDescent="0.3">
      <c r="A1075"/>
      <c r="B1075"/>
      <c r="C1075" s="2"/>
      <c r="D1075" s="2"/>
    </row>
    <row r="1076" spans="1:4" x14ac:dyDescent="0.3">
      <c r="A1076"/>
      <c r="B1076"/>
      <c r="C1076" s="2"/>
      <c r="D1076" s="2"/>
    </row>
    <row r="1077" spans="1:4" x14ac:dyDescent="0.3">
      <c r="A1077"/>
      <c r="B1077"/>
      <c r="C1077" s="2"/>
      <c r="D1077" s="2"/>
    </row>
    <row r="1078" spans="1:4" x14ac:dyDescent="0.3">
      <c r="A1078"/>
      <c r="B1078"/>
      <c r="C1078" s="2"/>
      <c r="D1078" s="2"/>
    </row>
    <row r="1079" spans="1:4" x14ac:dyDescent="0.3">
      <c r="A1079"/>
      <c r="B1079"/>
      <c r="C1079" s="2"/>
      <c r="D1079" s="2"/>
    </row>
    <row r="1080" spans="1:4" x14ac:dyDescent="0.3">
      <c r="A1080"/>
      <c r="B1080"/>
      <c r="C1080" s="2"/>
      <c r="D1080" s="2"/>
    </row>
    <row r="1081" spans="1:4" x14ac:dyDescent="0.3">
      <c r="A1081"/>
      <c r="B1081"/>
      <c r="C1081" s="2"/>
      <c r="D1081" s="2"/>
    </row>
    <row r="1082" spans="1:4" x14ac:dyDescent="0.3">
      <c r="A1082"/>
      <c r="B1082"/>
      <c r="C1082" s="2"/>
      <c r="D1082" s="2"/>
    </row>
    <row r="1083" spans="1:4" x14ac:dyDescent="0.3">
      <c r="A1083"/>
      <c r="B1083"/>
      <c r="C1083" s="2"/>
      <c r="D1083" s="2"/>
    </row>
    <row r="1084" spans="1:4" x14ac:dyDescent="0.3">
      <c r="A1084"/>
      <c r="B1084"/>
      <c r="C1084" s="2"/>
      <c r="D1084" s="2"/>
    </row>
    <row r="1085" spans="1:4" x14ac:dyDescent="0.3">
      <c r="A1085"/>
      <c r="B1085"/>
      <c r="C1085" s="2"/>
      <c r="D1085" s="2"/>
    </row>
    <row r="1086" spans="1:4" x14ac:dyDescent="0.3">
      <c r="A1086"/>
      <c r="B1086"/>
      <c r="C1086" s="2"/>
      <c r="D1086" s="2"/>
    </row>
    <row r="1087" spans="1:4" x14ac:dyDescent="0.3">
      <c r="A1087"/>
      <c r="B1087"/>
      <c r="C1087" s="2"/>
      <c r="D1087" s="2"/>
    </row>
    <row r="1088" spans="1:4" x14ac:dyDescent="0.3">
      <c r="A1088"/>
      <c r="B1088"/>
      <c r="C1088" s="2"/>
      <c r="D1088" s="2"/>
    </row>
    <row r="1089" spans="1:4" x14ac:dyDescent="0.3">
      <c r="A1089"/>
      <c r="B1089"/>
      <c r="C1089" s="2"/>
      <c r="D1089" s="2"/>
    </row>
    <row r="1090" spans="1:4" x14ac:dyDescent="0.3">
      <c r="A1090"/>
      <c r="B1090"/>
      <c r="C1090" s="2"/>
      <c r="D1090" s="2"/>
    </row>
    <row r="1091" spans="1:4" x14ac:dyDescent="0.3">
      <c r="A1091"/>
      <c r="B1091"/>
      <c r="C1091" s="2"/>
      <c r="D1091" s="2"/>
    </row>
    <row r="1092" spans="1:4" x14ac:dyDescent="0.3">
      <c r="A1092"/>
      <c r="B1092"/>
      <c r="C1092" s="2"/>
      <c r="D1092" s="2"/>
    </row>
    <row r="1093" spans="1:4" x14ac:dyDescent="0.3">
      <c r="A1093"/>
      <c r="B1093"/>
      <c r="C1093" s="2"/>
      <c r="D1093" s="2"/>
    </row>
    <row r="1094" spans="1:4" x14ac:dyDescent="0.3">
      <c r="A1094"/>
      <c r="B1094"/>
      <c r="C1094" s="2"/>
      <c r="D1094" s="2"/>
    </row>
    <row r="1095" spans="1:4" x14ac:dyDescent="0.3">
      <c r="A1095"/>
      <c r="B1095"/>
      <c r="C1095" s="2"/>
      <c r="D1095" s="2"/>
    </row>
    <row r="1096" spans="1:4" x14ac:dyDescent="0.3">
      <c r="A1096"/>
      <c r="B1096"/>
      <c r="C1096" s="2"/>
      <c r="D1096" s="2"/>
    </row>
    <row r="1097" spans="1:4" x14ac:dyDescent="0.3">
      <c r="A1097"/>
      <c r="B1097"/>
      <c r="C1097" s="2"/>
      <c r="D1097" s="2"/>
    </row>
    <row r="1098" spans="1:4" x14ac:dyDescent="0.3">
      <c r="A1098"/>
      <c r="B1098"/>
      <c r="C1098" s="2"/>
      <c r="D1098" s="2"/>
    </row>
    <row r="1099" spans="1:4" x14ac:dyDescent="0.3">
      <c r="A1099"/>
      <c r="B1099"/>
      <c r="C1099" s="2"/>
      <c r="D1099" s="2"/>
    </row>
    <row r="1100" spans="1:4" x14ac:dyDescent="0.3">
      <c r="A1100"/>
      <c r="B1100"/>
      <c r="C1100" s="2"/>
      <c r="D1100" s="2"/>
    </row>
    <row r="1101" spans="1:4" x14ac:dyDescent="0.3">
      <c r="A1101"/>
      <c r="B1101"/>
      <c r="C1101" s="2"/>
      <c r="D1101" s="2"/>
    </row>
    <row r="1102" spans="1:4" x14ac:dyDescent="0.3">
      <c r="A1102"/>
      <c r="B1102"/>
      <c r="C1102" s="2"/>
      <c r="D1102" s="2"/>
    </row>
    <row r="1103" spans="1:4" x14ac:dyDescent="0.3">
      <c r="A1103"/>
      <c r="B1103"/>
      <c r="C1103" s="2"/>
      <c r="D1103" s="2"/>
    </row>
    <row r="1104" spans="1:4" x14ac:dyDescent="0.3">
      <c r="A1104"/>
      <c r="B1104"/>
      <c r="C1104" s="2"/>
      <c r="D1104" s="2"/>
    </row>
    <row r="1105" spans="1:4" x14ac:dyDescent="0.3">
      <c r="A1105"/>
      <c r="B1105"/>
      <c r="C1105" s="2"/>
      <c r="D1105" s="2"/>
    </row>
    <row r="1106" spans="1:4" x14ac:dyDescent="0.3">
      <c r="A1106"/>
      <c r="B1106"/>
      <c r="C1106" s="2"/>
      <c r="D1106" s="2"/>
    </row>
    <row r="1107" spans="1:4" x14ac:dyDescent="0.3">
      <c r="A1107"/>
      <c r="B1107"/>
      <c r="C1107" s="2"/>
      <c r="D1107" s="2"/>
    </row>
    <row r="1108" spans="1:4" x14ac:dyDescent="0.3">
      <c r="A1108"/>
      <c r="B1108"/>
      <c r="C1108" s="2"/>
      <c r="D1108" s="2"/>
    </row>
    <row r="1109" spans="1:4" x14ac:dyDescent="0.3">
      <c r="A1109"/>
      <c r="B1109"/>
      <c r="C1109" s="2"/>
      <c r="D1109" s="2"/>
    </row>
    <row r="1110" spans="1:4" x14ac:dyDescent="0.3">
      <c r="A1110"/>
      <c r="B1110"/>
      <c r="C1110" s="2"/>
      <c r="D1110" s="2"/>
    </row>
    <row r="1111" spans="1:4" x14ac:dyDescent="0.3">
      <c r="A1111"/>
      <c r="B1111"/>
      <c r="C1111" s="2"/>
      <c r="D1111" s="2"/>
    </row>
    <row r="1112" spans="1:4" x14ac:dyDescent="0.3">
      <c r="A1112"/>
      <c r="B1112"/>
      <c r="C1112" s="2"/>
      <c r="D1112" s="2"/>
    </row>
    <row r="1113" spans="1:4" x14ac:dyDescent="0.3">
      <c r="A1113"/>
      <c r="B1113"/>
      <c r="C1113" s="2"/>
      <c r="D1113" s="2"/>
    </row>
    <row r="1114" spans="1:4" x14ac:dyDescent="0.3">
      <c r="A1114"/>
      <c r="B1114"/>
      <c r="C1114" s="2"/>
      <c r="D1114" s="2"/>
    </row>
    <row r="1115" spans="1:4" x14ac:dyDescent="0.3">
      <c r="A1115"/>
      <c r="B1115"/>
      <c r="C1115" s="2"/>
      <c r="D1115" s="2"/>
    </row>
    <row r="1116" spans="1:4" x14ac:dyDescent="0.3">
      <c r="A1116"/>
      <c r="B1116"/>
      <c r="C1116" s="2"/>
      <c r="D1116" s="2"/>
    </row>
    <row r="1117" spans="1:4" x14ac:dyDescent="0.3">
      <c r="A1117"/>
      <c r="B1117"/>
      <c r="C1117" s="2"/>
      <c r="D1117" s="2"/>
    </row>
    <row r="1118" spans="1:4" x14ac:dyDescent="0.3">
      <c r="A1118"/>
      <c r="B1118"/>
      <c r="C1118" s="2"/>
      <c r="D1118" s="2"/>
    </row>
    <row r="1119" spans="1:4" x14ac:dyDescent="0.3">
      <c r="A1119"/>
      <c r="B1119"/>
      <c r="C1119" s="2"/>
      <c r="D1119" s="2"/>
    </row>
    <row r="1120" spans="1:4" x14ac:dyDescent="0.3">
      <c r="A1120"/>
      <c r="B1120"/>
      <c r="C1120" s="2"/>
      <c r="D1120" s="2"/>
    </row>
    <row r="1121" spans="1:4" x14ac:dyDescent="0.3">
      <c r="A1121"/>
      <c r="B1121"/>
      <c r="C1121" s="2"/>
      <c r="D1121" s="2"/>
    </row>
    <row r="1122" spans="1:4" x14ac:dyDescent="0.3">
      <c r="A1122"/>
      <c r="B1122"/>
      <c r="C1122" s="2"/>
      <c r="D1122" s="2"/>
    </row>
    <row r="1123" spans="1:4" x14ac:dyDescent="0.3">
      <c r="A1123"/>
      <c r="B1123"/>
      <c r="C1123" s="2"/>
      <c r="D1123" s="2"/>
    </row>
    <row r="1124" spans="1:4" x14ac:dyDescent="0.3">
      <c r="A1124"/>
      <c r="B1124"/>
      <c r="C1124" s="2"/>
      <c r="D1124" s="2"/>
    </row>
    <row r="1125" spans="1:4" x14ac:dyDescent="0.3">
      <c r="A1125"/>
      <c r="B1125"/>
      <c r="C1125" s="2"/>
      <c r="D1125" s="2"/>
    </row>
    <row r="1126" spans="1:4" x14ac:dyDescent="0.3">
      <c r="A1126"/>
      <c r="B1126"/>
      <c r="C1126" s="2"/>
      <c r="D1126" s="2"/>
    </row>
    <row r="1127" spans="1:4" x14ac:dyDescent="0.3">
      <c r="A1127"/>
      <c r="B1127"/>
      <c r="C1127" s="2"/>
      <c r="D1127" s="2"/>
    </row>
    <row r="1128" spans="1:4" x14ac:dyDescent="0.3">
      <c r="A1128"/>
      <c r="B1128"/>
      <c r="C1128" s="2"/>
      <c r="D1128" s="2"/>
    </row>
    <row r="1129" spans="1:4" x14ac:dyDescent="0.3">
      <c r="A1129"/>
      <c r="B1129"/>
      <c r="C1129" s="2"/>
      <c r="D1129" s="2"/>
    </row>
    <row r="1130" spans="1:4" x14ac:dyDescent="0.3">
      <c r="A1130"/>
      <c r="B1130"/>
      <c r="C1130" s="2"/>
      <c r="D1130" s="2"/>
    </row>
    <row r="1131" spans="1:4" x14ac:dyDescent="0.3">
      <c r="A1131"/>
      <c r="B1131"/>
      <c r="C1131" s="2"/>
      <c r="D1131" s="2"/>
    </row>
    <row r="1132" spans="1:4" x14ac:dyDescent="0.3">
      <c r="A1132"/>
      <c r="B1132"/>
      <c r="C1132" s="2"/>
      <c r="D1132" s="2"/>
    </row>
    <row r="1133" spans="1:4" x14ac:dyDescent="0.3">
      <c r="A1133"/>
      <c r="B1133"/>
      <c r="C1133" s="2"/>
      <c r="D1133" s="2"/>
    </row>
    <row r="1134" spans="1:4" x14ac:dyDescent="0.3">
      <c r="A1134"/>
      <c r="B1134"/>
      <c r="C1134" s="2"/>
      <c r="D1134" s="2"/>
    </row>
    <row r="1135" spans="1:4" x14ac:dyDescent="0.3">
      <c r="A1135"/>
      <c r="B1135"/>
      <c r="C1135" s="2"/>
      <c r="D1135" s="2"/>
    </row>
    <row r="1136" spans="1:4" x14ac:dyDescent="0.3">
      <c r="A1136"/>
      <c r="B1136"/>
      <c r="C1136" s="2"/>
      <c r="D1136" s="2"/>
    </row>
    <row r="1137" spans="1:4" x14ac:dyDescent="0.3">
      <c r="A1137"/>
      <c r="B1137"/>
      <c r="C1137" s="2"/>
      <c r="D1137" s="2"/>
    </row>
    <row r="1138" spans="1:4" x14ac:dyDescent="0.3">
      <c r="A1138"/>
      <c r="B1138"/>
      <c r="C1138" s="2"/>
      <c r="D1138" s="2"/>
    </row>
    <row r="1139" spans="1:4" x14ac:dyDescent="0.3">
      <c r="A1139"/>
      <c r="B1139"/>
      <c r="C1139" s="2"/>
      <c r="D1139" s="2"/>
    </row>
    <row r="1140" spans="1:4" x14ac:dyDescent="0.3">
      <c r="A1140"/>
      <c r="B1140"/>
      <c r="C1140" s="2"/>
      <c r="D1140" s="2"/>
    </row>
    <row r="1141" spans="1:4" x14ac:dyDescent="0.3">
      <c r="A1141"/>
      <c r="B1141"/>
      <c r="C1141" s="2"/>
      <c r="D1141" s="2"/>
    </row>
    <row r="1142" spans="1:4" x14ac:dyDescent="0.3">
      <c r="A1142"/>
      <c r="B1142"/>
      <c r="C1142" s="2"/>
      <c r="D1142" s="2"/>
    </row>
    <row r="1143" spans="1:4" x14ac:dyDescent="0.3">
      <c r="A1143"/>
      <c r="B1143"/>
      <c r="C1143" s="2"/>
      <c r="D1143" s="2"/>
    </row>
    <row r="1144" spans="1:4" x14ac:dyDescent="0.3">
      <c r="A1144"/>
      <c r="B1144"/>
      <c r="C1144" s="2"/>
      <c r="D1144" s="2"/>
    </row>
    <row r="1145" spans="1:4" x14ac:dyDescent="0.3">
      <c r="A1145"/>
      <c r="B1145"/>
      <c r="C1145" s="2"/>
      <c r="D1145" s="2"/>
    </row>
    <row r="1146" spans="1:4" x14ac:dyDescent="0.3">
      <c r="A1146"/>
      <c r="B1146"/>
      <c r="C1146" s="2"/>
      <c r="D1146" s="2"/>
    </row>
    <row r="1147" spans="1:4" x14ac:dyDescent="0.3">
      <c r="A1147"/>
      <c r="B1147"/>
      <c r="C1147" s="2"/>
      <c r="D1147" s="2"/>
    </row>
    <row r="1148" spans="1:4" x14ac:dyDescent="0.3">
      <c r="A1148"/>
      <c r="B1148"/>
      <c r="C1148" s="2"/>
      <c r="D1148" s="2"/>
    </row>
    <row r="1149" spans="1:4" x14ac:dyDescent="0.3">
      <c r="A1149"/>
      <c r="B1149"/>
      <c r="C1149" s="2"/>
      <c r="D1149" s="2"/>
    </row>
    <row r="1150" spans="1:4" x14ac:dyDescent="0.3">
      <c r="A1150"/>
      <c r="B1150"/>
      <c r="C1150" s="2"/>
      <c r="D1150" s="2"/>
    </row>
    <row r="1151" spans="1:4" x14ac:dyDescent="0.3">
      <c r="A1151"/>
      <c r="B1151"/>
      <c r="C1151" s="2"/>
      <c r="D1151" s="2"/>
    </row>
    <row r="1152" spans="1:4" x14ac:dyDescent="0.3">
      <c r="A1152"/>
      <c r="B1152"/>
      <c r="C1152" s="2"/>
      <c r="D1152" s="2"/>
    </row>
    <row r="1153" spans="1:4" x14ac:dyDescent="0.3">
      <c r="A1153"/>
      <c r="B1153"/>
      <c r="C1153" s="2"/>
      <c r="D1153" s="2"/>
    </row>
    <row r="1154" spans="1:4" x14ac:dyDescent="0.3">
      <c r="A1154"/>
      <c r="B1154"/>
      <c r="C1154" s="2"/>
      <c r="D1154" s="2"/>
    </row>
    <row r="1155" spans="1:4" x14ac:dyDescent="0.3">
      <c r="A1155"/>
      <c r="B1155"/>
      <c r="C1155" s="2"/>
      <c r="D1155" s="2"/>
    </row>
    <row r="1156" spans="1:4" x14ac:dyDescent="0.3">
      <c r="A1156"/>
      <c r="B1156"/>
      <c r="C1156" s="2"/>
      <c r="D1156" s="2"/>
    </row>
    <row r="1157" spans="1:4" x14ac:dyDescent="0.3">
      <c r="A1157"/>
      <c r="B1157"/>
      <c r="C1157" s="2"/>
      <c r="D1157" s="2"/>
    </row>
    <row r="1158" spans="1:4" x14ac:dyDescent="0.3">
      <c r="A1158"/>
      <c r="B1158"/>
      <c r="C1158" s="2"/>
      <c r="D1158" s="2"/>
    </row>
    <row r="1159" spans="1:4" x14ac:dyDescent="0.3">
      <c r="A1159"/>
      <c r="B1159"/>
      <c r="C1159" s="2"/>
      <c r="D1159" s="2"/>
    </row>
    <row r="1160" spans="1:4" x14ac:dyDescent="0.3">
      <c r="A1160"/>
      <c r="B1160"/>
      <c r="C1160" s="2"/>
      <c r="D1160" s="2"/>
    </row>
    <row r="1161" spans="1:4" x14ac:dyDescent="0.3">
      <c r="A1161"/>
      <c r="B1161"/>
      <c r="C1161" s="2"/>
      <c r="D1161" s="2"/>
    </row>
    <row r="1162" spans="1:4" x14ac:dyDescent="0.3">
      <c r="A1162"/>
      <c r="B1162"/>
      <c r="C1162" s="2"/>
      <c r="D1162" s="2"/>
    </row>
    <row r="1163" spans="1:4" x14ac:dyDescent="0.3">
      <c r="A1163"/>
      <c r="B1163"/>
      <c r="C1163" s="2"/>
      <c r="D1163" s="2"/>
    </row>
    <row r="1164" spans="1:4" x14ac:dyDescent="0.3">
      <c r="A1164"/>
      <c r="B1164"/>
      <c r="C1164" s="2"/>
      <c r="D1164" s="2"/>
    </row>
    <row r="1165" spans="1:4" x14ac:dyDescent="0.3">
      <c r="A1165"/>
      <c r="B1165"/>
      <c r="C1165" s="2"/>
      <c r="D1165" s="2"/>
    </row>
    <row r="1166" spans="1:4" x14ac:dyDescent="0.3">
      <c r="A1166"/>
      <c r="B1166"/>
      <c r="C1166" s="2"/>
      <c r="D1166" s="2"/>
    </row>
    <row r="1167" spans="1:4" x14ac:dyDescent="0.3">
      <c r="A1167"/>
      <c r="B1167"/>
      <c r="C1167" s="2"/>
      <c r="D1167" s="2"/>
    </row>
    <row r="1168" spans="1:4" x14ac:dyDescent="0.3">
      <c r="A1168"/>
      <c r="B1168"/>
      <c r="C1168" s="2"/>
      <c r="D1168" s="2"/>
    </row>
    <row r="1169" spans="1:4" x14ac:dyDescent="0.3">
      <c r="A1169"/>
      <c r="B1169"/>
      <c r="C1169" s="2"/>
      <c r="D1169" s="2"/>
    </row>
    <row r="1170" spans="1:4" x14ac:dyDescent="0.3">
      <c r="A1170"/>
      <c r="B1170"/>
      <c r="C1170" s="2"/>
      <c r="D1170" s="2"/>
    </row>
    <row r="1171" spans="1:4" x14ac:dyDescent="0.3">
      <c r="A1171"/>
      <c r="B1171"/>
      <c r="C1171" s="2"/>
      <c r="D1171" s="2"/>
    </row>
    <row r="1172" spans="1:4" x14ac:dyDescent="0.3">
      <c r="A1172"/>
      <c r="B1172"/>
      <c r="C1172" s="2"/>
      <c r="D1172" s="2"/>
    </row>
    <row r="1173" spans="1:4" x14ac:dyDescent="0.3">
      <c r="A1173"/>
      <c r="B1173"/>
      <c r="C1173" s="2"/>
      <c r="D1173" s="2"/>
    </row>
    <row r="1174" spans="1:4" x14ac:dyDescent="0.3">
      <c r="A1174"/>
      <c r="B1174"/>
      <c r="C1174" s="2"/>
      <c r="D1174" s="2"/>
    </row>
    <row r="1175" spans="1:4" x14ac:dyDescent="0.3">
      <c r="A1175"/>
      <c r="B1175"/>
      <c r="C1175" s="2"/>
      <c r="D1175" s="2"/>
    </row>
    <row r="1176" spans="1:4" x14ac:dyDescent="0.3">
      <c r="A1176"/>
      <c r="B1176"/>
      <c r="C1176" s="2"/>
      <c r="D1176" s="2"/>
    </row>
    <row r="1177" spans="1:4" x14ac:dyDescent="0.3">
      <c r="A1177"/>
      <c r="B1177"/>
      <c r="C1177" s="2"/>
      <c r="D1177" s="2"/>
    </row>
    <row r="1178" spans="1:4" x14ac:dyDescent="0.3">
      <c r="A1178"/>
      <c r="B1178"/>
      <c r="C1178" s="2"/>
      <c r="D1178" s="2"/>
    </row>
    <row r="1179" spans="1:4" x14ac:dyDescent="0.3">
      <c r="A1179"/>
      <c r="B1179"/>
      <c r="C1179" s="2"/>
      <c r="D1179" s="2"/>
    </row>
    <row r="1180" spans="1:4" x14ac:dyDescent="0.3">
      <c r="A1180"/>
      <c r="B1180"/>
      <c r="C1180" s="2"/>
      <c r="D1180" s="2"/>
    </row>
    <row r="1181" spans="1:4" x14ac:dyDescent="0.3">
      <c r="A1181"/>
      <c r="B1181"/>
      <c r="C1181" s="2"/>
      <c r="D1181" s="2"/>
    </row>
    <row r="1182" spans="1:4" x14ac:dyDescent="0.3">
      <c r="A1182"/>
      <c r="B1182"/>
      <c r="C1182" s="2"/>
      <c r="D1182" s="2"/>
    </row>
    <row r="1183" spans="1:4" x14ac:dyDescent="0.3">
      <c r="A1183"/>
      <c r="B1183"/>
      <c r="C1183" s="2"/>
      <c r="D1183" s="2"/>
    </row>
    <row r="1184" spans="1:4" x14ac:dyDescent="0.3">
      <c r="A1184"/>
      <c r="B1184"/>
      <c r="C1184" s="2"/>
      <c r="D1184" s="2"/>
    </row>
    <row r="1185" spans="1:4" x14ac:dyDescent="0.3">
      <c r="A1185"/>
      <c r="B1185"/>
      <c r="C1185" s="2"/>
      <c r="D1185" s="2"/>
    </row>
    <row r="1186" spans="1:4" x14ac:dyDescent="0.3">
      <c r="A1186"/>
      <c r="B1186"/>
      <c r="C1186" s="2"/>
      <c r="D1186" s="2"/>
    </row>
    <row r="1187" spans="1:4" x14ac:dyDescent="0.3">
      <c r="A1187"/>
      <c r="B1187"/>
      <c r="C1187" s="2"/>
      <c r="D1187" s="2"/>
    </row>
    <row r="1188" spans="1:4" x14ac:dyDescent="0.3">
      <c r="A1188"/>
      <c r="B1188"/>
      <c r="C1188" s="2"/>
      <c r="D1188" s="2"/>
    </row>
    <row r="1189" spans="1:4" x14ac:dyDescent="0.3">
      <c r="A1189"/>
      <c r="B1189"/>
      <c r="C1189" s="2"/>
      <c r="D1189" s="2"/>
    </row>
    <row r="1190" spans="1:4" x14ac:dyDescent="0.3">
      <c r="A1190"/>
      <c r="B1190"/>
      <c r="C1190" s="2"/>
      <c r="D1190" s="2"/>
    </row>
    <row r="1191" spans="1:4" x14ac:dyDescent="0.3">
      <c r="A1191"/>
      <c r="B1191"/>
      <c r="C1191" s="2"/>
      <c r="D1191" s="2"/>
    </row>
    <row r="1192" spans="1:4" x14ac:dyDescent="0.3">
      <c r="A1192"/>
      <c r="B1192"/>
      <c r="C1192" s="2"/>
      <c r="D1192" s="2"/>
    </row>
    <row r="1193" spans="1:4" x14ac:dyDescent="0.3">
      <c r="A1193"/>
      <c r="B1193"/>
      <c r="C1193" s="2"/>
      <c r="D1193" s="2"/>
    </row>
    <row r="1194" spans="1:4" x14ac:dyDescent="0.3">
      <c r="A1194"/>
      <c r="B1194"/>
      <c r="C1194" s="2"/>
      <c r="D1194" s="2"/>
    </row>
    <row r="1195" spans="1:4" x14ac:dyDescent="0.3">
      <c r="A1195"/>
      <c r="B1195"/>
      <c r="C1195" s="2"/>
      <c r="D1195" s="2"/>
    </row>
    <row r="1196" spans="1:4" x14ac:dyDescent="0.3">
      <c r="A1196"/>
      <c r="B1196"/>
      <c r="C1196" s="2"/>
      <c r="D1196" s="2"/>
    </row>
    <row r="1197" spans="1:4" x14ac:dyDescent="0.3">
      <c r="A1197"/>
      <c r="B1197"/>
      <c r="C1197" s="2"/>
      <c r="D1197" s="2"/>
    </row>
    <row r="1198" spans="1:4" x14ac:dyDescent="0.3">
      <c r="A1198"/>
      <c r="B1198"/>
      <c r="C1198" s="2"/>
      <c r="D1198" s="2"/>
    </row>
    <row r="1199" spans="1:4" x14ac:dyDescent="0.3">
      <c r="A1199"/>
      <c r="B1199"/>
      <c r="C1199" s="2"/>
      <c r="D1199" s="2"/>
    </row>
    <row r="1200" spans="1:4" x14ac:dyDescent="0.3">
      <c r="A1200"/>
      <c r="B1200"/>
      <c r="C1200" s="2"/>
      <c r="D1200" s="2"/>
    </row>
    <row r="1201" spans="1:4" x14ac:dyDescent="0.3">
      <c r="A1201"/>
      <c r="B1201"/>
      <c r="C1201" s="2"/>
      <c r="D1201" s="2"/>
    </row>
    <row r="1202" spans="1:4" x14ac:dyDescent="0.3">
      <c r="A1202"/>
      <c r="B1202"/>
      <c r="C1202" s="2"/>
      <c r="D1202" s="2"/>
    </row>
    <row r="1203" spans="1:4" x14ac:dyDescent="0.3">
      <c r="A1203"/>
      <c r="B1203"/>
      <c r="C1203" s="2"/>
      <c r="D1203" s="2"/>
    </row>
    <row r="1204" spans="1:4" x14ac:dyDescent="0.3">
      <c r="A1204"/>
      <c r="B1204"/>
      <c r="C1204" s="2"/>
      <c r="D1204" s="2"/>
    </row>
    <row r="1205" spans="1:4" x14ac:dyDescent="0.3">
      <c r="A1205"/>
      <c r="B1205"/>
      <c r="C1205" s="2"/>
      <c r="D1205" s="2"/>
    </row>
    <row r="1206" spans="1:4" x14ac:dyDescent="0.3">
      <c r="A1206"/>
      <c r="B1206"/>
      <c r="C1206" s="2"/>
      <c r="D1206" s="2"/>
    </row>
    <row r="1207" spans="1:4" x14ac:dyDescent="0.3">
      <c r="A1207"/>
      <c r="B1207"/>
      <c r="C1207" s="2"/>
      <c r="D1207" s="2"/>
    </row>
    <row r="1208" spans="1:4" x14ac:dyDescent="0.3">
      <c r="A1208"/>
      <c r="B1208"/>
      <c r="C1208" s="2"/>
      <c r="D1208" s="2"/>
    </row>
    <row r="1209" spans="1:4" x14ac:dyDescent="0.3">
      <c r="A1209"/>
      <c r="B1209"/>
      <c r="C1209" s="2"/>
      <c r="D1209" s="2"/>
    </row>
    <row r="1210" spans="1:4" x14ac:dyDescent="0.3">
      <c r="A1210"/>
      <c r="B1210"/>
      <c r="C1210" s="2"/>
      <c r="D1210" s="2"/>
    </row>
    <row r="1211" spans="1:4" x14ac:dyDescent="0.3">
      <c r="A1211"/>
      <c r="B1211"/>
      <c r="C1211" s="2"/>
      <c r="D1211" s="2"/>
    </row>
    <row r="1212" spans="1:4" x14ac:dyDescent="0.3">
      <c r="A1212"/>
      <c r="B1212"/>
      <c r="C1212" s="2"/>
      <c r="D1212" s="2"/>
    </row>
    <row r="1213" spans="1:4" x14ac:dyDescent="0.3">
      <c r="A1213"/>
      <c r="B1213"/>
      <c r="C1213" s="2"/>
      <c r="D1213" s="2"/>
    </row>
    <row r="1214" spans="1:4" x14ac:dyDescent="0.3">
      <c r="A1214"/>
      <c r="B1214"/>
      <c r="C1214" s="2"/>
      <c r="D1214" s="2"/>
    </row>
    <row r="1215" spans="1:4" x14ac:dyDescent="0.3">
      <c r="A1215"/>
      <c r="B1215"/>
      <c r="C1215" s="2"/>
      <c r="D1215" s="2"/>
    </row>
    <row r="1216" spans="1:4" x14ac:dyDescent="0.3">
      <c r="A1216"/>
      <c r="B1216"/>
      <c r="C1216" s="2"/>
      <c r="D1216" s="2"/>
    </row>
    <row r="1217" spans="1:4" x14ac:dyDescent="0.3">
      <c r="A1217"/>
      <c r="B1217"/>
      <c r="C1217" s="2"/>
      <c r="D1217" s="2"/>
    </row>
    <row r="1218" spans="1:4" x14ac:dyDescent="0.3">
      <c r="A1218"/>
      <c r="B1218"/>
      <c r="C1218" s="2"/>
      <c r="D1218" s="2"/>
    </row>
    <row r="1219" spans="1:4" x14ac:dyDescent="0.3">
      <c r="A1219"/>
      <c r="B1219"/>
      <c r="C1219" s="2"/>
      <c r="D1219" s="2"/>
    </row>
    <row r="1220" spans="1:4" x14ac:dyDescent="0.3">
      <c r="A1220"/>
      <c r="B1220"/>
      <c r="C1220" s="2"/>
      <c r="D1220" s="2"/>
    </row>
    <row r="1221" spans="1:4" x14ac:dyDescent="0.3">
      <c r="A1221"/>
      <c r="B1221"/>
      <c r="C1221" s="2"/>
      <c r="D1221" s="2"/>
    </row>
    <row r="1222" spans="1:4" x14ac:dyDescent="0.3">
      <c r="A1222"/>
      <c r="B1222"/>
      <c r="C1222" s="2"/>
      <c r="D1222" s="2"/>
    </row>
    <row r="1223" spans="1:4" x14ac:dyDescent="0.3">
      <c r="A1223"/>
      <c r="B1223"/>
      <c r="C1223" s="2"/>
      <c r="D1223" s="2"/>
    </row>
    <row r="1224" spans="1:4" x14ac:dyDescent="0.3">
      <c r="A1224"/>
      <c r="B1224"/>
      <c r="C1224" s="2"/>
      <c r="D1224" s="2"/>
    </row>
    <row r="1225" spans="1:4" x14ac:dyDescent="0.3">
      <c r="A1225"/>
      <c r="B1225"/>
      <c r="C1225" s="2"/>
      <c r="D1225" s="2"/>
    </row>
    <row r="1226" spans="1:4" x14ac:dyDescent="0.3">
      <c r="A1226"/>
      <c r="B1226"/>
      <c r="C1226" s="2"/>
      <c r="D1226" s="2"/>
    </row>
    <row r="1227" spans="1:4" x14ac:dyDescent="0.3">
      <c r="A1227"/>
      <c r="B1227"/>
      <c r="C1227" s="2"/>
      <c r="D1227" s="2"/>
    </row>
    <row r="1228" spans="1:4" x14ac:dyDescent="0.3">
      <c r="A1228"/>
      <c r="B1228"/>
      <c r="C1228" s="2"/>
      <c r="D1228" s="2"/>
    </row>
    <row r="1229" spans="1:4" x14ac:dyDescent="0.3">
      <c r="A1229"/>
      <c r="B1229"/>
      <c r="C1229" s="2"/>
      <c r="D1229" s="2"/>
    </row>
    <row r="1230" spans="1:4" x14ac:dyDescent="0.3">
      <c r="A1230"/>
      <c r="B1230"/>
      <c r="C1230" s="2"/>
      <c r="D1230" s="2"/>
    </row>
    <row r="1231" spans="1:4" x14ac:dyDescent="0.3">
      <c r="A1231"/>
      <c r="B1231"/>
      <c r="C1231" s="2"/>
      <c r="D1231" s="2"/>
    </row>
    <row r="1232" spans="1:4" x14ac:dyDescent="0.3">
      <c r="A1232"/>
      <c r="B1232"/>
      <c r="C1232" s="2"/>
      <c r="D1232" s="2"/>
    </row>
    <row r="1233" spans="1:4" x14ac:dyDescent="0.3">
      <c r="A1233"/>
      <c r="B1233"/>
      <c r="C1233" s="2"/>
      <c r="D1233" s="2"/>
    </row>
    <row r="1234" spans="1:4" x14ac:dyDescent="0.3">
      <c r="A1234"/>
      <c r="B1234"/>
      <c r="C1234" s="2"/>
      <c r="D1234" s="2"/>
    </row>
    <row r="1235" spans="1:4" x14ac:dyDescent="0.3">
      <c r="A1235"/>
      <c r="B1235"/>
      <c r="C1235" s="2"/>
      <c r="D1235" s="2"/>
    </row>
    <row r="1236" spans="1:4" x14ac:dyDescent="0.3">
      <c r="A1236"/>
      <c r="B1236"/>
      <c r="C1236" s="2"/>
      <c r="D1236" s="2"/>
    </row>
    <row r="1237" spans="1:4" x14ac:dyDescent="0.3">
      <c r="A1237"/>
      <c r="B1237"/>
      <c r="C1237" s="2"/>
      <c r="D1237" s="2"/>
    </row>
    <row r="1238" spans="1:4" x14ac:dyDescent="0.3">
      <c r="A1238"/>
      <c r="B1238"/>
      <c r="C1238" s="2"/>
      <c r="D1238" s="2"/>
    </row>
    <row r="1239" spans="1:4" x14ac:dyDescent="0.3">
      <c r="A1239"/>
      <c r="B1239"/>
      <c r="C1239" s="2"/>
      <c r="D1239" s="2"/>
    </row>
    <row r="1240" spans="1:4" x14ac:dyDescent="0.3">
      <c r="A1240"/>
      <c r="B1240"/>
      <c r="C1240" s="2"/>
      <c r="D1240" s="2"/>
    </row>
    <row r="1241" spans="1:4" x14ac:dyDescent="0.3">
      <c r="A1241"/>
      <c r="B1241"/>
      <c r="C1241" s="2"/>
      <c r="D1241" s="2"/>
    </row>
    <row r="1242" spans="1:4" x14ac:dyDescent="0.3">
      <c r="A1242"/>
      <c r="B1242"/>
      <c r="C1242" s="2"/>
      <c r="D1242" s="2"/>
    </row>
    <row r="1243" spans="1:4" x14ac:dyDescent="0.3">
      <c r="A1243"/>
      <c r="B1243"/>
      <c r="C1243" s="2"/>
      <c r="D1243" s="2"/>
    </row>
    <row r="1244" spans="1:4" x14ac:dyDescent="0.3">
      <c r="A1244"/>
      <c r="B1244"/>
      <c r="C1244" s="2"/>
      <c r="D1244" s="2"/>
    </row>
    <row r="1245" spans="1:4" x14ac:dyDescent="0.3">
      <c r="A1245"/>
      <c r="B1245"/>
      <c r="C1245" s="2"/>
      <c r="D1245" s="2"/>
    </row>
    <row r="1246" spans="1:4" x14ac:dyDescent="0.3">
      <c r="A1246"/>
      <c r="B1246"/>
      <c r="C1246" s="2"/>
      <c r="D1246" s="2"/>
    </row>
    <row r="1247" spans="1:4" x14ac:dyDescent="0.3">
      <c r="A1247"/>
      <c r="B1247"/>
      <c r="C1247" s="2"/>
      <c r="D1247" s="2"/>
    </row>
    <row r="1248" spans="1:4" x14ac:dyDescent="0.3">
      <c r="A1248"/>
      <c r="B1248"/>
      <c r="C1248" s="2"/>
      <c r="D1248" s="2"/>
    </row>
  </sheetData>
  <mergeCells count="4">
    <mergeCell ref="G16:G18"/>
    <mergeCell ref="G19:G20"/>
    <mergeCell ref="F16:F18"/>
    <mergeCell ref="F19:F20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2025년연소산</vt:lpstr>
      <vt:lpstr>년월소산수량</vt:lpstr>
      <vt:lpstr>미디어사용내역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2022-07-12T08:28:25Z</dcterms:created>
  <dcterms:modified xsi:type="dcterms:W3CDTF">2025-09-18T05:25:33Z</dcterms:modified>
</cp:coreProperties>
</file>