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ef6fd7553cae9ab/바탕 화면/바탕화면/DATA/TNU/견적자료/KDB산업은행/"/>
    </mc:Choice>
  </mc:AlternateContent>
  <xr:revisionPtr revIDLastSave="1" documentId="14_{528AC03F-7762-41F2-8109-1ED9FDF88644}" xr6:coauthVersionLast="47" xr6:coauthVersionMax="47" xr10:uidLastSave="{D7CC33F2-92C5-479E-B582-AF4FCDF75287}"/>
  <bookViews>
    <workbookView xWindow="-98" yWindow="-98" windowWidth="21795" windowHeight="12975" tabRatio="598" xr2:uid="{00000000-000D-0000-FFFF-FFFF00000000}"/>
  </bookViews>
  <sheets>
    <sheet name="KDB산업은행" sheetId="24" r:id="rId1"/>
  </sheets>
  <definedNames>
    <definedName name="_xlnm.Print_Area" localSheetId="0">KDB산업은행!$A$1:$F$37</definedName>
    <definedName name="개발언어보정계수" localSheetId="0">#REF!</definedName>
    <definedName name="개발언어보정계수">#REF!</definedName>
    <definedName name="총스텝수" localSheetId="0">#REF!</definedName>
    <definedName name="총스텝수">#REF!</definedName>
    <definedName name="총주스텝수" localSheetId="0">#REF!</definedName>
    <definedName name="총주스텝수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4" l="1"/>
  <c r="F31" i="24" s="1"/>
  <c r="E33" i="24" s="1"/>
  <c r="E34" i="24" s="1"/>
  <c r="A18" i="24" l="1"/>
</calcChain>
</file>

<file path=xl/sharedStrings.xml><?xml version="1.0" encoding="utf-8"?>
<sst xmlns="http://schemas.openxmlformats.org/spreadsheetml/2006/main" count="45" uniqueCount="45">
  <si>
    <t>㈜ 티 엔 유</t>
    <phoneticPr fontId="3" type="noConversion"/>
  </si>
  <si>
    <t>Product</t>
    <phoneticPr fontId="3" type="noConversion"/>
  </si>
  <si>
    <t>Description</t>
    <phoneticPr fontId="3" type="noConversion"/>
  </si>
  <si>
    <t>수량</t>
    <phoneticPr fontId="3" type="noConversion"/>
  </si>
  <si>
    <t>대   표   이   사       유     기     혁</t>
    <phoneticPr fontId="3" type="noConversion"/>
  </si>
  <si>
    <t>견     적     서</t>
    <phoneticPr fontId="3" type="noConversion"/>
  </si>
  <si>
    <t>결제조건 :</t>
    <phoneticPr fontId="3" type="noConversion"/>
  </si>
  <si>
    <t>유지 보수 :</t>
    <phoneticPr fontId="3" type="noConversion"/>
  </si>
  <si>
    <t>납품조건 :</t>
    <phoneticPr fontId="3" type="noConversion"/>
  </si>
  <si>
    <t>* Remarks</t>
    <phoneticPr fontId="3" type="noConversion"/>
  </si>
  <si>
    <t>사 업 명 :</t>
    <phoneticPr fontId="3" type="noConversion"/>
  </si>
  <si>
    <t>E-mail :</t>
    <phoneticPr fontId="3" type="noConversion"/>
  </si>
  <si>
    <t>참     조 :</t>
    <phoneticPr fontId="3" type="noConversion"/>
  </si>
  <si>
    <t>수     신 :</t>
    <phoneticPr fontId="3" type="noConversion"/>
  </si>
  <si>
    <t>소비자 단가</t>
    <phoneticPr fontId="3" type="noConversion"/>
  </si>
  <si>
    <t>연락처(TEL) :</t>
    <phoneticPr fontId="3" type="noConversion"/>
  </si>
  <si>
    <t>견 적 일 자 :</t>
    <phoneticPr fontId="3" type="noConversion"/>
  </si>
  <si>
    <t>담        당 :</t>
    <phoneticPr fontId="3" type="noConversion"/>
  </si>
  <si>
    <t>연락처(Mobile) :</t>
    <phoneticPr fontId="3" type="noConversion"/>
  </si>
  <si>
    <t>010-3337-5885</t>
    <phoneticPr fontId="3" type="noConversion"/>
  </si>
  <si>
    <t>dcmin@tnudata.com</t>
    <phoneticPr fontId="3" type="noConversion"/>
  </si>
  <si>
    <t xml:space="preserve">지원조건 : </t>
    <phoneticPr fontId="3" type="noConversion"/>
  </si>
  <si>
    <t>경기 성남시 분당구 판교역로 231</t>
  </si>
  <si>
    <t>H스퀘어 S동 708호</t>
  </si>
  <si>
    <t>Tel 031-789-3508~3509, Fax 031-789-3510</t>
  </si>
  <si>
    <t>설치 및 기술지원</t>
    <phoneticPr fontId="3" type="noConversion"/>
  </si>
  <si>
    <t>귀 사과의 협의 조건</t>
    <phoneticPr fontId="3" type="noConversion"/>
  </si>
  <si>
    <t>031-789-3508</t>
    <phoneticPr fontId="3" type="noConversion"/>
  </si>
  <si>
    <t>공급단가</t>
    <phoneticPr fontId="3" type="noConversion"/>
  </si>
  <si>
    <t>공급가합계</t>
    <phoneticPr fontId="3" type="noConversion"/>
  </si>
  <si>
    <t>2. 본 제품에 대한 무상유지보수기간은 검수 후 1년 입니다.</t>
    <phoneticPr fontId="3" type="noConversion"/>
  </si>
  <si>
    <t>검수후 1년 무상보증</t>
    <phoneticPr fontId="3" type="noConversion"/>
  </si>
  <si>
    <t>KDB산업은행</t>
    <phoneticPr fontId="3" type="noConversion"/>
  </si>
  <si>
    <t>민동춘 이사</t>
    <phoneticPr fontId="3" type="noConversion"/>
  </si>
  <si>
    <t xml:space="preserve">   1. LTO7 TAPE Media 구매 사업</t>
    <phoneticPr fontId="3" type="noConversion"/>
  </si>
  <si>
    <t>MR-L7MQN-01</t>
    <phoneticPr fontId="3" type="noConversion"/>
  </si>
  <si>
    <t>LTO7 TAPE Media 구매 사업</t>
    <phoneticPr fontId="3" type="noConversion"/>
  </si>
  <si>
    <t>1. 본 견적은 KDB산업은행 "LTO7 TAPE Media 구매 사업"에 대한 견적서 입니다.</t>
    <phoneticPr fontId="3" type="noConversion"/>
  </si>
  <si>
    <t>Sub Total (138식 기준)</t>
    <phoneticPr fontId="3" type="noConversion"/>
  </si>
  <si>
    <t>Grand Total (부가세 별도)</t>
    <phoneticPr fontId="3" type="noConversion"/>
  </si>
  <si>
    <t>Grand Total (부가세 포함)</t>
    <phoneticPr fontId="3" type="noConversion"/>
  </si>
  <si>
    <t>Quantum Data Media, LTO Ultrium 7 (바코드라벨 및 납품, 장착 지원 포함)</t>
    <phoneticPr fontId="3" type="noConversion"/>
  </si>
  <si>
    <t>발주 후 2주 이내</t>
    <phoneticPr fontId="3" type="noConversion"/>
  </si>
  <si>
    <t>- 이 하 여 백 -</t>
    <phoneticPr fontId="3" type="noConversion"/>
  </si>
  <si>
    <t>손지훈 행원님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</si>
</sst>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5" formatCode="&quot;₩&quot;#,##0;\-&quot;₩&quot;#,##0"/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);[Red]\(#,##0\)"/>
    <numFmt numFmtId="177" formatCode="#,##0_ "/>
    <numFmt numFmtId="178" formatCode="yyyy&quot;년&quot;\ m&quot;월&quot;\ d&quot;일&quot;"/>
    <numFmt numFmtId="179" formatCode="_-* #,##0.0_-;\-* #,##0.0_-;_-* &quot;-&quot;??_-;_-@_-"/>
    <numFmt numFmtId="180" formatCode="_(* #,##0_);_(* \(#,##0\);_(* &quot;-&quot;_);_(@_)"/>
    <numFmt numFmtId="181" formatCode="&quot;$&quot;#,##0_);[Red]\(&quot;$&quot;#,##0\)"/>
    <numFmt numFmtId="182" formatCode="_ * #,##0_ ;_ * \-#,##0_ ;_ * &quot;-&quot;_ ;_ @_ "/>
    <numFmt numFmtId="183" formatCode="_ * #,##0.00_ ;_ * \-#,##0.00_ ;_ * &quot;-&quot;??_ ;_ @_ 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6" formatCode="_(* #,##0.00_);_(* \(#,##0.00\);_(* &quot;-&quot;??_);_(@_)"/>
    <numFmt numFmtId="187" formatCode="dd\-mmm\-yy;@"/>
    <numFmt numFmtId="188" formatCode="#,##0.0;\-#,##0.0"/>
    <numFmt numFmtId="189" formatCode="#,##0.000;\-#,##0.000"/>
    <numFmt numFmtId="190" formatCode="#,##0.0000;\-#,##0.0000"/>
    <numFmt numFmtId="191" formatCode="&quot;₩&quot;#,##0;&quot;₩&quot;&quot;₩&quot;&quot;₩&quot;\-#,##0"/>
    <numFmt numFmtId="192" formatCode="0.00_)"/>
    <numFmt numFmtId="193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_);_(@_)"/>
    <numFmt numFmtId="194" formatCode="&quot;$&quot;\ 0.00"/>
    <numFmt numFmtId="195" formatCode="0.0000"/>
    <numFmt numFmtId="196" formatCode="0.0%_);[Red]\(0.0%\)"/>
    <numFmt numFmtId="197" formatCode="&quot;₩&quot;#,##0;[Red]&quot;₩&quot;&quot;₩&quot;&quot;₩&quot;&quot;₩&quot;&quot;₩&quot;&quot;₩&quot;\-#,##0"/>
    <numFmt numFmtId="198" formatCode="&quot;₩&quot;#,##0.00;&quot;₩&quot;&quot;₩&quot;&quot;₩&quot;&quot;₩&quot;&quot;₩&quot;&quot;₩&quot;\-#,##0.00"/>
    <numFmt numFmtId="199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0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01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2" formatCode="_ * #,##0_ ;_ * 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03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04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05" formatCode="0.00\K"/>
    <numFmt numFmtId="206" formatCode="m&quot;/&quot;d"/>
    <numFmt numFmtId="207" formatCode="&quot;$&quot;#,##0.00000_);\(&quot;$&quot;#,##0.00000\)"/>
    <numFmt numFmtId="208" formatCode="#,##0.0_);[Red]&quot;₩&quot;&quot;₩&quot;&quot;₩&quot;&quot;₩&quot;&quot;₩&quot;&quot;₩&quot;\(#,##0.0&quot;₩&quot;&quot;₩&quot;&quot;₩&quot;&quot;₩&quot;&quot;₩&quot;&quot;₩&quot;\)"/>
    <numFmt numFmtId="209" formatCode="#,##0.0%;[Red]&quot;₩&quot;&quot;₩&quot;&quot;₩&quot;&quot;₩&quot;&quot;₩&quot;&quot;₩&quot;\(#,##0.0%&quot;₩&quot;&quot;₩&quot;&quot;₩&quot;&quot;₩&quot;&quot;₩&quot;&quot;₩&quot;\)"/>
    <numFmt numFmtId="210" formatCode="_-* #,##0\ _D_M_-;\-* #,##0\ _D_M_-;_-* &quot;-&quot;\ _D_M_-;_-@_-"/>
    <numFmt numFmtId="211" formatCode="_-* #,##0.00\ _D_M_-;\-* #,##0.00\ _D_M_-;_-* &quot;-&quot;??\ _D_M_-;_-@_-"/>
    <numFmt numFmtId="212" formatCode="0.0%_);\(0.0%\)"/>
    <numFmt numFmtId="213" formatCode="&quot;$&quot;#,##0.0_);[Red]&quot;₩&quot;&quot;₩&quot;&quot;₩&quot;&quot;₩&quot;&quot;₩&quot;&quot;₩&quot;\(&quot;$&quot;#,##0.0&quot;₩&quot;&quot;₩&quot;&quot;₩&quot;&quot;₩&quot;&quot;₩&quot;&quot;₩&quot;\)"/>
    <numFmt numFmtId="214" formatCode="#,##0.0_%;[Red]&quot;₩&quot;&quot;₩&quot;&quot;₩&quot;&quot;₩&quot;&quot;₩&quot;&quot;₩&quot;\(#,##0.0%&quot;₩&quot;&quot;₩&quot;&quot;₩&quot;&quot;₩&quot;&quot;₩&quot;&quot;₩&quot;\)"/>
    <numFmt numFmtId="215" formatCode="#,##0.0_%&quot;₩&quot;&quot;₩&quot;&quot;₩&quot;&quot;₩&quot;&quot;₩&quot;&quot;₩&quot;\);[Red]&quot;₩&quot;&quot;₩&quot;&quot;₩&quot;&quot;₩&quot;&quot;₩&quot;&quot;₩&quot;\(#,##0.0%&quot;₩&quot;&quot;₩&quot;&quot;₩&quot;&quot;₩&quot;&quot;₩&quot;&quot;₩&quot;\)"/>
    <numFmt numFmtId="216" formatCode="_-* #,##0\ &quot;DM&quot;_-;\-* #,##0\ &quot;DM&quot;_-;_-* &quot;-&quot;\ &quot;DM&quot;_-;_-@_-"/>
    <numFmt numFmtId="217" formatCode="_-* #,##0.00\ &quot;DM&quot;_-;\-* #,##0.00\ &quot;DM&quot;_-;_-* &quot;-&quot;??\ &quot;DM&quot;_-;_-@_-"/>
    <numFmt numFmtId="218" formatCode="&quot;$&quot;#,##0.0_);\(&quot;$&quot;#,##0.0\)"/>
    <numFmt numFmtId="219" formatCode="&quot;$&quot;#,&quot;₩&quot;&quot;₩&quot;&quot;₩&quot;&quot;₩&quot;&quot;₩&quot;&quot;₩&quot;\);&quot;₩&quot;&quot;₩&quot;&quot;₩&quot;&quot;₩&quot;&quot;₩&quot;&quot;₩&quot;\(&quot;$&quot;#,&quot;₩&quot;&quot;₩&quot;&quot;₩&quot;&quot;₩&quot;&quot;₩&quot;&quot;₩&quot;\)"/>
    <numFmt numFmtId="220" formatCode="####"/>
    <numFmt numFmtId="221" formatCode="&quot;₩&quot;#,##0.00;[Red]&quot;₩&quot;&quot;₩&quot;&quot;₩&quot;&quot;₩&quot;&quot;₩&quot;\-&quot;₩&quot;#,##0.00"/>
    <numFmt numFmtId="222" formatCode="\,##"/>
    <numFmt numFmtId="223" formatCode="_-* #,##0_-;&quot;₩&quot;&quot;₩&quot;&quot;₩&quot;&quot;₩&quot;&quot;₩&quot;\-* #,##0_-;_-* &quot;-&quot;_-;_-@_-"/>
    <numFmt numFmtId="224" formatCode="#.00"/>
    <numFmt numFmtId="225" formatCode="##"/>
    <numFmt numFmtId="226" formatCode="_-* #,##0.00_-;&quot;₩&quot;\-* #,##0.00_-;_-* &quot;-&quot;??_-;_-@_-"/>
    <numFmt numFmtId="227" formatCode="###"/>
    <numFmt numFmtId="228" formatCode="_(* #,##0.0_);_(* &quot;₩&quot;&quot;₩&quot;&quot;₩&quot;&quot;₩&quot;&quot;₩&quot;&quot;₩&quot;\(#,##0.0&quot;₩&quot;&quot;₩&quot;&quot;₩&quot;&quot;₩&quot;&quot;₩&quot;&quot;₩&quot;\);_(* &quot;-&quot;_);_(@_)"/>
    <numFmt numFmtId="229" formatCode="0000"/>
    <numFmt numFmtId="230" formatCode="0.00;[Red]0.00"/>
    <numFmt numFmtId="231" formatCode="hh:mm:ss\ &quot;上&quot;&quot;午&quot;/&quot;下&quot;&quot;午&quot;_)"/>
    <numFmt numFmtId="232" formatCode="_(* #,##0.00000_);_(* \(#,##0.00000\);_(* &quot;-&quot;??_);_(@_)"/>
    <numFmt numFmtId="233" formatCode="_(&quot;$&quot;* #,##0.0_);_(&quot;$&quot;* \(#,##0.0\);_(&quot;$&quot;* &quot;-&quot;_);_(@_)"/>
    <numFmt numFmtId="234" formatCode="General_)"/>
    <numFmt numFmtId="235" formatCode="&quot;$&quot;#,###"/>
    <numFmt numFmtId="236" formatCode="_-&quot;DM&quot;* #,##0_-;_-&quot;DM&quot;* #,##0\-;_-&quot;DM&quot;* &quot;-&quot;_-;_-@_-"/>
    <numFmt numFmtId="237" formatCode="_-&quot;DM&quot;* #,##0.00_-;_-&quot;DM&quot;* #,##0.00\-;_-&quot;DM&quot;* &quot;-&quot;??_-;_-@_-"/>
    <numFmt numFmtId="238" formatCode="_-* #,##0.0_-;\-* #,##0.0_-;_-* &quot;-&quot;?_-;_-@_-"/>
    <numFmt numFmtId="239" formatCode="#,##0.0"/>
    <numFmt numFmtId="240" formatCode="&quot;$&quot;#,##0_);\(&quot;$&quot;#,##0\)"/>
    <numFmt numFmtId="241" formatCode="&quot;$&quot;#,##0.00_);\(&quot;$&quot;#,##0.00\)"/>
    <numFmt numFmtId="242" formatCode="0.00000"/>
    <numFmt numFmtId="243" formatCode="0.000"/>
    <numFmt numFmtId="244" formatCode="_ &quot;SFr.&quot;* #,##0_ ;_ &quot;SFr.&quot;* \-#,##0_ ;_ &quot;SFr.&quot;* &quot;-&quot;_ ;_ @_ "/>
    <numFmt numFmtId="245" formatCode="_-* #,##0&quot;₩&quot;\ _D_M_-;&quot;₩&quot;\-* #,##0&quot;₩&quot;\ _D_M_-;_-* &quot;-&quot;&quot;₩&quot;\ _D_M_-;_-@_-"/>
    <numFmt numFmtId="246" formatCode="_ * #,##0_ ;_ * &quot;₩&quot;\-#,##0_ ;_ * &quot;-&quot;??_ ;_ @_ "/>
    <numFmt numFmtId="247" formatCode="_ * #,##0.000000_ ;_ * &quot;₩&quot;\-#,##0.000000_ ;_ * &quot;-&quot;??_ ;_ @_ "/>
    <numFmt numFmtId="248" formatCode="#,##0.00000"/>
    <numFmt numFmtId="249" formatCode="_ &quot;₩&quot;* #,##0.0000000_ ;_ &quot;₩&quot;* &quot;₩&quot;\-#,##0.0000000_ ;_ &quot;₩&quot;* &quot;-&quot;??_ ;_ @_ "/>
    <numFmt numFmtId="250" formatCode="0.0%;[Red]&quot;△&quot;0.0%"/>
    <numFmt numFmtId="251" formatCode="#,##0;[Red]&quot;△&quot;#,##0"/>
    <numFmt numFmtId="252" formatCode="###,###,"/>
    <numFmt numFmtId="253" formatCode="* #,##0.0"/>
    <numFmt numFmtId="254" formatCode="#.##,"/>
    <numFmt numFmtId="255" formatCode="0.00000000"/>
    <numFmt numFmtId="256" formatCode="0.00000%"/>
    <numFmt numFmtId="257" formatCode="_([$$-409]* #,##0.00_);_([$$-409]* \(#,##0.00\);_([$$-409]* &quot;-&quot;??_);_(@_)"/>
    <numFmt numFmtId="258" formatCode="0.0#"/>
    <numFmt numFmtId="259" formatCode="_ * #,##0_ ;_ * &quot;₩&quot;&quot;₩&quot;\-#,##0_ ;_ * &quot;-&quot;_ ;_ @_ "/>
    <numFmt numFmtId="260" formatCode="#,##0\ &quot;F&quot;;[Red]\-#,##0\ &quot;F&quot;"/>
    <numFmt numFmtId="261" formatCode="#,##0.00\ &quot;F&quot;;[Red]\-#,##0.00\ &quot;F&quot;"/>
    <numFmt numFmtId="262" formatCode="[$-409]d/mmm/yy;@"/>
  </numFmts>
  <fonts count="18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1"/>
      <color indexed="8"/>
      <name val="Arial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11"/>
      <color indexed="8"/>
      <name val="Calibri"/>
      <family val="2"/>
    </font>
    <font>
      <sz val="12"/>
      <name val="宋体"/>
      <family val="3"/>
      <charset val="129"/>
    </font>
    <font>
      <sz val="10"/>
      <name val="MS Sans Serif"/>
      <family val="2"/>
    </font>
    <font>
      <sz val="8"/>
      <color indexed="12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0"/>
      <color indexed="8"/>
      <name val="MS Sans Serif"/>
      <family val="2"/>
    </font>
    <font>
      <sz val="11"/>
      <color indexed="8"/>
      <name val="新細明體"/>
      <family val="1"/>
      <charset val="136"/>
    </font>
    <font>
      <b/>
      <sz val="9"/>
      <color indexed="18"/>
      <name val="Arial"/>
      <family val="2"/>
    </font>
    <font>
      <sz val="10"/>
      <name val="명조"/>
      <family val="3"/>
      <charset val="129"/>
    </font>
    <font>
      <sz val="12"/>
      <name val="돋움체"/>
      <family val="3"/>
      <charset val="129"/>
    </font>
    <font>
      <sz val="11"/>
      <color indexed="8"/>
      <name val="굴림체"/>
      <family val="3"/>
      <charset val="129"/>
    </font>
    <font>
      <sz val="9"/>
      <name val="굴림"/>
      <family val="3"/>
      <charset val="129"/>
    </font>
    <font>
      <u/>
      <sz val="6.75"/>
      <color indexed="12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6"/>
      <color indexed="9"/>
      <name val="Arial"/>
      <family val="2"/>
    </font>
    <font>
      <sz val="14"/>
      <color indexed="9"/>
      <name val="Arial"/>
      <family val="2"/>
    </font>
    <font>
      <sz val="12"/>
      <color indexed="9"/>
      <name val="Arial"/>
      <family val="2"/>
    </font>
    <font>
      <b/>
      <i/>
      <sz val="18"/>
      <color indexed="9"/>
      <name val="Arial"/>
      <family val="2"/>
    </font>
    <font>
      <sz val="12"/>
      <name val="뼻뮝"/>
      <family val="3"/>
      <charset val="129"/>
    </font>
    <font>
      <sz val="12"/>
      <name val="Times New Roman"/>
      <family val="1"/>
    </font>
    <font>
      <sz val="10"/>
      <name val="Geneva"/>
      <family val="2"/>
    </font>
    <font>
      <sz val="1"/>
      <color indexed="8"/>
      <name val="Courier"/>
      <family val="3"/>
    </font>
    <font>
      <u/>
      <sz val="9.9"/>
      <color indexed="12"/>
      <name val="돋움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명조"/>
      <family val="3"/>
      <charset val="129"/>
    </font>
    <font>
      <b/>
      <sz val="12"/>
      <name val="바탕체"/>
      <family val="1"/>
      <charset val="129"/>
    </font>
    <font>
      <sz val="7"/>
      <name val="Small Fonts"/>
      <family val="2"/>
    </font>
    <font>
      <u/>
      <sz val="12.65"/>
      <color indexed="12"/>
      <name val="돋움"/>
      <family val="3"/>
      <charset val="129"/>
    </font>
    <font>
      <sz val="11"/>
      <color indexed="19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Arial"/>
      <family val="2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1"/>
      <color indexed="10"/>
      <name val="돋움"/>
      <family val="3"/>
      <charset val="129"/>
    </font>
    <font>
      <sz val="10"/>
      <name val="Times"/>
      <family val="1"/>
    </font>
    <font>
      <b/>
      <sz val="11"/>
      <name val="Times"/>
      <family val="1"/>
    </font>
    <font>
      <b/>
      <i/>
      <sz val="12"/>
      <color indexed="12"/>
      <name val="Arial"/>
      <family val="2"/>
    </font>
    <font>
      <sz val="10"/>
      <name val="CG Times"/>
      <family val="1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0"/>
      <color theme="1"/>
      <name val="Arial"/>
      <family val="2"/>
    </font>
    <font>
      <sz val="8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u/>
      <sz val="10"/>
      <color indexed="12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8"/>
      <name val="新細明體"/>
      <family val="1"/>
    </font>
    <font>
      <sz val="11"/>
      <name val="굴림체"/>
      <family val="3"/>
      <charset val="129"/>
    </font>
    <font>
      <u/>
      <sz val="10"/>
      <color indexed="12"/>
      <name val="MS Sans Serif"/>
      <family val="2"/>
    </font>
    <font>
      <u/>
      <sz val="8"/>
      <color indexed="12"/>
      <name val="Times New Roman"/>
      <family val="1"/>
    </font>
    <font>
      <sz val="9"/>
      <color indexed="10"/>
      <name val="맑은 고딕"/>
      <family val="3"/>
      <charset val="129"/>
    </font>
    <font>
      <sz val="8"/>
      <color indexed="9"/>
      <name val="Arial"/>
      <family val="2"/>
    </font>
    <font>
      <sz val="8"/>
      <color indexed="20"/>
      <name val="Arial"/>
      <family val="2"/>
    </font>
    <font>
      <b/>
      <sz val="8"/>
      <color indexed="52"/>
      <name val="Arial"/>
      <family val="2"/>
    </font>
    <font>
      <i/>
      <sz val="8"/>
      <color indexed="23"/>
      <name val="Arial"/>
      <family val="2"/>
    </font>
    <font>
      <sz val="8"/>
      <color indexed="17"/>
      <name val="Arial"/>
      <family val="2"/>
    </font>
    <font>
      <sz val="8"/>
      <color indexed="62"/>
      <name val="Arial"/>
      <family val="2"/>
    </font>
    <font>
      <sz val="8"/>
      <color indexed="52"/>
      <name val="Arial"/>
      <family val="2"/>
    </font>
    <font>
      <sz val="8"/>
      <color indexed="60"/>
      <name val="Arial"/>
      <family val="2"/>
    </font>
    <font>
      <b/>
      <sz val="8"/>
      <color indexed="63"/>
      <name val="Arial"/>
      <family val="2"/>
    </font>
    <font>
      <b/>
      <sz val="8"/>
      <color indexed="8"/>
      <name val="Arial"/>
      <family val="2"/>
    </font>
    <font>
      <sz val="10"/>
      <color indexed="8"/>
      <name val="Helv"/>
      <family val="2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9"/>
      <color indexed="60"/>
      <name val="맑은 고딕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u/>
      <sz val="10"/>
      <color indexed="36"/>
      <name val="MS Sans Serif"/>
      <family val="2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b/>
      <sz val="11"/>
      <color indexed="18"/>
      <name val="Times New Roman"/>
      <family val="1"/>
    </font>
    <font>
      <u/>
      <sz val="10"/>
      <color indexed="14"/>
      <name val="MS Sans Serif"/>
      <family val="2"/>
    </font>
    <font>
      <b/>
      <sz val="8.5"/>
      <name val="MS Sans Serif"/>
      <family val="2"/>
    </font>
    <font>
      <sz val="24"/>
      <name val="Courier New"/>
      <family val="3"/>
    </font>
    <font>
      <sz val="11"/>
      <color rgb="FF000000"/>
      <name val="Calibri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</fonts>
  <fills count="10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40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207">
    <xf numFmtId="0" fontId="0" fillId="0" borderId="0"/>
    <xf numFmtId="0" fontId="11" fillId="0" borderId="0"/>
    <xf numFmtId="0" fontId="82" fillId="0" borderId="1"/>
    <xf numFmtId="0" fontId="5" fillId="0" borderId="0"/>
    <xf numFmtId="0" fontId="11" fillId="0" borderId="0"/>
    <xf numFmtId="0" fontId="11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11" fillId="0" borderId="0"/>
    <xf numFmtId="0" fontId="6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20" fillId="0" borderId="0"/>
    <xf numFmtId="0" fontId="11" fillId="0" borderId="0"/>
    <xf numFmtId="0" fontId="11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11" fillId="0" borderId="0"/>
    <xf numFmtId="0" fontId="1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9" fontId="6" fillId="2" borderId="0"/>
    <xf numFmtId="0" fontId="6" fillId="0" borderId="0"/>
    <xf numFmtId="0" fontId="2" fillId="0" borderId="0"/>
    <xf numFmtId="0" fontId="61" fillId="0" borderId="0"/>
    <xf numFmtId="0" fontId="2" fillId="0" borderId="0"/>
    <xf numFmtId="0" fontId="61" fillId="0" borderId="0"/>
    <xf numFmtId="0" fontId="25" fillId="3" borderId="0" applyNumberFormat="0" applyBorder="0" applyAlignment="0" applyProtection="0"/>
    <xf numFmtId="0" fontId="109" fillId="54" borderId="0" applyNumberFormat="0" applyBorder="0" applyAlignment="0" applyProtection="0"/>
    <xf numFmtId="0" fontId="109" fillId="54" borderId="0" applyNumberFormat="0" applyBorder="0" applyAlignment="0" applyProtection="0"/>
    <xf numFmtId="0" fontId="25" fillId="3" borderId="0" applyNumberFormat="0" applyBorder="0" applyAlignment="0" applyProtection="0"/>
    <xf numFmtId="0" fontId="109" fillId="54" borderId="0" applyNumberFormat="0" applyBorder="0" applyAlignment="0" applyProtection="0"/>
    <xf numFmtId="0" fontId="109" fillId="54" borderId="0" applyNumberFormat="0" applyBorder="0" applyAlignment="0" applyProtection="0"/>
    <xf numFmtId="0" fontId="25" fillId="3" borderId="0" applyNumberFormat="0" applyBorder="0" applyAlignment="0" applyProtection="0"/>
    <xf numFmtId="0" fontId="10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/>
    <xf numFmtId="0" fontId="109" fillId="55" borderId="0" applyNumberFormat="0" applyBorder="0" applyAlignment="0" applyProtection="0"/>
    <xf numFmtId="0" fontId="109" fillId="55" borderId="0" applyNumberFormat="0" applyBorder="0" applyAlignment="0" applyProtection="0"/>
    <xf numFmtId="0" fontId="25" fillId="5" borderId="0" applyNumberFormat="0" applyBorder="0" applyAlignment="0" applyProtection="0"/>
    <xf numFmtId="0" fontId="109" fillId="55" borderId="0" applyNumberFormat="0" applyBorder="0" applyAlignment="0" applyProtection="0"/>
    <xf numFmtId="0" fontId="109" fillId="55" borderId="0" applyNumberFormat="0" applyBorder="0" applyAlignment="0" applyProtection="0"/>
    <xf numFmtId="0" fontId="25" fillId="5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/>
    <xf numFmtId="0" fontId="109" fillId="56" borderId="0" applyNumberFormat="0" applyBorder="0" applyAlignment="0" applyProtection="0"/>
    <xf numFmtId="0" fontId="109" fillId="56" borderId="0" applyNumberFormat="0" applyBorder="0" applyAlignment="0" applyProtection="0"/>
    <xf numFmtId="0" fontId="25" fillId="7" borderId="0" applyNumberFormat="0" applyBorder="0" applyAlignment="0" applyProtection="0"/>
    <xf numFmtId="0" fontId="109" fillId="56" borderId="0" applyNumberFormat="0" applyBorder="0" applyAlignment="0" applyProtection="0"/>
    <xf numFmtId="0" fontId="109" fillId="56" borderId="0" applyNumberFormat="0" applyBorder="0" applyAlignment="0" applyProtection="0"/>
    <xf numFmtId="0" fontId="25" fillId="7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9" fillId="57" borderId="0" applyNumberFormat="0" applyBorder="0" applyAlignment="0" applyProtection="0"/>
    <xf numFmtId="0" fontId="109" fillId="57" borderId="0" applyNumberFormat="0" applyBorder="0" applyAlignment="0" applyProtection="0"/>
    <xf numFmtId="0" fontId="25" fillId="9" borderId="0" applyNumberFormat="0" applyBorder="0" applyAlignment="0" applyProtection="0"/>
    <xf numFmtId="0" fontId="109" fillId="57" borderId="0" applyNumberFormat="0" applyBorder="0" applyAlignment="0" applyProtection="0"/>
    <xf numFmtId="0" fontId="109" fillId="57" borderId="0" applyNumberFormat="0" applyBorder="0" applyAlignment="0" applyProtection="0"/>
    <xf numFmtId="0" fontId="25" fillId="9" borderId="0" applyNumberFormat="0" applyBorder="0" applyAlignment="0" applyProtection="0"/>
    <xf numFmtId="0" fontId="10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/>
    <xf numFmtId="0" fontId="109" fillId="58" borderId="0" applyNumberFormat="0" applyBorder="0" applyAlignment="0" applyProtection="0"/>
    <xf numFmtId="0" fontId="109" fillId="58" borderId="0" applyNumberFormat="0" applyBorder="0" applyAlignment="0" applyProtection="0"/>
    <xf numFmtId="0" fontId="25" fillId="11" borderId="0" applyNumberFormat="0" applyBorder="0" applyAlignment="0" applyProtection="0"/>
    <xf numFmtId="0" fontId="109" fillId="58" borderId="0" applyNumberFormat="0" applyBorder="0" applyAlignment="0" applyProtection="0"/>
    <xf numFmtId="0" fontId="109" fillId="58" borderId="0" applyNumberFormat="0" applyBorder="0" applyAlignment="0" applyProtection="0"/>
    <xf numFmtId="0" fontId="25" fillId="11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25" fillId="10" borderId="0" applyNumberFormat="0" applyBorder="0" applyAlignment="0" applyProtection="0"/>
    <xf numFmtId="0" fontId="109" fillId="59" borderId="0" applyNumberFormat="0" applyBorder="0" applyAlignment="0" applyProtection="0"/>
    <xf numFmtId="0" fontId="109" fillId="59" borderId="0" applyNumberFormat="0" applyBorder="0" applyAlignment="0" applyProtection="0"/>
    <xf numFmtId="0" fontId="25" fillId="10" borderId="0" applyNumberFormat="0" applyBorder="0" applyAlignment="0" applyProtection="0"/>
    <xf numFmtId="0" fontId="109" fillId="59" borderId="0" applyNumberFormat="0" applyBorder="0" applyAlignment="0" applyProtection="0"/>
    <xf numFmtId="0" fontId="109" fillId="59" borderId="0" applyNumberFormat="0" applyBorder="0" applyAlignment="0" applyProtection="0"/>
    <xf numFmtId="0" fontId="25" fillId="10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25" fillId="3" borderId="0" applyNumberFormat="0" applyBorder="0" applyAlignment="0" applyProtection="0"/>
    <xf numFmtId="0" fontId="10" fillId="4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25" fillId="5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25" fillId="7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" fillId="10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25" fillId="11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25" fillId="10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9" fillId="60" borderId="0" applyNumberFormat="0" applyBorder="0" applyAlignment="0" applyProtection="0"/>
    <xf numFmtId="0" fontId="109" fillId="60" borderId="0" applyNumberFormat="0" applyBorder="0" applyAlignment="0" applyProtection="0"/>
    <xf numFmtId="0" fontId="25" fillId="4" borderId="0" applyNumberFormat="0" applyBorder="0" applyAlignment="0" applyProtection="0"/>
    <xf numFmtId="0" fontId="109" fillId="60" borderId="0" applyNumberFormat="0" applyBorder="0" applyAlignment="0" applyProtection="0"/>
    <xf numFmtId="0" fontId="109" fillId="60" borderId="0" applyNumberFormat="0" applyBorder="0" applyAlignment="0" applyProtection="0"/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/>
    <xf numFmtId="0" fontId="109" fillId="61" borderId="0" applyNumberFormat="0" applyBorder="0" applyAlignment="0" applyProtection="0"/>
    <xf numFmtId="0" fontId="109" fillId="61" borderId="0" applyNumberFormat="0" applyBorder="0" applyAlignment="0" applyProtection="0"/>
    <xf numFmtId="0" fontId="25" fillId="6" borderId="0" applyNumberFormat="0" applyBorder="0" applyAlignment="0" applyProtection="0"/>
    <xf numFmtId="0" fontId="109" fillId="61" borderId="0" applyNumberFormat="0" applyBorder="0" applyAlignment="0" applyProtection="0"/>
    <xf numFmtId="0" fontId="109" fillId="61" borderId="0" applyNumberFormat="0" applyBorder="0" applyAlignment="0" applyProtection="0"/>
    <xf numFmtId="0" fontId="25" fillId="6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/>
    <xf numFmtId="0" fontId="109" fillId="62" borderId="0" applyNumberFormat="0" applyBorder="0" applyAlignment="0" applyProtection="0"/>
    <xf numFmtId="0" fontId="109" fillId="62" borderId="0" applyNumberFormat="0" applyBorder="0" applyAlignment="0" applyProtection="0"/>
    <xf numFmtId="0" fontId="25" fillId="12" borderId="0" applyNumberFormat="0" applyBorder="0" applyAlignment="0" applyProtection="0"/>
    <xf numFmtId="0" fontId="109" fillId="62" borderId="0" applyNumberFormat="0" applyBorder="0" applyAlignment="0" applyProtection="0"/>
    <xf numFmtId="0" fontId="109" fillId="62" borderId="0" applyNumberFormat="0" applyBorder="0" applyAlignment="0" applyProtection="0"/>
    <xf numFmtId="0" fontId="25" fillId="12" borderId="0" applyNumberFormat="0" applyBorder="0" applyAlignment="0" applyProtection="0"/>
    <xf numFmtId="0" fontId="10" fillId="13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9" fillId="63" borderId="0" applyNumberFormat="0" applyBorder="0" applyAlignment="0" applyProtection="0"/>
    <xf numFmtId="0" fontId="109" fillId="63" borderId="0" applyNumberFormat="0" applyBorder="0" applyAlignment="0" applyProtection="0"/>
    <xf numFmtId="0" fontId="25" fillId="9" borderId="0" applyNumberFormat="0" applyBorder="0" applyAlignment="0" applyProtection="0"/>
    <xf numFmtId="0" fontId="109" fillId="63" borderId="0" applyNumberFormat="0" applyBorder="0" applyAlignment="0" applyProtection="0"/>
    <xf numFmtId="0" fontId="109" fillId="63" borderId="0" applyNumberFormat="0" applyBorder="0" applyAlignment="0" applyProtection="0"/>
    <xf numFmtId="0" fontId="25" fillId="9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9" fillId="64" borderId="0" applyNumberFormat="0" applyBorder="0" applyAlignment="0" applyProtection="0"/>
    <xf numFmtId="0" fontId="109" fillId="64" borderId="0" applyNumberFormat="0" applyBorder="0" applyAlignment="0" applyProtection="0"/>
    <xf numFmtId="0" fontId="25" fillId="4" borderId="0" applyNumberFormat="0" applyBorder="0" applyAlignment="0" applyProtection="0"/>
    <xf numFmtId="0" fontId="109" fillId="64" borderId="0" applyNumberFormat="0" applyBorder="0" applyAlignment="0" applyProtection="0"/>
    <xf numFmtId="0" fontId="109" fillId="64" borderId="0" applyNumberFormat="0" applyBorder="0" applyAlignment="0" applyProtection="0"/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/>
    <xf numFmtId="0" fontId="109" fillId="65" borderId="0" applyNumberFormat="0" applyBorder="0" applyAlignment="0" applyProtection="0"/>
    <xf numFmtId="0" fontId="109" fillId="65" borderId="0" applyNumberFormat="0" applyBorder="0" applyAlignment="0" applyProtection="0"/>
    <xf numFmtId="0" fontId="25" fillId="14" borderId="0" applyNumberFormat="0" applyBorder="0" applyAlignment="0" applyProtection="0"/>
    <xf numFmtId="0" fontId="109" fillId="65" borderId="0" applyNumberFormat="0" applyBorder="0" applyAlignment="0" applyProtection="0"/>
    <xf numFmtId="0" fontId="109" fillId="65" borderId="0" applyNumberFormat="0" applyBorder="0" applyAlignment="0" applyProtection="0"/>
    <xf numFmtId="0" fontId="25" fillId="14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25" fillId="6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25" fillId="12" borderId="0" applyNumberFormat="0" applyBorder="0" applyAlignment="0" applyProtection="0"/>
    <xf numFmtId="0" fontId="10" fillId="13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25" fillId="14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42" fillId="16" borderId="0" applyNumberFormat="0" applyBorder="0" applyAlignment="0" applyProtection="0">
      <alignment vertical="center"/>
    </xf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42" fillId="5" borderId="0" applyNumberFormat="0" applyBorder="0" applyAlignment="0" applyProtection="0">
      <alignment vertical="center"/>
    </xf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42" fillId="6" borderId="0" applyNumberFormat="0" applyBorder="0" applyAlignment="0" applyProtection="0">
      <alignment vertical="center"/>
    </xf>
    <xf numFmtId="0" fontId="66" fillId="15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10" fillId="66" borderId="0" applyNumberFormat="0" applyBorder="0" applyAlignment="0" applyProtection="0">
      <alignment vertical="center"/>
    </xf>
    <xf numFmtId="0" fontId="66" fillId="6" borderId="0" applyNumberFormat="0" applyBorder="0" applyAlignment="0" applyProtection="0"/>
    <xf numFmtId="0" fontId="42" fillId="1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10" fillId="67" borderId="0" applyNumberFormat="0" applyBorder="0" applyAlignment="0" applyProtection="0">
      <alignment vertical="center"/>
    </xf>
    <xf numFmtId="0" fontId="66" fillId="12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110" fillId="68" borderId="0" applyNumberFormat="0" applyBorder="0" applyAlignment="0" applyProtection="0">
      <alignment vertical="center"/>
    </xf>
    <xf numFmtId="0" fontId="66" fillId="17" borderId="0" applyNumberFormat="0" applyBorder="0" applyAlignment="0" applyProtection="0"/>
    <xf numFmtId="0" fontId="42" fillId="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10" fillId="69" borderId="0" applyNumberFormat="0" applyBorder="0" applyAlignment="0" applyProtection="0">
      <alignment vertical="center"/>
    </xf>
    <xf numFmtId="0" fontId="66" fillId="18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10" fillId="70" borderId="0" applyNumberFormat="0" applyBorder="0" applyAlignment="0" applyProtection="0">
      <alignment vertical="center"/>
    </xf>
    <xf numFmtId="0" fontId="66" fillId="19" borderId="0" applyNumberFormat="0" applyBorder="0" applyAlignment="0" applyProtection="0"/>
    <xf numFmtId="0" fontId="42" fillId="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66" fillId="20" borderId="0" applyNumberFormat="0" applyBorder="0" applyAlignment="0" applyProtection="0"/>
    <xf numFmtId="0" fontId="111" fillId="72" borderId="0" applyNumberFormat="0" applyBorder="0" applyAlignment="0" applyProtection="0"/>
    <xf numFmtId="0" fontId="43" fillId="21" borderId="0" applyNumberFormat="0" applyBorder="0" applyAlignment="0" applyProtection="0"/>
    <xf numFmtId="0" fontId="111" fillId="73" borderId="0" applyNumberFormat="0" applyBorder="0" applyAlignment="0" applyProtection="0"/>
    <xf numFmtId="0" fontId="43" fillId="21" borderId="0" applyNumberFormat="0" applyBorder="0" applyAlignment="0" applyProtection="0"/>
    <xf numFmtId="0" fontId="112" fillId="74" borderId="0" applyNumberFormat="0" applyBorder="0" applyAlignment="0" applyProtection="0"/>
    <xf numFmtId="0" fontId="44" fillId="22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44" fillId="23" borderId="0" applyNumberFormat="0" applyBorder="0" applyAlignment="0" applyProtection="0"/>
    <xf numFmtId="0" fontId="66" fillId="24" borderId="0" applyNumberFormat="0" applyBorder="0" applyAlignment="0" applyProtection="0"/>
    <xf numFmtId="0" fontId="111" fillId="75" borderId="0" applyNumberFormat="0" applyBorder="0" applyAlignment="0" applyProtection="0"/>
    <xf numFmtId="0" fontId="43" fillId="26" borderId="0" applyNumberFormat="0" applyBorder="0" applyAlignment="0" applyProtection="0"/>
    <xf numFmtId="0" fontId="111" fillId="76" borderId="0" applyNumberFormat="0" applyBorder="0" applyAlignment="0" applyProtection="0"/>
    <xf numFmtId="0" fontId="43" fillId="27" borderId="0" applyNumberFormat="0" applyBorder="0" applyAlignment="0" applyProtection="0"/>
    <xf numFmtId="0" fontId="112" fillId="77" borderId="0" applyNumberFormat="0" applyBorder="0" applyAlignment="0" applyProtection="0"/>
    <xf numFmtId="0" fontId="44" fillId="28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44" fillId="29" borderId="0" applyNumberFormat="0" applyBorder="0" applyAlignment="0" applyProtection="0"/>
    <xf numFmtId="0" fontId="66" fillId="30" borderId="0" applyNumberFormat="0" applyBorder="0" applyAlignment="0" applyProtection="0"/>
    <xf numFmtId="0" fontId="111" fillId="78" borderId="0" applyNumberFormat="0" applyBorder="0" applyAlignment="0" applyProtection="0"/>
    <xf numFmtId="0" fontId="43" fillId="26" borderId="0" applyNumberFormat="0" applyBorder="0" applyAlignment="0" applyProtection="0"/>
    <xf numFmtId="0" fontId="111" fillId="79" borderId="0" applyNumberFormat="0" applyBorder="0" applyAlignment="0" applyProtection="0"/>
    <xf numFmtId="0" fontId="43" fillId="31" borderId="0" applyNumberFormat="0" applyBorder="0" applyAlignment="0" applyProtection="0"/>
    <xf numFmtId="0" fontId="112" fillId="80" borderId="0" applyNumberFormat="0" applyBorder="0" applyAlignment="0" applyProtection="0"/>
    <xf numFmtId="0" fontId="44" fillId="27" borderId="0" applyNumberFormat="0" applyBorder="0" applyAlignment="0" applyProtection="0"/>
    <xf numFmtId="0" fontId="66" fillId="30" borderId="0" applyNumberFormat="0" applyBorder="0" applyAlignment="0" applyProtection="0"/>
    <xf numFmtId="0" fontId="66" fillId="30" borderId="0" applyNumberFormat="0" applyBorder="0" applyAlignment="0" applyProtection="0"/>
    <xf numFmtId="0" fontId="44" fillId="28" borderId="0" applyNumberFormat="0" applyBorder="0" applyAlignment="0" applyProtection="0"/>
    <xf numFmtId="0" fontId="66" fillId="17" borderId="0" applyNumberFormat="0" applyBorder="0" applyAlignment="0" applyProtection="0"/>
    <xf numFmtId="0" fontId="111" fillId="81" borderId="0" applyNumberFormat="0" applyBorder="0" applyAlignment="0" applyProtection="0"/>
    <xf numFmtId="0" fontId="43" fillId="21" borderId="0" applyNumberFormat="0" applyBorder="0" applyAlignment="0" applyProtection="0"/>
    <xf numFmtId="0" fontId="111" fillId="82" borderId="0" applyNumberFormat="0" applyBorder="0" applyAlignment="0" applyProtection="0"/>
    <xf numFmtId="0" fontId="43" fillId="27" borderId="0" applyNumberFormat="0" applyBorder="0" applyAlignment="0" applyProtection="0"/>
    <xf numFmtId="0" fontId="112" fillId="83" borderId="0" applyNumberFormat="0" applyBorder="0" applyAlignment="0" applyProtection="0"/>
    <xf numFmtId="0" fontId="44" fillId="2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44" fillId="23" borderId="0" applyNumberFormat="0" applyBorder="0" applyAlignment="0" applyProtection="0"/>
    <xf numFmtId="0" fontId="66" fillId="18" borderId="0" applyNumberFormat="0" applyBorder="0" applyAlignment="0" applyProtection="0"/>
    <xf numFmtId="0" fontId="111" fillId="84" borderId="0" applyNumberFormat="0" applyBorder="0" applyAlignment="0" applyProtection="0"/>
    <xf numFmtId="0" fontId="43" fillId="32" borderId="0" applyNumberFormat="0" applyBorder="0" applyAlignment="0" applyProtection="0"/>
    <xf numFmtId="0" fontId="111" fillId="85" borderId="0" applyNumberFormat="0" applyBorder="0" applyAlignment="0" applyProtection="0"/>
    <xf numFmtId="0" fontId="43" fillId="21" borderId="0" applyNumberFormat="0" applyBorder="0" applyAlignment="0" applyProtection="0"/>
    <xf numFmtId="0" fontId="112" fillId="86" borderId="0" applyNumberFormat="0" applyBorder="0" applyAlignment="0" applyProtection="0"/>
    <xf numFmtId="0" fontId="44" fillId="22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44" fillId="33" borderId="0" applyNumberFormat="0" applyBorder="0" applyAlignment="0" applyProtection="0"/>
    <xf numFmtId="0" fontId="66" fillId="16" borderId="0" applyNumberFormat="0" applyBorder="0" applyAlignment="0" applyProtection="0"/>
    <xf numFmtId="0" fontId="111" fillId="87" borderId="0" applyNumberFormat="0" applyBorder="0" applyAlignment="0" applyProtection="0"/>
    <xf numFmtId="0" fontId="43" fillId="26" borderId="0" applyNumberFormat="0" applyBorder="0" applyAlignment="0" applyProtection="0"/>
    <xf numFmtId="0" fontId="111" fillId="88" borderId="0" applyNumberFormat="0" applyBorder="0" applyAlignment="0" applyProtection="0"/>
    <xf numFmtId="0" fontId="43" fillId="34" borderId="0" applyNumberFormat="0" applyBorder="0" applyAlignment="0" applyProtection="0"/>
    <xf numFmtId="0" fontId="112" fillId="89" borderId="0" applyNumberFormat="0" applyBorder="0" applyAlignment="0" applyProtection="0"/>
    <xf numFmtId="0" fontId="44" fillId="34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44" fillId="35" borderId="0" applyNumberFormat="0" applyBorder="0" applyAlignment="0" applyProtection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92" fillId="25" borderId="0" applyNumberFormat="0" applyBorder="0" applyAlignment="0" applyProtection="0"/>
    <xf numFmtId="37" fontId="21" fillId="0" borderId="0" applyNumberFormat="0" applyAlignment="0">
      <alignment horizontal="left" vertical="top" wrapText="1"/>
    </xf>
    <xf numFmtId="37" fontId="23" fillId="0" borderId="0" applyNumberFormat="0" applyAlignment="0">
      <alignment vertical="top" wrapText="1"/>
    </xf>
    <xf numFmtId="37" fontId="21" fillId="0" borderId="0" applyNumberFormat="0" applyAlignment="0">
      <alignment horizontal="right" vertical="top" wrapText="1"/>
    </xf>
    <xf numFmtId="206" fontId="2" fillId="0" borderId="3" applyAlignment="0" applyProtection="0"/>
    <xf numFmtId="0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5" fontId="6" fillId="0" borderId="0" applyFill="0" applyBorder="0" applyAlignment="0"/>
    <xf numFmtId="229" fontId="6" fillId="0" borderId="0" applyFill="0" applyBorder="0" applyAlignment="0"/>
    <xf numFmtId="200" fontId="2" fillId="0" borderId="0" applyFill="0" applyBorder="0" applyAlignment="0"/>
    <xf numFmtId="230" fontId="6" fillId="0" borderId="0" applyFill="0" applyBorder="0" applyAlignment="0"/>
    <xf numFmtId="201" fontId="2" fillId="0" borderId="0" applyFill="0" applyBorder="0" applyAlignment="0"/>
    <xf numFmtId="231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68" fillId="36" borderId="4" applyNumberFormat="0" applyAlignment="0" applyProtection="0"/>
    <xf numFmtId="0" fontId="68" fillId="36" borderId="4" applyNumberFormat="0" applyAlignment="0" applyProtection="0"/>
    <xf numFmtId="0" fontId="68" fillId="36" borderId="4" applyNumberFormat="0" applyAlignment="0" applyProtection="0"/>
    <xf numFmtId="0" fontId="93" fillId="37" borderId="4" applyNumberFormat="0" applyAlignment="0" applyProtection="0"/>
    <xf numFmtId="0" fontId="24" fillId="0" borderId="0"/>
    <xf numFmtId="0" fontId="69" fillId="38" borderId="5" applyNumberFormat="0" applyAlignment="0" applyProtection="0"/>
    <xf numFmtId="0" fontId="69" fillId="38" borderId="5" applyNumberFormat="0" applyAlignment="0" applyProtection="0"/>
    <xf numFmtId="0" fontId="69" fillId="38" borderId="5" applyNumberFormat="0" applyAlignment="0" applyProtection="0"/>
    <xf numFmtId="0" fontId="94" fillId="28" borderId="5" applyNumberFormat="0" applyAlignment="0" applyProtection="0"/>
    <xf numFmtId="182" fontId="83" fillId="0" borderId="0" applyFont="0" applyFill="0" applyBorder="0" applyAlignment="0" applyProtection="0"/>
    <xf numFmtId="4" fontId="63" fillId="0" borderId="0">
      <protection locked="0"/>
    </xf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5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196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10" fillId="0" borderId="0" applyFont="0" applyFill="0" applyBorder="0" applyAlignment="0" applyProtection="0">
      <alignment vertical="center"/>
    </xf>
    <xf numFmtId="186" fontId="1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9" fillId="0" borderId="0" applyFont="0" applyFill="0" applyBorder="0" applyAlignment="0" applyProtection="0"/>
    <xf numFmtId="186" fontId="6" fillId="0" borderId="0" applyFont="0" applyFill="0" applyBorder="0" applyAlignment="0" applyProtection="0"/>
    <xf numFmtId="183" fontId="26" fillId="0" borderId="0" applyFont="0" applyFill="0" applyBorder="0" applyAlignment="0" applyProtection="0">
      <alignment vertical="center"/>
    </xf>
    <xf numFmtId="183" fontId="2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207" fontId="2" fillId="0" borderId="0"/>
    <xf numFmtId="219" fontId="2" fillId="0" borderId="0"/>
    <xf numFmtId="43" fontId="6" fillId="0" borderId="0" applyFont="0" applyFill="0" applyBorder="0" applyAlignment="0" applyProtection="0"/>
    <xf numFmtId="208" fontId="2" fillId="0" borderId="0">
      <protection locked="0"/>
    </xf>
    <xf numFmtId="184" fontId="6" fillId="0" borderId="0" applyFont="0" applyFill="0" applyBorder="0" applyAlignment="0" applyProtection="0"/>
    <xf numFmtId="197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220" fontId="6" fillId="0" borderId="0">
      <protection locked="0"/>
    </xf>
    <xf numFmtId="185" fontId="25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208" fontId="2" fillId="0" borderId="0">
      <protection locked="0"/>
    </xf>
    <xf numFmtId="0" fontId="5" fillId="0" borderId="6" applyFill="0" applyBorder="0" applyAlignment="0"/>
    <xf numFmtId="185" fontId="6" fillId="0" borderId="0" applyFont="0" applyFill="0" applyBorder="0" applyAlignment="0" applyProtection="0"/>
    <xf numFmtId="205" fontId="2" fillId="0" borderId="0"/>
    <xf numFmtId="221" fontId="2" fillId="0" borderId="0"/>
    <xf numFmtId="0" fontId="20" fillId="0" borderId="0" applyAlignment="0">
      <alignment horizontal="left" vertical="top" wrapText="1"/>
    </xf>
    <xf numFmtId="187" fontId="20" fillId="0" borderId="0" applyNumberFormat="0" applyAlignment="0">
      <alignment horizontal="left" vertical="center"/>
    </xf>
    <xf numFmtId="0" fontId="20" fillId="0" borderId="0" applyAlignment="0">
      <alignment horizontal="left" vertical="center" wrapText="1"/>
    </xf>
    <xf numFmtId="37" fontId="20" fillId="0" borderId="0" applyNumberFormat="0" applyAlignment="0">
      <alignment horizontal="right" vertical="top"/>
    </xf>
    <xf numFmtId="188" fontId="20" fillId="0" borderId="0" applyNumberFormat="0" applyAlignment="0">
      <alignment horizontal="right" vertical="top"/>
    </xf>
    <xf numFmtId="39" fontId="20" fillId="0" borderId="0" applyNumberFormat="0" applyAlignment="0">
      <alignment horizontal="right" vertical="top"/>
    </xf>
    <xf numFmtId="189" fontId="20" fillId="0" borderId="0" applyNumberFormat="0" applyAlignment="0">
      <alignment horizontal="right" vertical="top"/>
    </xf>
    <xf numFmtId="190" fontId="20" fillId="0" borderId="0" applyNumberFormat="0" applyAlignment="0">
      <alignment horizontal="right" vertical="top"/>
    </xf>
    <xf numFmtId="0" fontId="20" fillId="0" borderId="0" applyAlignment="0">
      <alignment horizontal="left" vertical="top"/>
    </xf>
    <xf numFmtId="37" fontId="21" fillId="0" borderId="0" applyNumberFormat="0" applyAlignment="0">
      <alignment horizontal="right" vertical="top" wrapText="1"/>
    </xf>
    <xf numFmtId="0" fontId="20" fillId="0" borderId="0" applyAlignment="0">
      <alignment horizontal="right" vertical="top" wrapText="1"/>
    </xf>
    <xf numFmtId="0" fontId="21" fillId="0" borderId="0" applyAlignment="0">
      <alignment horizontal="right" vertical="top" wrapText="1"/>
    </xf>
    <xf numFmtId="37" fontId="20" fillId="0" borderId="0" applyNumberFormat="0" applyAlignment="0">
      <alignment horizontal="right" vertical="top" wrapText="1"/>
    </xf>
    <xf numFmtId="37" fontId="28" fillId="0" borderId="0" applyNumberFormat="0" applyAlignment="0">
      <alignment horizontal="right" vertical="top" wrapText="1"/>
    </xf>
    <xf numFmtId="37" fontId="29" fillId="0" borderId="0" applyNumberFormat="0" applyAlignment="0">
      <alignment horizontal="right" vertical="top" wrapText="1"/>
    </xf>
    <xf numFmtId="10" fontId="20" fillId="0" borderId="0" applyNumberFormat="0" applyAlignment="0">
      <alignment horizontal="right" vertical="top" wrapText="1"/>
    </xf>
    <xf numFmtId="10" fontId="21" fillId="0" borderId="0" applyNumberFormat="0" applyAlignment="0">
      <alignment horizontal="right" vertical="top" wrapText="1"/>
    </xf>
    <xf numFmtId="209" fontId="2" fillId="0" borderId="0">
      <protection locked="0"/>
    </xf>
    <xf numFmtId="209" fontId="2" fillId="0" borderId="0">
      <protection locked="0"/>
    </xf>
    <xf numFmtId="222" fontId="6" fillId="0" borderId="0">
      <protection locked="0"/>
    </xf>
    <xf numFmtId="14" fontId="22" fillId="0" borderId="0" applyFill="0" applyBorder="0" applyAlignment="0"/>
    <xf numFmtId="38" fontId="27" fillId="0" borderId="7">
      <alignment vertical="center"/>
    </xf>
    <xf numFmtId="21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2" fontId="2" fillId="0" borderId="0"/>
    <xf numFmtId="223" fontId="2" fillId="0" borderId="0"/>
    <xf numFmtId="0" fontId="113" fillId="90" borderId="0" applyNumberFormat="0" applyBorder="0" applyAlignment="0" applyProtection="0"/>
    <xf numFmtId="0" fontId="45" fillId="39" borderId="0" applyNumberFormat="0" applyBorder="0" applyAlignment="0" applyProtection="0"/>
    <xf numFmtId="0" fontId="113" fillId="91" borderId="0" applyNumberFormat="0" applyBorder="0" applyAlignment="0" applyProtection="0"/>
    <xf numFmtId="0" fontId="45" fillId="40" borderId="0" applyNumberFormat="0" applyBorder="0" applyAlignment="0" applyProtection="0"/>
    <xf numFmtId="0" fontId="113" fillId="92" borderId="0" applyNumberFormat="0" applyBorder="0" applyAlignment="0" applyProtection="0"/>
    <xf numFmtId="0" fontId="45" fillId="41" borderId="0" applyNumberFormat="0" applyBorder="0" applyAlignment="0" applyProtection="0"/>
    <xf numFmtId="196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213" fontId="2" fillId="0" borderId="0">
      <protection locked="0"/>
    </xf>
    <xf numFmtId="213" fontId="2" fillId="0" borderId="0">
      <protection locked="0"/>
    </xf>
    <xf numFmtId="224" fontId="63" fillId="0" borderId="0">
      <protection locked="0"/>
    </xf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95" fillId="31" borderId="0" applyNumberFormat="0" applyBorder="0" applyAlignment="0" applyProtection="0"/>
    <xf numFmtId="38" fontId="20" fillId="42" borderId="0" applyNumberFormat="0" applyBorder="0" applyAlignment="0" applyProtection="0"/>
    <xf numFmtId="38" fontId="20" fillId="43" borderId="0" applyNumberFormat="0" applyBorder="0" applyAlignment="0" applyProtection="0"/>
    <xf numFmtId="38" fontId="20" fillId="42" borderId="0" applyNumberFormat="0" applyBorder="0" applyAlignment="0" applyProtection="0"/>
    <xf numFmtId="38" fontId="20" fillId="43" borderId="0" applyNumberFormat="0" applyBorder="0" applyAlignment="0" applyProtection="0"/>
    <xf numFmtId="0" fontId="30" fillId="43" borderId="0" applyFill="0" applyAlignment="0">
      <alignment horizontal="left"/>
    </xf>
    <xf numFmtId="0" fontId="31" fillId="0" borderId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23" fillId="0" borderId="8" applyNumberFormat="0" applyAlignment="0" applyProtection="0">
      <alignment horizontal="left" vertical="center"/>
    </xf>
    <xf numFmtId="0" fontId="23" fillId="0" borderId="9">
      <alignment horizontal="left" vertical="center"/>
    </xf>
    <xf numFmtId="0" fontId="30" fillId="43" borderId="0" applyFill="0" applyAlignment="0">
      <alignment horizontal="left" wrapText="1"/>
    </xf>
    <xf numFmtId="0" fontId="56" fillId="44" borderId="0">
      <alignment horizontal="center"/>
    </xf>
    <xf numFmtId="0" fontId="72" fillId="0" borderId="10" applyNumberFormat="0" applyFill="0" applyAlignment="0" applyProtection="0"/>
    <xf numFmtId="0" fontId="96" fillId="0" borderId="11" applyNumberFormat="0" applyFill="0" applyAlignment="0" applyProtection="0"/>
    <xf numFmtId="0" fontId="72" fillId="0" borderId="10" applyNumberFormat="0" applyFill="0" applyAlignment="0" applyProtection="0"/>
    <xf numFmtId="0" fontId="56" fillId="44" borderId="0">
      <alignment horizontal="center"/>
    </xf>
    <xf numFmtId="0" fontId="72" fillId="0" borderId="10" applyNumberFormat="0" applyFill="0" applyAlignment="0" applyProtection="0"/>
    <xf numFmtId="0" fontId="57" fillId="45" borderId="6">
      <alignment horizontal="center" wrapText="1"/>
    </xf>
    <xf numFmtId="0" fontId="73" fillId="0" borderId="12" applyNumberFormat="0" applyFill="0" applyAlignment="0" applyProtection="0"/>
    <xf numFmtId="0" fontId="97" fillId="0" borderId="12" applyNumberFormat="0" applyFill="0" applyAlignment="0" applyProtection="0"/>
    <xf numFmtId="0" fontId="73" fillId="0" borderId="12" applyNumberFormat="0" applyFill="0" applyAlignment="0" applyProtection="0"/>
    <xf numFmtId="0" fontId="57" fillId="45" borderId="6">
      <alignment horizontal="center" wrapText="1"/>
    </xf>
    <xf numFmtId="0" fontId="73" fillId="0" borderId="12" applyNumberFormat="0" applyFill="0" applyAlignment="0" applyProtection="0"/>
    <xf numFmtId="0" fontId="23" fillId="46" borderId="6" applyAlignment="0">
      <alignment wrapText="1"/>
    </xf>
    <xf numFmtId="0" fontId="74" fillId="0" borderId="13" applyNumberFormat="0" applyFill="0" applyAlignment="0" applyProtection="0"/>
    <xf numFmtId="0" fontId="98" fillId="0" borderId="14" applyNumberFormat="0" applyFill="0" applyAlignment="0" applyProtection="0"/>
    <xf numFmtId="0" fontId="74" fillId="0" borderId="13" applyNumberFormat="0" applyFill="0" applyAlignment="0" applyProtection="0"/>
    <xf numFmtId="0" fontId="23" fillId="46" borderId="6" applyAlignment="0">
      <alignment wrapText="1"/>
    </xf>
    <xf numFmtId="0" fontId="74" fillId="0" borderId="13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58" fillId="45" borderId="15" applyBorder="0" applyAlignment="0">
      <alignment horizontal="left"/>
    </xf>
    <xf numFmtId="214" fontId="2" fillId="0" borderId="0">
      <protection locked="0"/>
    </xf>
    <xf numFmtId="214" fontId="2" fillId="0" borderId="0">
      <protection locked="0"/>
    </xf>
    <xf numFmtId="225" fontId="6" fillId="0" borderId="0">
      <protection locked="0"/>
    </xf>
    <xf numFmtId="214" fontId="2" fillId="0" borderId="0">
      <protection locked="0"/>
    </xf>
    <xf numFmtId="214" fontId="2" fillId="0" borderId="0">
      <protection locked="0"/>
    </xf>
    <xf numFmtId="225" fontId="6" fillId="0" borderId="0">
      <protection locked="0"/>
    </xf>
    <xf numFmtId="0" fontId="9" fillId="0" borderId="0" applyNumberFormat="0">
      <alignment horizontal="center" vertical="center" wrapText="1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5" fillId="10" borderId="4" applyNumberFormat="0" applyAlignment="0" applyProtection="0"/>
    <xf numFmtId="10" fontId="20" fillId="42" borderId="6" applyNumberFormat="0" applyBorder="0" applyAlignment="0" applyProtection="0"/>
    <xf numFmtId="10" fontId="20" fillId="47" borderId="6" applyNumberFormat="0" applyBorder="0" applyAlignment="0" applyProtection="0"/>
    <xf numFmtId="10" fontId="20" fillId="42" borderId="6" applyNumberFormat="0" applyBorder="0" applyAlignment="0" applyProtection="0"/>
    <xf numFmtId="10" fontId="20" fillId="47" borderId="6" applyNumberFormat="0" applyBorder="0" applyAlignment="0" applyProtection="0"/>
    <xf numFmtId="0" fontId="75" fillId="10" borderId="4" applyNumberFormat="0" applyAlignment="0" applyProtection="0"/>
    <xf numFmtId="0" fontId="75" fillId="10" borderId="4" applyNumberFormat="0" applyAlignment="0" applyProtection="0"/>
    <xf numFmtId="0" fontId="99" fillId="34" borderId="4" applyNumberFormat="0" applyAlignment="0" applyProtection="0"/>
    <xf numFmtId="0" fontId="62" fillId="0" borderId="0"/>
    <xf numFmtId="196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76" fillId="0" borderId="16" applyNumberFormat="0" applyFill="0" applyAlignment="0" applyProtection="0"/>
    <xf numFmtId="0" fontId="76" fillId="0" borderId="16" applyNumberFormat="0" applyFill="0" applyAlignment="0" applyProtection="0"/>
    <xf numFmtId="0" fontId="76" fillId="0" borderId="16" applyNumberFormat="0" applyFill="0" applyAlignment="0" applyProtection="0"/>
    <xf numFmtId="0" fontId="100" fillId="0" borderId="16" applyNumberFormat="0" applyFill="0" applyAlignment="0" applyProtection="0"/>
    <xf numFmtId="0" fontId="59" fillId="48" borderId="17" applyAlignment="0">
      <alignment vertical="top"/>
      <protection hidden="1"/>
    </xf>
    <xf numFmtId="0" fontId="32" fillId="0" borderId="18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01" fillId="49" borderId="0" applyNumberFormat="0" applyBorder="0" applyAlignment="0" applyProtection="0"/>
    <xf numFmtId="37" fontId="84" fillId="0" borderId="0"/>
    <xf numFmtId="191" fontId="5" fillId="0" borderId="0"/>
    <xf numFmtId="192" fontId="33" fillId="0" borderId="0"/>
    <xf numFmtId="192" fontId="33" fillId="0" borderId="0"/>
    <xf numFmtId="226" fontId="5" fillId="0" borderId="0"/>
    <xf numFmtId="193" fontId="38" fillId="0" borderId="0"/>
    <xf numFmtId="193" fontId="38" fillId="0" borderId="0"/>
    <xf numFmtId="204" fontId="2" fillId="0" borderId="0"/>
    <xf numFmtId="204" fontId="2" fillId="0" borderId="0"/>
    <xf numFmtId="228" fontId="91" fillId="0" borderId="0"/>
    <xf numFmtId="191" fontId="5" fillId="0" borderId="0"/>
    <xf numFmtId="218" fontId="2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/>
    <xf numFmtId="0" fontId="10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4" fillId="0" borderId="0"/>
    <xf numFmtId="0" fontId="6" fillId="0" borderId="0"/>
    <xf numFmtId="0" fontId="6" fillId="0" borderId="0"/>
    <xf numFmtId="0" fontId="6" fillId="0" borderId="0"/>
    <xf numFmtId="0" fontId="114" fillId="0" borderId="0"/>
    <xf numFmtId="0" fontId="3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4" fillId="0" borderId="0"/>
    <xf numFmtId="0" fontId="6" fillId="0" borderId="0"/>
    <xf numFmtId="0" fontId="40" fillId="0" borderId="0"/>
    <xf numFmtId="0" fontId="109" fillId="0" borderId="0">
      <alignment vertical="center"/>
    </xf>
    <xf numFmtId="0" fontId="6" fillId="0" borderId="0"/>
    <xf numFmtId="0" fontId="109" fillId="0" borderId="0">
      <alignment vertical="center"/>
    </xf>
    <xf numFmtId="0" fontId="109" fillId="0" borderId="0"/>
    <xf numFmtId="0" fontId="6" fillId="0" borderId="0"/>
    <xf numFmtId="0" fontId="109" fillId="0" borderId="0"/>
    <xf numFmtId="0" fontId="109" fillId="0" borderId="0"/>
    <xf numFmtId="0" fontId="109" fillId="0" borderId="0"/>
    <xf numFmtId="0" fontId="115" fillId="0" borderId="0">
      <alignment vertical="top" wrapText="1"/>
    </xf>
    <xf numFmtId="0" fontId="109" fillId="0" borderId="0"/>
    <xf numFmtId="0" fontId="109" fillId="0" borderId="0"/>
    <xf numFmtId="0" fontId="109" fillId="0" borderId="0"/>
    <xf numFmtId="0" fontId="115" fillId="0" borderId="0">
      <alignment vertical="top" wrapText="1"/>
    </xf>
    <xf numFmtId="0" fontId="109" fillId="0" borderId="0">
      <alignment vertical="center"/>
    </xf>
    <xf numFmtId="0" fontId="6" fillId="0" borderId="0"/>
    <xf numFmtId="0" fontId="20" fillId="0" borderId="0" applyFill="0" applyBorder="0" applyProtection="0">
      <alignment vertical="top"/>
    </xf>
    <xf numFmtId="0" fontId="6" fillId="0" borderId="0"/>
    <xf numFmtId="0" fontId="20" fillId="0" borderId="0" applyFill="0" applyBorder="0" applyProtection="0">
      <alignment vertical="top"/>
    </xf>
    <xf numFmtId="0" fontId="6" fillId="0" borderId="0"/>
    <xf numFmtId="0" fontId="109" fillId="0" borderId="0"/>
    <xf numFmtId="0" fontId="115" fillId="0" borderId="0">
      <alignment vertical="top" wrapText="1"/>
    </xf>
    <xf numFmtId="0" fontId="109" fillId="0" borderId="0">
      <alignment vertical="center"/>
    </xf>
    <xf numFmtId="0" fontId="115" fillId="0" borderId="0">
      <alignment vertical="top" wrapText="1"/>
    </xf>
    <xf numFmtId="0" fontId="115" fillId="0" borderId="0">
      <alignment vertical="top" wrapText="1"/>
    </xf>
    <xf numFmtId="0" fontId="115" fillId="0" borderId="0">
      <alignment vertical="top" wrapText="1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/>
    <xf numFmtId="0" fontId="6" fillId="0" borderId="0"/>
    <xf numFmtId="0" fontId="109" fillId="0" borderId="0"/>
    <xf numFmtId="0" fontId="114" fillId="0" borderId="0"/>
    <xf numFmtId="0" fontId="20" fillId="0" borderId="0" applyFill="0" applyBorder="0" applyProtection="0">
      <alignment vertical="top"/>
    </xf>
    <xf numFmtId="0" fontId="109" fillId="0" borderId="0">
      <alignment vertical="center"/>
    </xf>
    <xf numFmtId="0" fontId="6" fillId="0" borderId="0"/>
    <xf numFmtId="0" fontId="6" fillId="0" borderId="0"/>
    <xf numFmtId="0" fontId="6" fillId="0" borderId="0"/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20" fillId="0" borderId="0" applyFill="0" applyBorder="0" applyProtection="0">
      <alignment vertical="top"/>
    </xf>
    <xf numFmtId="0" fontId="20" fillId="0" borderId="0" applyFill="0" applyBorder="0" applyProtection="0">
      <alignment vertical="top"/>
    </xf>
    <xf numFmtId="0" fontId="6" fillId="0" borderId="0"/>
    <xf numFmtId="0" fontId="20" fillId="0" borderId="0"/>
    <xf numFmtId="0" fontId="109" fillId="0" borderId="0"/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/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/>
    <xf numFmtId="0" fontId="6" fillId="0" borderId="0"/>
    <xf numFmtId="0" fontId="109" fillId="0" borderId="0"/>
    <xf numFmtId="0" fontId="109" fillId="0" borderId="0">
      <alignment vertical="center"/>
    </xf>
    <xf numFmtId="0" fontId="109" fillId="0" borderId="0"/>
    <xf numFmtId="0" fontId="109" fillId="0" borderId="0"/>
    <xf numFmtId="0" fontId="6" fillId="0" borderId="0"/>
    <xf numFmtId="0" fontId="109" fillId="0" borderId="0"/>
    <xf numFmtId="0" fontId="109" fillId="0" borderId="0"/>
    <xf numFmtId="0" fontId="109" fillId="0" borderId="0">
      <alignment vertical="center"/>
    </xf>
    <xf numFmtId="0" fontId="6" fillId="0" borderId="0"/>
    <xf numFmtId="0" fontId="6" fillId="8" borderId="19" applyNumberFormat="0" applyFont="0" applyAlignment="0" applyProtection="0"/>
    <xf numFmtId="0" fontId="10" fillId="93" borderId="46" applyNumberFormat="0" applyFont="0" applyAlignment="0" applyProtection="0"/>
    <xf numFmtId="0" fontId="25" fillId="93" borderId="46" applyNumberFormat="0" applyFont="0" applyAlignment="0" applyProtection="0"/>
    <xf numFmtId="0" fontId="10" fillId="93" borderId="46" applyNumberFormat="0" applyFont="0" applyAlignment="0" applyProtection="0"/>
    <xf numFmtId="0" fontId="109" fillId="93" borderId="46" applyNumberFormat="0" applyFont="0" applyAlignment="0" applyProtection="0"/>
    <xf numFmtId="0" fontId="6" fillId="8" borderId="19" applyNumberFormat="0" applyFont="0" applyAlignment="0" applyProtection="0"/>
    <xf numFmtId="0" fontId="10" fillId="93" borderId="46" applyNumberFormat="0" applyFont="0" applyAlignment="0" applyProtection="0"/>
    <xf numFmtId="0" fontId="6" fillId="8" borderId="19" applyNumberFormat="0" applyFont="0" applyAlignment="0" applyProtection="0"/>
    <xf numFmtId="0" fontId="10" fillId="93" borderId="46" applyNumberFormat="0" applyFont="0" applyAlignment="0" applyProtection="0"/>
    <xf numFmtId="0" fontId="10" fillId="93" borderId="46" applyNumberFormat="0" applyFont="0" applyAlignment="0" applyProtection="0"/>
    <xf numFmtId="0" fontId="109" fillId="93" borderId="46" applyNumberFormat="0" applyFont="0" applyAlignment="0" applyProtection="0"/>
    <xf numFmtId="0" fontId="6" fillId="8" borderId="19" applyNumberFormat="0" applyFont="0" applyAlignment="0" applyProtection="0"/>
    <xf numFmtId="0" fontId="25" fillId="93" borderId="46" applyNumberFormat="0" applyFont="0" applyAlignment="0" applyProtection="0"/>
    <xf numFmtId="0" fontId="25" fillId="93" borderId="46" applyNumberFormat="0" applyFont="0" applyAlignment="0" applyProtection="0"/>
    <xf numFmtId="0" fontId="6" fillId="8" borderId="19" applyNumberFormat="0" applyFont="0" applyAlignment="0" applyProtection="0"/>
    <xf numFmtId="0" fontId="6" fillId="8" borderId="19" applyNumberFormat="0" applyFont="0" applyAlignment="0" applyProtection="0"/>
    <xf numFmtId="0" fontId="6" fillId="8" borderId="19" applyNumberFormat="0" applyFont="0" applyAlignment="0" applyProtection="0"/>
    <xf numFmtId="0" fontId="2" fillId="26" borderId="19" applyNumberFormat="0" applyFont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8" fillId="36" borderId="20" applyNumberFormat="0" applyAlignment="0" applyProtection="0"/>
    <xf numFmtId="0" fontId="78" fillId="36" borderId="20" applyNumberFormat="0" applyAlignment="0" applyProtection="0"/>
    <xf numFmtId="0" fontId="78" fillId="36" borderId="20" applyNumberFormat="0" applyAlignment="0" applyProtection="0"/>
    <xf numFmtId="0" fontId="102" fillId="37" borderId="20" applyNumberFormat="0" applyAlignment="0" applyProtection="0"/>
    <xf numFmtId="215" fontId="2" fillId="0" borderId="0">
      <protection locked="0"/>
    </xf>
    <xf numFmtId="201" fontId="2" fillId="0" borderId="0" applyFont="0" applyFill="0" applyBorder="0" applyAlignment="0" applyProtection="0"/>
    <xf numFmtId="231" fontId="6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227" fontId="6" fillId="0" borderId="0">
      <protection locked="0"/>
    </xf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215" fontId="2" fillId="0" borderId="0">
      <protection locked="0"/>
    </xf>
    <xf numFmtId="202" fontId="2" fillId="0" borderId="0" applyFont="0" applyFill="0" applyBorder="0" applyAlignment="0" applyProtection="0"/>
    <xf numFmtId="196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20" fillId="0" borderId="21">
      <alignment horizontal="center"/>
    </xf>
    <xf numFmtId="234" fontId="104" fillId="0" borderId="0">
      <alignment horizontal="left"/>
    </xf>
    <xf numFmtId="0" fontId="30" fillId="43" borderId="0" applyFill="0" applyAlignment="0">
      <alignment vertical="top" wrapText="1"/>
    </xf>
    <xf numFmtId="4" fontId="22" fillId="50" borderId="22" applyNumberFormat="0" applyProtection="0">
      <alignment horizontal="left" vertical="center" indent="1"/>
    </xf>
    <xf numFmtId="4" fontId="22" fillId="50" borderId="22" applyNumberFormat="0" applyProtection="0">
      <alignment horizontal="left" vertical="center" indent="1"/>
    </xf>
    <xf numFmtId="0" fontId="11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234" fontId="105" fillId="0" borderId="0" applyAlignment="0"/>
    <xf numFmtId="0" fontId="6" fillId="0" borderId="0"/>
    <xf numFmtId="0" fontId="11" fillId="0" borderId="0"/>
    <xf numFmtId="0" fontId="32" fillId="0" borderId="0"/>
    <xf numFmtId="0" fontId="36" fillId="0" borderId="0" applyAlignment="0">
      <alignment horizontal="left" vertical="top"/>
    </xf>
    <xf numFmtId="0" fontId="106" fillId="0" borderId="18">
      <alignment vertical="top"/>
      <protection hidden="1"/>
    </xf>
    <xf numFmtId="49" fontId="22" fillId="0" borderId="0" applyFill="0" applyBorder="0" applyAlignment="0"/>
    <xf numFmtId="202" fontId="2" fillId="0" borderId="0" applyFill="0" applyBorder="0" applyAlignment="0"/>
    <xf numFmtId="235" fontId="6" fillId="0" borderId="0" applyFill="0" applyBorder="0" applyAlignment="0"/>
    <xf numFmtId="203" fontId="2" fillId="0" borderId="0" applyFill="0" applyBorder="0" applyAlignment="0"/>
    <xf numFmtId="233" fontId="6" fillId="0" borderId="0" applyFill="0" applyBorder="0" applyAlignment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214" fontId="2" fillId="0" borderId="23">
      <protection locked="0"/>
    </xf>
    <xf numFmtId="0" fontId="80" fillId="0" borderId="24" applyNumberFormat="0" applyFill="0" applyAlignment="0" applyProtection="0"/>
    <xf numFmtId="0" fontId="45" fillId="0" borderId="25" applyNumberFormat="0" applyFill="0" applyAlignment="0" applyProtection="0"/>
    <xf numFmtId="0" fontId="80" fillId="0" borderId="24" applyNumberFormat="0" applyFill="0" applyAlignment="0" applyProtection="0"/>
    <xf numFmtId="225" fontId="6" fillId="0" borderId="23">
      <protection locked="0"/>
    </xf>
    <xf numFmtId="214" fontId="2" fillId="0" borderId="23">
      <protection locked="0"/>
    </xf>
    <xf numFmtId="0" fontId="80" fillId="0" borderId="24" applyNumberFormat="0" applyFill="0" applyAlignment="0" applyProtection="0"/>
    <xf numFmtId="194" fontId="115" fillId="0" borderId="0">
      <alignment vertical="top" wrapText="1"/>
    </xf>
    <xf numFmtId="216" fontId="6" fillId="0" borderId="0" applyFont="0" applyFill="0" applyBorder="0" applyAlignment="0" applyProtection="0"/>
    <xf numFmtId="217" fontId="6" fillId="0" borderId="0" applyFont="0" applyFill="0" applyBorder="0" applyAlignment="0" applyProtection="0"/>
    <xf numFmtId="236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6" fillId="20" borderId="0" applyNumberFormat="0" applyBorder="0" applyAlignment="0" applyProtection="0"/>
    <xf numFmtId="0" fontId="42" fillId="5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10" fillId="94" borderId="0" applyNumberFormat="0" applyBorder="0" applyAlignment="0" applyProtection="0">
      <alignment vertical="center"/>
    </xf>
    <xf numFmtId="0" fontId="66" fillId="24" borderId="0" applyNumberFormat="0" applyBorder="0" applyAlignment="0" applyProtection="0"/>
    <xf numFmtId="0" fontId="42" fillId="1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10" fillId="95" borderId="0" applyNumberFormat="0" applyBorder="0" applyAlignment="0" applyProtection="0">
      <alignment vertical="center"/>
    </xf>
    <xf numFmtId="0" fontId="66" fillId="30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110" fillId="96" borderId="0" applyNumberFormat="0" applyBorder="0" applyAlignment="0" applyProtection="0">
      <alignment vertical="center"/>
    </xf>
    <xf numFmtId="0" fontId="66" fillId="17" borderId="0" applyNumberFormat="0" applyBorder="0" applyAlignment="0" applyProtection="0"/>
    <xf numFmtId="0" fontId="42" fillId="5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10" fillId="97" borderId="0" applyNumberFormat="0" applyBorder="0" applyAlignment="0" applyProtection="0">
      <alignment vertical="center"/>
    </xf>
    <xf numFmtId="0" fontId="66" fillId="18" borderId="0" applyNumberFormat="0" applyBorder="0" applyAlignment="0" applyProtection="0"/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10" fillId="98" borderId="0" applyNumberFormat="0" applyBorder="0" applyAlignment="0" applyProtection="0">
      <alignment vertical="center"/>
    </xf>
    <xf numFmtId="0" fontId="66" fillId="16" borderId="0" applyNumberFormat="0" applyBorder="0" applyAlignment="0" applyProtection="0"/>
    <xf numFmtId="0" fontId="42" fillId="2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10" fillId="99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68" fillId="36" borderId="4" applyNumberFormat="0" applyAlignment="0" applyProtection="0"/>
    <xf numFmtId="0" fontId="65" fillId="53" borderId="4" applyNumberFormat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119" fillId="100" borderId="47" applyNumberFormat="0" applyAlignment="0" applyProtection="0">
      <alignment vertical="center"/>
    </xf>
    <xf numFmtId="0" fontId="67" fillId="5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120" fillId="101" borderId="0" applyNumberFormat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8" borderId="19" applyNumberFormat="0" applyFont="0" applyAlignment="0" applyProtection="0"/>
    <xf numFmtId="0" fontId="2" fillId="8" borderId="19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2" fillId="8" borderId="19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0" fontId="77" fillId="13" borderId="0" applyNumberFormat="0" applyBorder="0" applyAlignment="0" applyProtection="0"/>
    <xf numFmtId="0" fontId="86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121" fillId="102" borderId="0" applyNumberFormat="0" applyBorder="0" applyAlignment="0" applyProtection="0">
      <alignment vertical="center"/>
    </xf>
    <xf numFmtId="0" fontId="60" fillId="0" borderId="0"/>
    <xf numFmtId="0" fontId="26" fillId="0" borderId="0"/>
    <xf numFmtId="0" fontId="7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69" fillId="38" borderId="5" applyNumberFormat="0" applyAlignment="0" applyProtection="0"/>
    <xf numFmtId="0" fontId="50" fillId="38" borderId="5" applyNumberFormat="0" applyAlignment="0" applyProtection="0">
      <alignment vertical="center"/>
    </xf>
    <xf numFmtId="0" fontId="50" fillId="38" borderId="5" applyNumberFormat="0" applyAlignment="0" applyProtection="0">
      <alignment vertical="center"/>
    </xf>
    <xf numFmtId="0" fontId="123" fillId="103" borderId="48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5" fontId="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9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2" fontId="6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41" fontId="109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10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180" fontId="6" fillId="0" borderId="0" applyFont="0" applyFill="0" applyBorder="0" applyAlignment="0" applyProtection="0"/>
    <xf numFmtId="38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80" fontId="10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>
      <alignment wrapText="1"/>
    </xf>
    <xf numFmtId="43" fontId="10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8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37" fillId="0" borderId="26"/>
    <xf numFmtId="0" fontId="76" fillId="0" borderId="16" applyNumberFormat="0" applyFill="0" applyAlignment="0" applyProtection="0"/>
    <xf numFmtId="0" fontId="17" fillId="0" borderId="27" applyNumberFormat="0" applyFill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125" fillId="0" borderId="49" applyNumberFormat="0" applyFill="0" applyAlignment="0" applyProtection="0">
      <alignment vertical="center"/>
    </xf>
    <xf numFmtId="0" fontId="80" fillId="0" borderId="24" applyNumberFormat="0" applyFill="0" applyAlignment="0" applyProtection="0"/>
    <xf numFmtId="0" fontId="52" fillId="0" borderId="28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6" fillId="0" borderId="50" applyNumberFormat="0" applyFill="0" applyAlignment="0" applyProtection="0">
      <alignment vertical="center"/>
    </xf>
    <xf numFmtId="0" fontId="6" fillId="0" borderId="0"/>
    <xf numFmtId="0" fontId="75" fillId="10" borderId="4" applyNumberFormat="0" applyAlignment="0" applyProtection="0"/>
    <xf numFmtId="0" fontId="53" fillId="13" borderId="4" applyNumberFormat="0" applyAlignment="0" applyProtection="0">
      <alignment vertical="center"/>
    </xf>
    <xf numFmtId="0" fontId="53" fillId="10" borderId="4" applyNumberFormat="0" applyAlignment="0" applyProtection="0">
      <alignment vertical="center"/>
    </xf>
    <xf numFmtId="0" fontId="127" fillId="104" borderId="47" applyNumberFormat="0" applyAlignment="0" applyProtection="0">
      <alignment vertical="center"/>
    </xf>
    <xf numFmtId="0" fontId="72" fillId="0" borderId="10" applyNumberFormat="0" applyFill="0" applyAlignment="0" applyProtection="0"/>
    <xf numFmtId="0" fontId="88" fillId="0" borderId="2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28" fillId="0" borderId="51" applyNumberFormat="0" applyFill="0" applyAlignment="0" applyProtection="0">
      <alignment vertical="center"/>
    </xf>
    <xf numFmtId="0" fontId="73" fillId="0" borderId="12" applyNumberFormat="0" applyFill="0" applyAlignment="0" applyProtection="0"/>
    <xf numFmtId="0" fontId="89" fillId="0" borderId="3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9" fillId="0" borderId="52" applyNumberFormat="0" applyFill="0" applyAlignment="0" applyProtection="0">
      <alignment vertical="center"/>
    </xf>
    <xf numFmtId="0" fontId="74" fillId="0" borderId="13" applyNumberFormat="0" applyFill="0" applyAlignment="0" applyProtection="0"/>
    <xf numFmtId="0" fontId="90" fillId="0" borderId="3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30" fillId="0" borderId="53" applyNumberFormat="0" applyFill="0" applyAlignment="0" applyProtection="0">
      <alignment vertical="center"/>
    </xf>
    <xf numFmtId="0" fontId="74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1" fillId="7" borderId="0" applyNumberFormat="0" applyBorder="0" applyAlignment="0" applyProtection="0"/>
    <xf numFmtId="0" fontId="54" fillId="11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131" fillId="105" borderId="0" applyNumberFormat="0" applyBorder="0" applyAlignment="0" applyProtection="0">
      <alignment vertical="center"/>
    </xf>
    <xf numFmtId="0" fontId="5" fillId="0" borderId="0"/>
    <xf numFmtId="0" fontId="78" fillId="36" borderId="20" applyNumberFormat="0" applyAlignment="0" applyProtection="0"/>
    <xf numFmtId="0" fontId="55" fillId="53" borderId="20" applyNumberFormat="0" applyAlignment="0" applyProtection="0">
      <alignment vertical="center"/>
    </xf>
    <xf numFmtId="0" fontId="55" fillId="36" borderId="20" applyNumberFormat="0" applyAlignment="0" applyProtection="0">
      <alignment vertical="center"/>
    </xf>
    <xf numFmtId="0" fontId="132" fillId="100" borderId="54" applyNumberFormat="0" applyAlignment="0" applyProtection="0">
      <alignment vertical="center"/>
    </xf>
    <xf numFmtId="185" fontId="6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2" fillId="0" borderId="0">
      <alignment vertical="center"/>
    </xf>
    <xf numFmtId="0" fontId="6" fillId="0" borderId="0">
      <alignment wrapText="1"/>
    </xf>
    <xf numFmtId="0" fontId="6" fillId="0" borderId="0">
      <alignment wrapText="1"/>
    </xf>
    <xf numFmtId="0" fontId="6" fillId="0" borderId="0"/>
    <xf numFmtId="0" fontId="25" fillId="0" borderId="0"/>
    <xf numFmtId="0" fontId="6" fillId="0" borderId="0"/>
    <xf numFmtId="0" fontId="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wrapText="1"/>
    </xf>
    <xf numFmtId="0" fontId="6" fillId="0" borderId="0">
      <alignment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109" fillId="0" borderId="0">
      <alignment vertical="center"/>
    </xf>
    <xf numFmtId="0" fontId="6" fillId="0" borderId="0"/>
    <xf numFmtId="0" fontId="133" fillId="0" borderId="0">
      <alignment vertical="center"/>
    </xf>
    <xf numFmtId="0" fontId="1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40" fillId="0" borderId="0"/>
    <xf numFmtId="0" fontId="2" fillId="0" borderId="0"/>
    <xf numFmtId="0" fontId="2" fillId="0" borderId="0">
      <alignment vertical="center"/>
    </xf>
    <xf numFmtId="0" fontId="4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>
      <alignment vertical="center"/>
    </xf>
    <xf numFmtId="0" fontId="109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" fillId="0" borderId="0"/>
    <xf numFmtId="0" fontId="10" fillId="0" borderId="0">
      <alignment vertical="center"/>
    </xf>
    <xf numFmtId="0" fontId="109" fillId="0" borderId="0">
      <alignment vertical="center"/>
    </xf>
    <xf numFmtId="0" fontId="2" fillId="0" borderId="0"/>
    <xf numFmtId="0" fontId="109" fillId="0" borderId="0">
      <alignment vertical="center"/>
    </xf>
    <xf numFmtId="0" fontId="2" fillId="0" borderId="0"/>
    <xf numFmtId="0" fontId="109" fillId="0" borderId="0">
      <alignment vertical="center"/>
    </xf>
    <xf numFmtId="0" fontId="6" fillId="0" borderId="0"/>
    <xf numFmtId="0" fontId="10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109" fillId="0" borderId="0">
      <alignment vertical="center"/>
    </xf>
    <xf numFmtId="0" fontId="109" fillId="0" borderId="0"/>
    <xf numFmtId="0" fontId="109" fillId="0" borderId="0"/>
    <xf numFmtId="0" fontId="10" fillId="0" borderId="0">
      <alignment vertical="center"/>
    </xf>
    <xf numFmtId="0" fontId="109" fillId="0" borderId="0"/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10" fillId="0" borderId="0">
      <alignment vertical="center"/>
    </xf>
    <xf numFmtId="0" fontId="109" fillId="0" borderId="0">
      <alignment vertical="center"/>
    </xf>
    <xf numFmtId="0" fontId="6" fillId="0" borderId="0"/>
    <xf numFmtId="0" fontId="6" fillId="0" borderId="0"/>
    <xf numFmtId="0" fontId="124" fillId="0" borderId="0">
      <alignment vertical="center"/>
    </xf>
    <xf numFmtId="0" fontId="10" fillId="0" borderId="0">
      <alignment vertical="center"/>
    </xf>
    <xf numFmtId="0" fontId="124" fillId="0" borderId="0">
      <alignment vertical="center"/>
    </xf>
    <xf numFmtId="0" fontId="10" fillId="0" borderId="0">
      <alignment vertical="center"/>
    </xf>
    <xf numFmtId="0" fontId="6" fillId="0" borderId="0"/>
    <xf numFmtId="0" fontId="40" fillId="0" borderId="0"/>
    <xf numFmtId="0" fontId="40" fillId="0" borderId="0"/>
    <xf numFmtId="0" fontId="109" fillId="0" borderId="0">
      <alignment vertical="center"/>
    </xf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19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2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7" fillId="0" borderId="0"/>
    <xf numFmtId="0" fontId="109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109" fillId="0" borderId="0">
      <alignment vertical="center"/>
    </xf>
    <xf numFmtId="0" fontId="6" fillId="0" borderId="0">
      <alignment vertical="center"/>
    </xf>
    <xf numFmtId="0" fontId="2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109" fillId="0" borderId="0">
      <alignment vertical="center"/>
    </xf>
    <xf numFmtId="0" fontId="133" fillId="0" borderId="0">
      <alignment vertical="center"/>
    </xf>
    <xf numFmtId="0" fontId="2" fillId="0" borderId="0">
      <alignment vertical="center"/>
    </xf>
    <xf numFmtId="0" fontId="109" fillId="0" borderId="0">
      <alignment vertical="center"/>
    </xf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2" fillId="0" borderId="0"/>
    <xf numFmtId="0" fontId="6" fillId="0" borderId="0"/>
    <xf numFmtId="0" fontId="6" fillId="0" borderId="0"/>
    <xf numFmtId="0" fontId="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6" fillId="0" borderId="0"/>
    <xf numFmtId="0" fontId="2" fillId="0" borderId="0"/>
    <xf numFmtId="0" fontId="2" fillId="0" borderId="0"/>
    <xf numFmtId="0" fontId="6" fillId="0" borderId="0"/>
    <xf numFmtId="0" fontId="114" fillId="0" borderId="0"/>
    <xf numFmtId="0" fontId="114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6" fillId="0" borderId="0"/>
    <xf numFmtId="0" fontId="109" fillId="0" borderId="0"/>
    <xf numFmtId="0" fontId="25" fillId="0" borderId="0"/>
    <xf numFmtId="0" fontId="2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/>
    <xf numFmtId="0" fontId="2" fillId="0" borderId="0">
      <alignment vertical="center"/>
    </xf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/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09" fillId="0" borderId="0"/>
    <xf numFmtId="0" fontId="10" fillId="0" borderId="0">
      <alignment vertical="center"/>
    </xf>
    <xf numFmtId="0" fontId="109" fillId="0" borderId="0"/>
    <xf numFmtId="0" fontId="2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2" fillId="0" borderId="0"/>
    <xf numFmtId="0" fontId="2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 applyAlignment="0">
      <alignment vertical="center"/>
    </xf>
    <xf numFmtId="0" fontId="2" fillId="0" borderId="0" applyAlignment="0">
      <alignment vertical="center"/>
    </xf>
    <xf numFmtId="0" fontId="2" fillId="0" borderId="0"/>
    <xf numFmtId="0" fontId="25" fillId="0" borderId="0"/>
    <xf numFmtId="0" fontId="2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4" fillId="0" borderId="0">
      <alignment vertical="center"/>
    </xf>
    <xf numFmtId="0" fontId="2" fillId="0" borderId="0"/>
    <xf numFmtId="0" fontId="144" fillId="0" borderId="0"/>
    <xf numFmtId="180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0" fontId="144" fillId="0" borderId="0"/>
    <xf numFmtId="0" fontId="144" fillId="0" borderId="0"/>
    <xf numFmtId="0" fontId="2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6" fillId="0" borderId="0"/>
    <xf numFmtId="0" fontId="51" fillId="0" borderId="16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10" borderId="4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36" borderId="20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45" fillId="0" borderId="0"/>
    <xf numFmtId="0" fontId="145" fillId="0" borderId="0"/>
    <xf numFmtId="0" fontId="14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62" fillId="0" borderId="0"/>
    <xf numFmtId="0" fontId="53" fillId="10" borderId="4" applyNumberFormat="0" applyAlignment="0" applyProtection="0">
      <alignment vertical="center"/>
    </xf>
    <xf numFmtId="0" fontId="53" fillId="13" borderId="4" applyNumberFormat="0" applyAlignment="0" applyProtection="0">
      <alignment vertical="center"/>
    </xf>
    <xf numFmtId="0" fontId="176" fillId="10" borderId="4" applyNumberFormat="0" applyAlignment="0" applyProtection="0">
      <alignment vertical="center"/>
    </xf>
    <xf numFmtId="0" fontId="53" fillId="13" borderId="4" applyNumberFormat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65" fillId="53" borderId="4" applyNumberFormat="0" applyAlignment="0" applyProtection="0">
      <alignment vertical="center"/>
    </xf>
    <xf numFmtId="0" fontId="168" fillId="36" borderId="4" applyNumberFormat="0" applyAlignment="0" applyProtection="0">
      <alignment vertical="center"/>
    </xf>
    <xf numFmtId="0" fontId="65" fillId="53" borderId="4" applyNumberFormat="0" applyAlignment="0" applyProtection="0">
      <alignment vertical="center"/>
    </xf>
    <xf numFmtId="0" fontId="182" fillId="0" borderId="6" applyProtection="0">
      <alignment vertical="center"/>
    </xf>
    <xf numFmtId="0" fontId="160" fillId="10" borderId="4" applyNumberFormat="0" applyAlignment="0" applyProtection="0"/>
    <xf numFmtId="0" fontId="160" fillId="10" borderId="4" applyNumberFormat="0" applyAlignment="0" applyProtection="0"/>
    <xf numFmtId="0" fontId="160" fillId="10" borderId="4" applyNumberFormat="0" applyAlignment="0" applyProtection="0"/>
    <xf numFmtId="10" fontId="20" fillId="47" borderId="6" applyNumberFormat="0" applyBorder="0" applyAlignment="0" applyProtection="0"/>
    <xf numFmtId="0" fontId="99" fillId="34" borderId="4" applyNumberFormat="0" applyAlignment="0" applyProtection="0"/>
    <xf numFmtId="0" fontId="58" fillId="45" borderId="15" applyBorder="0" applyAlignment="0">
      <alignment horizontal="left"/>
    </xf>
    <xf numFmtId="0" fontId="23" fillId="0" borderId="9">
      <alignment horizontal="left" vertical="center"/>
    </xf>
    <xf numFmtId="0" fontId="157" fillId="36" borderId="4" applyNumberFormat="0" applyAlignment="0" applyProtection="0"/>
    <xf numFmtId="0" fontId="93" fillId="37" borderId="4" applyNumberFormat="0" applyAlignment="0" applyProtection="0"/>
    <xf numFmtId="206" fontId="2" fillId="0" borderId="3" applyAlignment="0" applyProtection="0"/>
    <xf numFmtId="0" fontId="184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6" fillId="0" borderId="0">
      <alignment vertical="center"/>
    </xf>
    <xf numFmtId="0" fontId="114" fillId="0" borderId="0"/>
    <xf numFmtId="0" fontId="2" fillId="0" borderId="0">
      <alignment vertical="center"/>
    </xf>
    <xf numFmtId="0" fontId="40" fillId="0" borderId="0"/>
    <xf numFmtId="0" fontId="109" fillId="0" borderId="0"/>
    <xf numFmtId="0" fontId="109" fillId="0" borderId="0">
      <alignment vertical="center"/>
    </xf>
    <xf numFmtId="0" fontId="6" fillId="0" borderId="0"/>
    <xf numFmtId="0" fontId="2" fillId="0" borderId="0"/>
    <xf numFmtId="0" fontId="109" fillId="0" borderId="0">
      <alignment vertical="center"/>
    </xf>
    <xf numFmtId="0" fontId="109" fillId="0" borderId="0">
      <alignment vertical="center"/>
    </xf>
    <xf numFmtId="0" fontId="133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2" fillId="0" borderId="0"/>
    <xf numFmtId="0" fontId="6" fillId="0" borderId="0"/>
    <xf numFmtId="0" fontId="40" fillId="0" borderId="0"/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109" fillId="0" borderId="0"/>
    <xf numFmtId="0" fontId="109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40" fillId="0" borderId="0"/>
    <xf numFmtId="0" fontId="10" fillId="0" borderId="0">
      <alignment vertical="center"/>
    </xf>
    <xf numFmtId="0" fontId="2" fillId="0" borderId="0"/>
    <xf numFmtId="0" fontId="40" fillId="0" borderId="0"/>
    <xf numFmtId="0" fontId="40" fillId="0" borderId="0"/>
    <xf numFmtId="0" fontId="109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244" fontId="151" fillId="0" borderId="0" applyFont="0" applyFill="0" applyBorder="0" applyAlignment="0" applyProtection="0"/>
    <xf numFmtId="0" fontId="55" fillId="36" borderId="20" applyNumberFormat="0" applyAlignment="0" applyProtection="0">
      <alignment vertical="center"/>
    </xf>
    <xf numFmtId="0" fontId="55" fillId="53" borderId="20" applyNumberFormat="0" applyAlignment="0" applyProtection="0">
      <alignment vertical="center"/>
    </xf>
    <xf numFmtId="0" fontId="178" fillId="36" borderId="20" applyNumberFormat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177" fillId="7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9" fillId="0" borderId="3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88" fillId="0" borderId="2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3" fillId="10" borderId="4" applyNumberFormat="0" applyAlignment="0" applyProtection="0">
      <alignment vertical="center"/>
    </xf>
    <xf numFmtId="0" fontId="53" fillId="13" borderId="4" applyNumberFormat="0" applyAlignment="0" applyProtection="0">
      <alignment vertical="center"/>
    </xf>
    <xf numFmtId="0" fontId="176" fillId="10" borderId="4" applyNumberFormat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8" applyNumberFormat="0" applyFill="0" applyAlignment="0" applyProtection="0">
      <alignment vertical="center"/>
    </xf>
    <xf numFmtId="0" fontId="175" fillId="0" borderId="24" applyNumberFormat="0" applyFill="0" applyAlignment="0" applyProtection="0">
      <alignment vertical="center"/>
    </xf>
    <xf numFmtId="0" fontId="174" fillId="0" borderId="0" applyNumberFormat="0" applyFill="0" applyBorder="0" applyAlignment="0" applyProtection="0">
      <alignment vertical="top"/>
      <protection locked="0"/>
    </xf>
    <xf numFmtId="0" fontId="51" fillId="0" borderId="1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3" fillId="0" borderId="16" applyNumberFormat="0" applyFill="0" applyAlignment="0" applyProtection="0">
      <alignment vertical="center"/>
    </xf>
    <xf numFmtId="0" fontId="5" fillId="0" borderId="0"/>
    <xf numFmtId="0" fontId="11" fillId="0" borderId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172" fillId="38" borderId="5" applyNumberForma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170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69" fillId="5" borderId="0" applyNumberFormat="0" applyBorder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65" fillId="53" borderId="4" applyNumberFormat="0" applyAlignment="0" applyProtection="0">
      <alignment vertical="center"/>
    </xf>
    <xf numFmtId="0" fontId="168" fillId="36" borderId="4" applyNumberFormat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167" fillId="17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67" fillId="3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239" fontId="2" fillId="0" borderId="0" applyFont="0" applyFill="0" applyBorder="0" applyAlignment="0" applyProtection="0"/>
    <xf numFmtId="247" fontId="2" fillId="0" borderId="0" applyFont="0" applyFill="0" applyBorder="0" applyAlignment="0" applyProtection="0"/>
    <xf numFmtId="225" fontId="6" fillId="0" borderId="23">
      <protection locked="0"/>
    </xf>
    <xf numFmtId="0" fontId="164" fillId="0" borderId="24" applyNumberFormat="0" applyFill="0" applyAlignment="0" applyProtection="0"/>
    <xf numFmtId="251" fontId="2" fillId="0" borderId="0" applyFill="0" applyBorder="0" applyAlignment="0"/>
    <xf numFmtId="249" fontId="2" fillId="0" borderId="0" applyFill="0" applyBorder="0" applyAlignment="0"/>
    <xf numFmtId="0" fontId="11" fillId="0" borderId="0"/>
    <xf numFmtId="0" fontId="5" fillId="0" borderId="0"/>
    <xf numFmtId="261" fontId="27" fillId="0" borderId="0">
      <alignment horizontal="center"/>
    </xf>
    <xf numFmtId="243" fontId="151" fillId="0" borderId="0">
      <alignment horizontal="center"/>
    </xf>
    <xf numFmtId="0" fontId="34" fillId="0" borderId="0"/>
    <xf numFmtId="0" fontId="182" fillId="0" borderId="6" applyProtection="0">
      <alignment vertical="center"/>
    </xf>
    <xf numFmtId="0" fontId="58" fillId="0" borderId="45" applyNumberFormat="0" applyBorder="0" applyAlignment="0"/>
    <xf numFmtId="9" fontId="34" fillId="0" borderId="0" applyFont="0" applyFill="0" applyProtection="0"/>
    <xf numFmtId="240" fontId="11" fillId="0" borderId="0">
      <alignment horizontal="right"/>
    </xf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227" fontId="6" fillId="0" borderId="0">
      <protection locked="0"/>
    </xf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227" fontId="6" fillId="0" borderId="0">
      <protection locked="0"/>
    </xf>
    <xf numFmtId="256" fontId="2" fillId="0" borderId="0" applyFont="0" applyFill="0" applyBorder="0" applyAlignment="0" applyProtection="0"/>
    <xf numFmtId="246" fontId="2" fillId="0" borderId="0" applyFont="0" applyFill="0" applyBorder="0" applyAlignment="0" applyProtection="0"/>
    <xf numFmtId="0" fontId="163" fillId="36" borderId="20" applyNumberFormat="0" applyAlignment="0" applyProtection="0"/>
    <xf numFmtId="38" fontId="181" fillId="0" borderId="56" applyFont="0" applyFill="0" applyBorder="0" applyAlignment="0">
      <alignment horizontal="center"/>
    </xf>
    <xf numFmtId="257" fontId="109" fillId="0" borderId="0"/>
    <xf numFmtId="0" fontId="109" fillId="0" borderId="0">
      <alignment vertical="center"/>
    </xf>
    <xf numFmtId="0" fontId="183" fillId="0" borderId="0"/>
    <xf numFmtId="0" fontId="109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2" fillId="0" borderId="0"/>
    <xf numFmtId="0" fontId="20" fillId="0" borderId="0" applyFill="0" applyBorder="0" applyProtection="0">
      <alignment vertical="top"/>
    </xf>
    <xf numFmtId="257" fontId="109" fillId="0" borderId="0"/>
    <xf numFmtId="0" fontId="40" fillId="0" borderId="0"/>
    <xf numFmtId="0" fontId="40" fillId="0" borderId="0"/>
    <xf numFmtId="0" fontId="109" fillId="0" borderId="0">
      <alignment vertical="center"/>
    </xf>
    <xf numFmtId="262" fontId="109" fillId="0" borderId="0"/>
    <xf numFmtId="257" fontId="6" fillId="0" borderId="0"/>
    <xf numFmtId="0" fontId="20" fillId="0" borderId="0"/>
    <xf numFmtId="0" fontId="11" fillId="0" borderId="0"/>
    <xf numFmtId="191" fontId="5" fillId="0" borderId="0"/>
    <xf numFmtId="254" fontId="2" fillId="0" borderId="0"/>
    <xf numFmtId="241" fontId="5" fillId="0" borderId="0"/>
    <xf numFmtId="0" fontId="162" fillId="13" borderId="0" applyNumberFormat="0" applyBorder="0" applyAlignment="0" applyProtection="0"/>
    <xf numFmtId="182" fontId="83" fillId="0" borderId="0" applyFont="0" applyFill="0" applyBorder="0" applyAlignment="0" applyProtection="0"/>
    <xf numFmtId="261" fontId="27" fillId="0" borderId="0" applyFont="0" applyFill="0" applyBorder="0" applyAlignment="0" applyProtection="0"/>
    <xf numFmtId="260" fontId="27" fillId="0" borderId="0" applyFont="0" applyFill="0" applyBorder="0" applyAlignment="0" applyProtection="0"/>
    <xf numFmtId="243" fontId="151" fillId="0" borderId="0" applyFont="0" applyFill="0" applyBorder="0" applyAlignment="0" applyProtection="0"/>
    <xf numFmtId="242" fontId="151" fillId="0" borderId="0" applyFon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161" fillId="0" borderId="16" applyNumberFormat="0" applyFill="0" applyAlignment="0" applyProtection="0"/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177" fontId="2" fillId="0" borderId="0" applyFont="0" applyFill="0" applyBorder="0" applyAlignment="0" applyProtection="0"/>
    <xf numFmtId="252" fontId="2" fillId="0" borderId="0" applyFont="0" applyFill="0" applyBorder="0" applyAlignment="0" applyProtection="0"/>
    <xf numFmtId="0" fontId="75" fillId="10" borderId="4" applyNumberFormat="0" applyAlignment="0" applyProtection="0"/>
    <xf numFmtId="0" fontId="160" fillId="10" borderId="4" applyNumberFormat="0" applyAlignment="0" applyProtection="0"/>
    <xf numFmtId="0" fontId="160" fillId="10" borderId="4" applyNumberFormat="0" applyAlignment="0" applyProtection="0"/>
    <xf numFmtId="0" fontId="160" fillId="10" borderId="4" applyNumberFormat="0" applyAlignment="0" applyProtection="0"/>
    <xf numFmtId="0" fontId="99" fillId="34" borderId="4" applyNumberFormat="0" applyAlignment="0" applyProtection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alignment vertical="top"/>
      <protection locked="0"/>
    </xf>
    <xf numFmtId="225" fontId="6" fillId="0" borderId="0">
      <protection locked="0"/>
    </xf>
    <xf numFmtId="225" fontId="6" fillId="0" borderId="0">
      <protection locked="0"/>
    </xf>
    <xf numFmtId="0" fontId="149" fillId="0" borderId="0" applyNumberFormat="0" applyFill="0" applyBorder="0" applyAlignment="0" applyProtection="0"/>
    <xf numFmtId="0" fontId="149" fillId="0" borderId="13" applyNumberFormat="0" applyFill="0" applyAlignment="0" applyProtection="0"/>
    <xf numFmtId="0" fontId="148" fillId="0" borderId="12" applyNumberFormat="0" applyFill="0" applyAlignment="0" applyProtection="0"/>
    <xf numFmtId="0" fontId="147" fillId="0" borderId="10" applyNumberFormat="0" applyFill="0" applyAlignment="0" applyProtection="0"/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159" fillId="7" borderId="0" applyNumberFormat="0" applyBorder="0" applyAlignment="0" applyProtection="0"/>
    <xf numFmtId="0" fontId="180" fillId="0" borderId="0" applyNumberFormat="0" applyFill="0" applyBorder="0" applyAlignment="0" applyProtection="0"/>
    <xf numFmtId="224" fontId="63" fillId="0" borderId="0">
      <protection locked="0"/>
    </xf>
    <xf numFmtId="0" fontId="158" fillId="0" borderId="0" applyNumberFormat="0" applyFill="0" applyBorder="0" applyAlignment="0" applyProtection="0"/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17" fontId="11" fillId="0" borderId="0" applyNumberFormat="0" applyFont="0" applyFill="0" applyBorder="0" applyAlignment="0" applyProtection="0">
      <alignment horizontal="right"/>
    </xf>
    <xf numFmtId="259" fontId="2" fillId="0" borderId="0">
      <protection locked="0"/>
    </xf>
    <xf numFmtId="222" fontId="6" fillId="0" borderId="0">
      <protection locked="0"/>
    </xf>
    <xf numFmtId="258" fontId="6" fillId="43" borderId="0" applyFont="0" applyBorder="0"/>
    <xf numFmtId="220" fontId="6" fillId="0" borderId="0">
      <protection locked="0"/>
    </xf>
    <xf numFmtId="220" fontId="6" fillId="0" borderId="0">
      <protection locked="0"/>
    </xf>
    <xf numFmtId="220" fontId="6" fillId="0" borderId="0">
      <protection locked="0"/>
    </xf>
    <xf numFmtId="245" fontId="2" fillId="0" borderId="0" applyFont="0" applyFill="0" applyBorder="0" applyAlignment="0" applyProtection="0"/>
    <xf numFmtId="43" fontId="109" fillId="0" borderId="0" applyFont="0" applyFill="0" applyBorder="0" applyAlignment="0" applyProtection="0">
      <alignment vertical="center"/>
    </xf>
    <xf numFmtId="186" fontId="10" fillId="0" borderId="0" applyFont="0" applyFill="0" applyBorder="0" applyAlignment="0" applyProtection="0"/>
    <xf numFmtId="186" fontId="109" fillId="0" borderId="0" applyFont="0" applyFill="0" applyBorder="0" applyAlignment="0" applyProtection="0"/>
    <xf numFmtId="250" fontId="2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0" fontId="9" fillId="38" borderId="5" applyNumberFormat="0" applyAlignment="0" applyProtection="0"/>
    <xf numFmtId="0" fontId="157" fillId="36" borderId="4" applyNumberFormat="0" applyAlignment="0" applyProtection="0"/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6" fontId="2" fillId="0" borderId="0" applyFill="0" applyBorder="0" applyAlignment="0"/>
    <xf numFmtId="248" fontId="2" fillId="0" borderId="0" applyFill="0" applyBorder="0" applyAlignment="0"/>
    <xf numFmtId="253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206" fontId="2" fillId="0" borderId="55" applyAlignment="0" applyProtection="0"/>
    <xf numFmtId="0" fontId="179" fillId="0" borderId="0"/>
    <xf numFmtId="0" fontId="156" fillId="5" borderId="0" applyNumberFormat="0" applyBorder="0" applyAlignment="0" applyProtection="0"/>
    <xf numFmtId="0" fontId="155" fillId="16" borderId="0" applyNumberFormat="0" applyBorder="0" applyAlignment="0" applyProtection="0"/>
    <xf numFmtId="0" fontId="155" fillId="16" borderId="0" applyNumberFormat="0" applyBorder="0" applyAlignment="0" applyProtection="0"/>
    <xf numFmtId="0" fontId="155" fillId="16" borderId="0" applyNumberFormat="0" applyBorder="0" applyAlignment="0" applyProtection="0"/>
    <xf numFmtId="0" fontId="44" fillId="35" borderId="0" applyNumberFormat="0" applyBorder="0" applyAlignment="0" applyProtection="0"/>
    <xf numFmtId="0" fontId="155" fillId="18" borderId="0" applyNumberFormat="0" applyBorder="0" applyAlignment="0" applyProtection="0"/>
    <xf numFmtId="0" fontId="155" fillId="18" borderId="0" applyNumberFormat="0" applyBorder="0" applyAlignment="0" applyProtection="0"/>
    <xf numFmtId="0" fontId="155" fillId="18" borderId="0" applyNumberFormat="0" applyBorder="0" applyAlignment="0" applyProtection="0"/>
    <xf numFmtId="0" fontId="44" fillId="33" borderId="0" applyNumberFormat="0" applyBorder="0" applyAlignment="0" applyProtection="0"/>
    <xf numFmtId="0" fontId="155" fillId="17" borderId="0" applyNumberFormat="0" applyBorder="0" applyAlignment="0" applyProtection="0"/>
    <xf numFmtId="0" fontId="155" fillId="17" borderId="0" applyNumberFormat="0" applyBorder="0" applyAlignment="0" applyProtection="0"/>
    <xf numFmtId="0" fontId="155" fillId="17" borderId="0" applyNumberFormat="0" applyBorder="0" applyAlignment="0" applyProtection="0"/>
    <xf numFmtId="0" fontId="44" fillId="23" borderId="0" applyNumberFormat="0" applyBorder="0" applyAlignment="0" applyProtection="0"/>
    <xf numFmtId="0" fontId="155" fillId="30" borderId="0" applyNumberFormat="0" applyBorder="0" applyAlignment="0" applyProtection="0"/>
    <xf numFmtId="0" fontId="155" fillId="30" borderId="0" applyNumberFormat="0" applyBorder="0" applyAlignment="0" applyProtection="0"/>
    <xf numFmtId="0" fontId="155" fillId="30" borderId="0" applyNumberFormat="0" applyBorder="0" applyAlignment="0" applyProtection="0"/>
    <xf numFmtId="0" fontId="44" fillId="28" borderId="0" applyNumberFormat="0" applyBorder="0" applyAlignment="0" applyProtection="0"/>
    <xf numFmtId="0" fontId="155" fillId="24" borderId="0" applyNumberFormat="0" applyBorder="0" applyAlignment="0" applyProtection="0"/>
    <xf numFmtId="0" fontId="155" fillId="24" borderId="0" applyNumberFormat="0" applyBorder="0" applyAlignment="0" applyProtection="0"/>
    <xf numFmtId="0" fontId="155" fillId="24" borderId="0" applyNumberFormat="0" applyBorder="0" applyAlignment="0" applyProtection="0"/>
    <xf numFmtId="0" fontId="44" fillId="29" borderId="0" applyNumberFormat="0" applyBorder="0" applyAlignment="0" applyProtection="0"/>
    <xf numFmtId="0" fontId="155" fillId="20" borderId="0" applyNumberFormat="0" applyBorder="0" applyAlignment="0" applyProtection="0"/>
    <xf numFmtId="0" fontId="155" fillId="20" borderId="0" applyNumberFormat="0" applyBorder="0" applyAlignment="0" applyProtection="0"/>
    <xf numFmtId="0" fontId="155" fillId="20" borderId="0" applyNumberFormat="0" applyBorder="0" applyAlignment="0" applyProtection="0"/>
    <xf numFmtId="0" fontId="44" fillId="23" borderId="0" applyNumberFormat="0" applyBorder="0" applyAlignment="0" applyProtection="0"/>
    <xf numFmtId="0" fontId="42" fillId="19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7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167" fillId="17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67" fillId="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55" fillId="19" borderId="0" applyNumberFormat="0" applyBorder="0" applyAlignment="0" applyProtection="0"/>
    <xf numFmtId="0" fontId="155" fillId="18" borderId="0" applyNumberFormat="0" applyBorder="0" applyAlignment="0" applyProtection="0"/>
    <xf numFmtId="0" fontId="155" fillId="17" borderId="0" applyNumberFormat="0" applyBorder="0" applyAlignment="0" applyProtection="0"/>
    <xf numFmtId="0" fontId="155" fillId="12" borderId="0" applyNumberFormat="0" applyBorder="0" applyAlignment="0" applyProtection="0"/>
    <xf numFmtId="0" fontId="155" fillId="6" borderId="0" applyNumberFormat="0" applyBorder="0" applyAlignment="0" applyProtection="0"/>
    <xf numFmtId="0" fontId="155" fillId="15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66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6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6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6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6" fillId="4" borderId="0" applyNumberFormat="0" applyBorder="0" applyAlignment="0" applyProtection="0">
      <alignment vertical="center"/>
    </xf>
    <xf numFmtId="0" fontId="30" fillId="14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66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6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6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6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66" fillId="3" borderId="0" applyNumberFormat="0" applyBorder="0" applyAlignment="0" applyProtection="0">
      <alignment vertical="center"/>
    </xf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5" borderId="0" applyNumberFormat="0" applyBorder="0" applyAlignment="0" applyProtection="0"/>
    <xf numFmtId="0" fontId="30" fillId="3" borderId="0" applyNumberFormat="0" applyBorder="0" applyAlignment="0" applyProtection="0"/>
    <xf numFmtId="182" fontId="83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6" fillId="0" borderId="0"/>
    <xf numFmtId="0" fontId="5" fillId="0" borderId="0"/>
    <xf numFmtId="0" fontId="11" fillId="0" borderId="0"/>
    <xf numFmtId="0" fontId="5" fillId="0" borderId="0"/>
    <xf numFmtId="0" fontId="6" fillId="0" borderId="0"/>
    <xf numFmtId="0" fontId="5" fillId="0" borderId="0"/>
    <xf numFmtId="0" fontId="11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65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5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20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5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0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5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/>
    <xf numFmtId="0" fontId="136" fillId="0" borderId="0" xfId="0" applyFont="1" applyAlignment="1">
      <alignment horizontal="right" vertical="center"/>
    </xf>
    <xf numFmtId="3" fontId="137" fillId="0" borderId="9" xfId="0" applyNumberFormat="1" applyFont="1" applyBorder="1" applyAlignment="1">
      <alignment vertical="center"/>
    </xf>
    <xf numFmtId="0" fontId="139" fillId="43" borderId="32" xfId="0" applyFont="1" applyFill="1" applyBorder="1" applyAlignment="1">
      <alignment horizontal="center" vertical="center"/>
    </xf>
    <xf numFmtId="0" fontId="139" fillId="43" borderId="34" xfId="0" applyFont="1" applyFill="1" applyBorder="1" applyAlignment="1">
      <alignment horizontal="center" vertical="center"/>
    </xf>
    <xf numFmtId="9" fontId="117" fillId="0" borderId="0" xfId="1063" applyFont="1" applyAlignment="1">
      <alignment vertical="center"/>
    </xf>
    <xf numFmtId="0" fontId="136" fillId="0" borderId="0" xfId="0" applyFont="1" applyAlignment="1">
      <alignment vertical="center"/>
    </xf>
    <xf numFmtId="0" fontId="139" fillId="0" borderId="0" xfId="0" applyFont="1" applyAlignment="1">
      <alignment horizontal="right" vertical="center"/>
    </xf>
    <xf numFmtId="0" fontId="135" fillId="0" borderId="0" xfId="0" applyFont="1" applyAlignment="1">
      <alignment horizontal="right" vertical="center"/>
    </xf>
    <xf numFmtId="0" fontId="135" fillId="0" borderId="0" xfId="0" applyFont="1" applyAlignment="1">
      <alignment horizontal="center" vertical="center"/>
    </xf>
    <xf numFmtId="9" fontId="118" fillId="0" borderId="0" xfId="1063" applyFont="1" applyBorder="1" applyAlignment="1">
      <alignment horizontal="center" vertical="center"/>
    </xf>
    <xf numFmtId="0" fontId="139" fillId="0" borderId="39" xfId="0" applyFont="1" applyBorder="1" applyAlignment="1">
      <alignment vertical="center"/>
    </xf>
    <xf numFmtId="0" fontId="138" fillId="0" borderId="41" xfId="0" applyFont="1" applyBorder="1" applyAlignment="1">
      <alignment horizontal="center" vertical="center"/>
    </xf>
    <xf numFmtId="0" fontId="138" fillId="0" borderId="41" xfId="0" applyFont="1" applyBorder="1" applyAlignment="1">
      <alignment vertical="center"/>
    </xf>
    <xf numFmtId="0" fontId="138" fillId="0" borderId="9" xfId="0" applyFont="1" applyBorder="1" applyAlignment="1">
      <alignment horizontal="center" vertical="center"/>
    </xf>
    <xf numFmtId="0" fontId="138" fillId="0" borderId="9" xfId="0" applyFont="1" applyBorder="1" applyAlignment="1">
      <alignment vertical="center"/>
    </xf>
    <xf numFmtId="3" fontId="139" fillId="0" borderId="9" xfId="0" applyNumberFormat="1" applyFont="1" applyBorder="1" applyAlignment="1">
      <alignment vertical="center"/>
    </xf>
    <xf numFmtId="0" fontId="135" fillId="0" borderId="8" xfId="0" applyFont="1" applyBorder="1" applyAlignment="1">
      <alignment vertical="center"/>
    </xf>
    <xf numFmtId="3" fontId="137" fillId="0" borderId="9" xfId="0" applyNumberFormat="1" applyFont="1" applyBorder="1" applyAlignment="1">
      <alignment horizontal="left" vertical="center"/>
    </xf>
    <xf numFmtId="0" fontId="138" fillId="0" borderId="9" xfId="0" applyFont="1" applyBorder="1" applyAlignment="1">
      <alignment horizontal="left" vertical="center" shrinkToFit="1"/>
    </xf>
    <xf numFmtId="0" fontId="135" fillId="0" borderId="0" xfId="0" applyFont="1" applyAlignment="1">
      <alignment vertical="center"/>
    </xf>
    <xf numFmtId="0" fontId="138" fillId="0" borderId="9" xfId="0" applyFont="1" applyBorder="1" applyAlignment="1">
      <alignment horizontal="right" vertical="center"/>
    </xf>
    <xf numFmtId="0" fontId="138" fillId="0" borderId="41" xfId="0" applyFont="1" applyBorder="1" applyAlignment="1">
      <alignment horizontal="right" vertical="center"/>
    </xf>
    <xf numFmtId="0" fontId="137" fillId="0" borderId="9" xfId="0" applyFont="1" applyBorder="1" applyAlignment="1">
      <alignment horizontal="left" vertical="center"/>
    </xf>
    <xf numFmtId="0" fontId="140" fillId="0" borderId="18" xfId="0" applyFont="1" applyBorder="1" applyAlignment="1">
      <alignment vertical="center"/>
    </xf>
    <xf numFmtId="41" fontId="141" fillId="0" borderId="18" xfId="1156" applyFont="1" applyBorder="1" applyAlignment="1">
      <alignment vertical="center"/>
    </xf>
    <xf numFmtId="0" fontId="141" fillId="0" borderId="18" xfId="1397" applyFont="1" applyBorder="1" applyAlignment="1">
      <alignment horizontal="center" vertical="center" wrapText="1"/>
    </xf>
    <xf numFmtId="0" fontId="141" fillId="0" borderId="18" xfId="1397" applyFont="1" applyBorder="1" applyAlignment="1">
      <alignment horizontal="left" vertical="center" wrapText="1"/>
    </xf>
    <xf numFmtId="0" fontId="141" fillId="0" borderId="18" xfId="0" applyFont="1" applyBorder="1" applyAlignment="1">
      <alignment horizontal="center" vertical="center"/>
    </xf>
    <xf numFmtId="0" fontId="139" fillId="0" borderId="32" xfId="0" applyFont="1" applyBorder="1" applyAlignment="1">
      <alignment vertical="center"/>
    </xf>
    <xf numFmtId="0" fontId="138" fillId="0" borderId="37" xfId="0" applyFont="1" applyBorder="1" applyAlignment="1">
      <alignment vertical="center"/>
    </xf>
    <xf numFmtId="0" fontId="138" fillId="0" borderId="18" xfId="0" applyFont="1" applyBorder="1" applyAlignment="1">
      <alignment vertical="center"/>
    </xf>
    <xf numFmtId="0" fontId="138" fillId="0" borderId="40" xfId="0" applyFont="1" applyBorder="1" applyAlignment="1">
      <alignment vertical="center"/>
    </xf>
    <xf numFmtId="0" fontId="138" fillId="0" borderId="38" xfId="0" applyFont="1" applyBorder="1" applyAlignment="1">
      <alignment vertical="center"/>
    </xf>
    <xf numFmtId="0" fontId="140" fillId="0" borderId="37" xfId="0" applyFont="1" applyBorder="1" applyAlignment="1">
      <alignment vertical="center"/>
    </xf>
    <xf numFmtId="41" fontId="135" fillId="0" borderId="0" xfId="1156" applyFont="1" applyAlignment="1">
      <alignment vertical="center"/>
    </xf>
    <xf numFmtId="238" fontId="135" fillId="0" borderId="0" xfId="0" applyNumberFormat="1" applyFont="1" applyAlignment="1">
      <alignment vertical="center"/>
    </xf>
    <xf numFmtId="41" fontId="135" fillId="0" borderId="0" xfId="0" applyNumberFormat="1" applyFont="1" applyAlignment="1">
      <alignment vertical="center"/>
    </xf>
    <xf numFmtId="43" fontId="135" fillId="0" borderId="0" xfId="0" applyNumberFormat="1" applyFont="1" applyAlignment="1">
      <alignment vertical="center"/>
    </xf>
    <xf numFmtId="41" fontId="135" fillId="0" borderId="0" xfId="1156" applyFont="1" applyFill="1" applyAlignment="1">
      <alignment vertical="center"/>
    </xf>
    <xf numFmtId="0" fontId="139" fillId="0" borderId="9" xfId="0" applyFont="1" applyBorder="1" applyAlignment="1">
      <alignment vertical="center"/>
    </xf>
    <xf numFmtId="0" fontId="146" fillId="0" borderId="0" xfId="0" applyFont="1" applyAlignment="1">
      <alignment horizontal="right" vertical="center"/>
    </xf>
    <xf numFmtId="9" fontId="135" fillId="0" borderId="0" xfId="1063" applyFont="1" applyAlignment="1">
      <alignment vertical="center"/>
    </xf>
    <xf numFmtId="176" fontId="136" fillId="0" borderId="36" xfId="0" applyNumberFormat="1" applyFont="1" applyBorder="1" applyAlignment="1">
      <alignment horizontal="right" vertical="center"/>
    </xf>
    <xf numFmtId="0" fontId="139" fillId="43" borderId="33" xfId="0" applyFont="1" applyFill="1" applyBorder="1" applyAlignment="1">
      <alignment horizontal="center" vertical="center"/>
    </xf>
    <xf numFmtId="0" fontId="139" fillId="43" borderId="35" xfId="0" applyFont="1" applyFill="1" applyBorder="1" applyAlignment="1">
      <alignment horizontal="center" vertical="center"/>
    </xf>
    <xf numFmtId="0" fontId="138" fillId="0" borderId="0" xfId="0" applyFont="1" applyAlignment="1">
      <alignment vertical="center"/>
    </xf>
    <xf numFmtId="176" fontId="139" fillId="107" borderId="42" xfId="0" applyNumberFormat="1" applyFont="1" applyFill="1" applyBorder="1" applyAlignment="1">
      <alignment vertical="center"/>
    </xf>
    <xf numFmtId="0" fontId="141" fillId="0" borderId="0" xfId="0" applyFont="1" applyAlignment="1">
      <alignment horizontal="center" vertical="center"/>
    </xf>
    <xf numFmtId="43" fontId="141" fillId="0" borderId="0" xfId="0" applyNumberFormat="1" applyFont="1" applyAlignment="1">
      <alignment horizontal="center" vertical="center"/>
    </xf>
    <xf numFmtId="176" fontId="139" fillId="107" borderId="9" xfId="0" applyNumberFormat="1" applyFont="1" applyFill="1" applyBorder="1" applyAlignment="1">
      <alignment vertical="center"/>
    </xf>
    <xf numFmtId="176" fontId="139" fillId="107" borderId="43" xfId="0" applyNumberFormat="1" applyFont="1" applyFill="1" applyBorder="1" applyAlignment="1">
      <alignment vertical="center"/>
    </xf>
    <xf numFmtId="41" fontId="138" fillId="0" borderId="0" xfId="1156" applyFont="1" applyAlignment="1">
      <alignment vertical="center"/>
    </xf>
    <xf numFmtId="238" fontId="141" fillId="0" borderId="0" xfId="0" applyNumberFormat="1" applyFont="1" applyAlignment="1">
      <alignment horizontal="center" vertical="center"/>
    </xf>
    <xf numFmtId="41" fontId="186" fillId="0" borderId="6" xfId="1156" applyFont="1" applyBorder="1" applyAlignment="1">
      <alignment horizontal="center" vertical="center"/>
    </xf>
    <xf numFmtId="41" fontId="138" fillId="106" borderId="58" xfId="1156" applyFont="1" applyFill="1" applyBorder="1" applyAlignment="1">
      <alignment horizontal="center" vertical="center"/>
    </xf>
    <xf numFmtId="176" fontId="139" fillId="106" borderId="60" xfId="0" applyNumberFormat="1" applyFont="1" applyFill="1" applyBorder="1" applyAlignment="1">
      <alignment vertical="center"/>
    </xf>
    <xf numFmtId="0" fontId="186" fillId="0" borderId="6" xfId="0" applyFont="1" applyBorder="1" applyAlignment="1">
      <alignment horizontal="center" vertical="center"/>
    </xf>
    <xf numFmtId="42" fontId="186" fillId="0" borderId="6" xfId="0" applyNumberFormat="1" applyFont="1" applyBorder="1" applyAlignment="1">
      <alignment vertical="center" wrapText="1"/>
    </xf>
    <xf numFmtId="41" fontId="186" fillId="0" borderId="6" xfId="1156" applyFont="1" applyBorder="1" applyAlignment="1">
      <alignment vertical="center"/>
    </xf>
    <xf numFmtId="0" fontId="186" fillId="0" borderId="57" xfId="0" applyFont="1" applyBorder="1" applyAlignment="1">
      <alignment horizontal="center" vertical="center"/>
    </xf>
    <xf numFmtId="0" fontId="186" fillId="0" borderId="57" xfId="0" applyFont="1" applyBorder="1" applyAlignment="1">
      <alignment horizontal="centerContinuous" vertical="center"/>
    </xf>
    <xf numFmtId="41" fontId="141" fillId="0" borderId="61" xfId="1156" applyFont="1" applyBorder="1" applyAlignment="1">
      <alignment vertical="center"/>
    </xf>
    <xf numFmtId="41" fontId="141" fillId="0" borderId="43" xfId="1156" applyFont="1" applyBorder="1" applyAlignment="1">
      <alignment vertical="center"/>
    </xf>
    <xf numFmtId="41" fontId="141" fillId="0" borderId="6" xfId="1156" applyFont="1" applyBorder="1" applyAlignment="1">
      <alignment vertical="center"/>
    </xf>
    <xf numFmtId="42" fontId="187" fillId="0" borderId="6" xfId="0" quotePrefix="1" applyNumberFormat="1" applyFont="1" applyBorder="1" applyAlignment="1">
      <alignment horizontal="center" vertical="center" wrapText="1"/>
    </xf>
    <xf numFmtId="0" fontId="135" fillId="0" borderId="0" xfId="0" applyFont="1" applyAlignment="1">
      <alignment vertical="center" shrinkToFit="1"/>
    </xf>
    <xf numFmtId="178" fontId="138" fillId="0" borderId="41" xfId="0" quotePrefix="1" applyNumberFormat="1" applyFont="1" applyBorder="1" applyAlignment="1">
      <alignment horizontal="left" vertical="center" shrinkToFit="1"/>
    </xf>
    <xf numFmtId="0" fontId="143" fillId="0" borderId="9" xfId="1604" applyFont="1" applyBorder="1" applyAlignment="1" applyProtection="1">
      <alignment horizontal="left" vertical="center" shrinkToFit="1"/>
    </xf>
    <xf numFmtId="42" fontId="186" fillId="0" borderId="6" xfId="0" quotePrefix="1" applyNumberFormat="1" applyFont="1" applyBorder="1" applyAlignment="1">
      <alignment vertical="center" wrapText="1"/>
    </xf>
    <xf numFmtId="0" fontId="136" fillId="0" borderId="45" xfId="0" applyFont="1" applyBorder="1" applyAlignment="1">
      <alignment horizontal="center" vertical="center"/>
    </xf>
    <xf numFmtId="0" fontId="136" fillId="0" borderId="8" xfId="0" applyFont="1" applyBorder="1" applyAlignment="1">
      <alignment horizontal="center" vertical="center"/>
    </xf>
    <xf numFmtId="0" fontId="136" fillId="0" borderId="44" xfId="0" applyFont="1" applyBorder="1" applyAlignment="1">
      <alignment horizontal="center" vertical="center"/>
    </xf>
    <xf numFmtId="176" fontId="136" fillId="0" borderId="8" xfId="0" applyNumberFormat="1" applyFont="1" applyBorder="1" applyAlignment="1">
      <alignment horizontal="right" vertical="center"/>
    </xf>
    <xf numFmtId="176" fontId="136" fillId="0" borderId="44" xfId="0" applyNumberFormat="1" applyFont="1" applyBorder="1" applyAlignment="1">
      <alignment horizontal="right" vertical="center"/>
    </xf>
    <xf numFmtId="0" fontId="142" fillId="0" borderId="0" xfId="0" applyFont="1" applyAlignment="1">
      <alignment horizontal="center" vertical="center"/>
    </xf>
    <xf numFmtId="0" fontId="137" fillId="106" borderId="39" xfId="0" applyFont="1" applyFill="1" applyBorder="1" applyAlignment="1">
      <alignment horizontal="center" vertical="center"/>
    </xf>
    <xf numFmtId="0" fontId="137" fillId="106" borderId="18" xfId="0" applyFont="1" applyFill="1" applyBorder="1" applyAlignment="1">
      <alignment horizontal="center" vertical="center"/>
    </xf>
    <xf numFmtId="0" fontId="137" fillId="106" borderId="59" xfId="0" applyFont="1" applyFill="1" applyBorder="1" applyAlignment="1">
      <alignment horizontal="center" vertical="center"/>
    </xf>
  </cellXfs>
  <cellStyles count="2207">
    <cellStyle name=" 1" xfId="1" xr:uid="{00000000-0005-0000-0000-000000000000}"/>
    <cellStyle name=")" xfId="2" xr:uid="{00000000-0005-0000-0000-000001000000}"/>
    <cellStyle name="??&amp;O?&amp;H?_x0008__x000f__x0007_?_x0007__x0001__x0001_" xfId="2193" xr:uid="{00000000-0005-0000-0000-000002000000}"/>
    <cellStyle name="??&amp;O?&amp;H?_x0008_??_x0007__x0001__x0001_" xfId="2202" xr:uid="{00000000-0005-0000-0000-000003000000}"/>
    <cellStyle name="_1104 KO Options Meeting One 04-27-11" xfId="2200" xr:uid="{00000000-0005-0000-0000-000004000000}"/>
    <cellStyle name="_2003.09.22(넷브레인_성기상님)(오픈베이스)" xfId="3" xr:uid="{00000000-0005-0000-0000-000005000000}"/>
    <cellStyle name="_2003년 5월 HP Note Desk 워크스테이션 가격표" xfId="4" xr:uid="{00000000-0005-0000-0000-000006000000}"/>
    <cellStyle name="_Account Total" xfId="5" xr:uid="{00000000-0005-0000-0000-000007000000}"/>
    <cellStyle name="_Acts_DVR 업체 제안_07.5.4" xfId="2199" xr:uid="{00000000-0005-0000-0000-000008000000}"/>
    <cellStyle name="_Acts_Storage 6bay_07.5.11" xfId="2198" xr:uid="{00000000-0005-0000-0000-000009000000}"/>
    <cellStyle name="_Acts_Web HDD 용 ST_07.4.20" xfId="2197" xr:uid="{00000000-0005-0000-0000-00000A000000}"/>
    <cellStyle name="_Allm_Nas Storage_07.5.4" xfId="2196" xr:uid="{00000000-0005-0000-0000-00000B000000}"/>
    <cellStyle name="_AplusIT_EMC_ECC Pack_PC_5163부대_050628" xfId="6" xr:uid="{00000000-0005-0000-0000-00000C000000}"/>
    <cellStyle name="_Axus 기본 견적" xfId="2195" xr:uid="{00000000-0005-0000-0000-00000D000000}"/>
    <cellStyle name="_BestStor ST 기본견적" xfId="2194" xr:uid="{00000000-0005-0000-0000-00000E000000}"/>
    <cellStyle name="_Book1" xfId="7" xr:uid="{00000000-0005-0000-0000-00000F000000}"/>
    <cellStyle name="_Book1 2" xfId="8" xr:uid="{00000000-0005-0000-0000-000010000000}"/>
    <cellStyle name="_Book1 3" xfId="9" xr:uid="{00000000-0005-0000-0000-000011000000}"/>
    <cellStyle name="_Book1 4" xfId="10" xr:uid="{00000000-0005-0000-0000-000012000000}"/>
    <cellStyle name="_Book1 5" xfId="11" xr:uid="{00000000-0005-0000-0000-000013000000}"/>
    <cellStyle name="_Book1 6" xfId="12" xr:uid="{00000000-0005-0000-0000-000014000000}"/>
    <cellStyle name="_Book1_ISS_FY08_10월가격표_final013xls" xfId="13" xr:uid="{00000000-0005-0000-0000-000015000000}"/>
    <cellStyle name="_Book1_ISS_FY08_10월가격표_final013xls 2" xfId="14" xr:uid="{00000000-0005-0000-0000-000016000000}"/>
    <cellStyle name="_Book1_ISS_FY08_10월가격표_final013xls 3" xfId="15" xr:uid="{00000000-0005-0000-0000-000017000000}"/>
    <cellStyle name="_Book1_ISS_FY08_10월가격표_final013xls 4" xfId="16" xr:uid="{00000000-0005-0000-0000-000018000000}"/>
    <cellStyle name="_Book1_ISS_FY08_10월가격표_final013xls 5" xfId="17" xr:uid="{00000000-0005-0000-0000-000019000000}"/>
    <cellStyle name="_Book1_ISS_FY08_10월가격표_final013xls 6" xfId="18" xr:uid="{00000000-0005-0000-0000-00001A000000}"/>
    <cellStyle name="_Book1_화이트박스-09-0430(SZ일체형)" xfId="2201" xr:uid="{00000000-0005-0000-0000-00001B000000}"/>
    <cellStyle name="_Book13" xfId="19" xr:uid="{00000000-0005-0000-0000-00001C000000}"/>
    <cellStyle name="_Book13 2" xfId="20" xr:uid="{00000000-0005-0000-0000-00001D000000}"/>
    <cellStyle name="_Book13 3" xfId="21" xr:uid="{00000000-0005-0000-0000-00001E000000}"/>
    <cellStyle name="_Book13 4" xfId="22" xr:uid="{00000000-0005-0000-0000-00001F000000}"/>
    <cellStyle name="_Book13 5" xfId="23" xr:uid="{00000000-0005-0000-0000-000020000000}"/>
    <cellStyle name="_Book13 6" xfId="24" xr:uid="{00000000-0005-0000-0000-000021000000}"/>
    <cellStyle name="_Book13_ISS_FY08_10월가격표_final013xls" xfId="25" xr:uid="{00000000-0005-0000-0000-000022000000}"/>
    <cellStyle name="_Book13_ISS_FY08_10월가격표_final013xls 2" xfId="26" xr:uid="{00000000-0005-0000-0000-000023000000}"/>
    <cellStyle name="_Book13_ISS_FY08_10월가격표_final013xls 3" xfId="27" xr:uid="{00000000-0005-0000-0000-000024000000}"/>
    <cellStyle name="_Book13_ISS_FY08_10월가격표_final013xls 4" xfId="28" xr:uid="{00000000-0005-0000-0000-000025000000}"/>
    <cellStyle name="_Book13_ISS_FY08_10월가격표_final013xls 5" xfId="29" xr:uid="{00000000-0005-0000-0000-000026000000}"/>
    <cellStyle name="_Book13_ISS_FY08_10월가격표_final013xls 6" xfId="30" xr:uid="{00000000-0005-0000-0000-000027000000}"/>
    <cellStyle name="_Book13_화이트박스-09-0430(SZ일체형)" xfId="2192" xr:uid="{00000000-0005-0000-0000-000028000000}"/>
    <cellStyle name="_CJ_Web HDD Solution_07.12.10(최종)" xfId="2191" xr:uid="{00000000-0005-0000-0000-000029000000}"/>
    <cellStyle name="_CPQRC_Storage_Dec05" xfId="31" xr:uid="{00000000-0005-0000-0000-00002A000000}"/>
    <cellStyle name="_EAnnounce  CORE" xfId="2190" xr:uid="{00000000-0005-0000-0000-00002B000000}"/>
    <cellStyle name="_Eclipse approval" xfId="32" xr:uid="{00000000-0005-0000-0000-00002C000000}"/>
    <cellStyle name="_Eclipse approval 2" xfId="33" xr:uid="{00000000-0005-0000-0000-00002D000000}"/>
    <cellStyle name="_Eclipse approval 3" xfId="34" xr:uid="{00000000-0005-0000-0000-00002E000000}"/>
    <cellStyle name="_Eclipse approval 4" xfId="35" xr:uid="{00000000-0005-0000-0000-00002F000000}"/>
    <cellStyle name="_Eclipse approval 5" xfId="36" xr:uid="{00000000-0005-0000-0000-000030000000}"/>
    <cellStyle name="_Eclipse approval 6" xfId="37" xr:uid="{00000000-0005-0000-0000-000031000000}"/>
    <cellStyle name="_Eclipse approval_ISS_FY08_10월가격표_final013xls" xfId="38" xr:uid="{00000000-0005-0000-0000-000032000000}"/>
    <cellStyle name="_Eclipse approval_ISS_FY08_10월가격표_final013xls 2" xfId="39" xr:uid="{00000000-0005-0000-0000-000033000000}"/>
    <cellStyle name="_Eclipse approval_ISS_FY08_10월가격표_final013xls 3" xfId="40" xr:uid="{00000000-0005-0000-0000-000034000000}"/>
    <cellStyle name="_Eclipse approval_ISS_FY08_10월가격표_final013xls 4" xfId="41" xr:uid="{00000000-0005-0000-0000-000035000000}"/>
    <cellStyle name="_Eclipse approval_ISS_FY08_10월가격표_final013xls 5" xfId="42" xr:uid="{00000000-0005-0000-0000-000036000000}"/>
    <cellStyle name="_Eclipse approval_ISS_FY08_10월가격표_final013xls 6" xfId="43" xr:uid="{00000000-0005-0000-0000-000037000000}"/>
    <cellStyle name="_Eclipse approval_화이트박스-09-0430(SZ일체형)" xfId="2189" xr:uid="{00000000-0005-0000-0000-000038000000}"/>
    <cellStyle name="_eclipse-1110" xfId="44" xr:uid="{00000000-0005-0000-0000-000039000000}"/>
    <cellStyle name="_EMC가격(삼테크)" xfId="2188" xr:uid="{00000000-0005-0000-0000-00003A000000}"/>
    <cellStyle name="_FCST TTL" xfId="45" xr:uid="{00000000-0005-0000-0000-00003B000000}"/>
    <cellStyle name="_FY05 1X Weekly Stock Report(as of Aug 28)" xfId="46" xr:uid="{00000000-0005-0000-0000-00003C000000}"/>
    <cellStyle name="_FY05 1X Weekly Stock Report(as of Dec.12)" xfId="47" xr:uid="{00000000-0005-0000-0000-00003D000000}"/>
    <cellStyle name="_FY05 1X Weekly Stock Report(as of Dec.19)" xfId="48" xr:uid="{00000000-0005-0000-0000-00003E000000}"/>
    <cellStyle name="_FY05 1X Weekly Stock Report(as of Feb 13)" xfId="49" xr:uid="{00000000-0005-0000-0000-00003F000000}"/>
    <cellStyle name="_FY05 1X Weekly Stock Report(as of Nov.30)" xfId="50" xr:uid="{00000000-0005-0000-0000-000040000000}"/>
    <cellStyle name="_FY05 1X Weekly Stock Report(as of Sep 18)" xfId="51" xr:uid="{00000000-0005-0000-0000-000041000000}"/>
    <cellStyle name="_fy051H quota_v3" xfId="52" xr:uid="{00000000-0005-0000-0000-000042000000}"/>
    <cellStyle name="_FY05'2H ISS WOS(0812)1" xfId="53" xr:uid="{00000000-0005-0000-0000-000043000000}"/>
    <cellStyle name="_FY05'2H ISS WOS(0821)1 (2)" xfId="54" xr:uid="{00000000-0005-0000-0000-000044000000}"/>
    <cellStyle name="_FY06 1X Weekly Stock Report(as of Dec 18)" xfId="55" xr:uid="{00000000-0005-0000-0000-000045000000}"/>
    <cellStyle name="_FY06 1X Weekly Stock Status Report(as of Apr 30) (2)" xfId="56" xr:uid="{00000000-0005-0000-0000-000046000000}"/>
    <cellStyle name="_FY06 1X Weekly Stock Status Report(as of Feb.5)1" xfId="57" xr:uid="{00000000-0005-0000-0000-000047000000}"/>
    <cellStyle name="_FY06 1X Weekly Stock Status Report(as of Jan 29)" xfId="58" xr:uid="{00000000-0005-0000-0000-000048000000}"/>
    <cellStyle name="_GM fcst OCT06" xfId="59" xr:uid="{00000000-0005-0000-0000-000049000000}"/>
    <cellStyle name="_GM fcst OCT06 2" xfId="60" xr:uid="{00000000-0005-0000-0000-00004A000000}"/>
    <cellStyle name="_GM fcst OCT06 3" xfId="61" xr:uid="{00000000-0005-0000-0000-00004B000000}"/>
    <cellStyle name="_GM fcst OCT06 4" xfId="62" xr:uid="{00000000-0005-0000-0000-00004C000000}"/>
    <cellStyle name="_GM fcst OCT06 5" xfId="63" xr:uid="{00000000-0005-0000-0000-00004D000000}"/>
    <cellStyle name="_GM fcst OCT06 6" xfId="64" xr:uid="{00000000-0005-0000-0000-00004E000000}"/>
    <cellStyle name="_GM fcst OCT06_ISS_FY08_10월가격표_final013xls" xfId="65" xr:uid="{00000000-0005-0000-0000-00004F000000}"/>
    <cellStyle name="_GM fcst OCT06_ISS_FY08_10월가격표_final013xls 2" xfId="66" xr:uid="{00000000-0005-0000-0000-000050000000}"/>
    <cellStyle name="_GM fcst OCT06_ISS_FY08_10월가격표_final013xls 3" xfId="67" xr:uid="{00000000-0005-0000-0000-000051000000}"/>
    <cellStyle name="_GM fcst OCT06_ISS_FY08_10월가격표_final013xls 4" xfId="68" xr:uid="{00000000-0005-0000-0000-000052000000}"/>
    <cellStyle name="_GM fcst OCT06_ISS_FY08_10월가격표_final013xls 5" xfId="69" xr:uid="{00000000-0005-0000-0000-000053000000}"/>
    <cellStyle name="_GM fcst OCT06_ISS_FY08_10월가격표_final013xls 6" xfId="70" xr:uid="{00000000-0005-0000-0000-000054000000}"/>
    <cellStyle name="_GM fcst OCT06_화이트박스-09-0430(SZ일체형)" xfId="2187" xr:uid="{00000000-0005-0000-0000-000055000000}"/>
    <cellStyle name="_GT_Storage 외_07.2.21" xfId="2186" xr:uid="{00000000-0005-0000-0000-000056000000}"/>
    <cellStyle name="_GT_Storage 외_07.3.14" xfId="2185" xr:uid="{00000000-0005-0000-0000-000057000000}"/>
    <cellStyle name="_GT_TN6216D-FFG.06.4.25" xfId="2184" xr:uid="{00000000-0005-0000-0000-000058000000}"/>
    <cellStyle name="_GT_데이콤 07.5.8" xfId="2183" xr:uid="{00000000-0005-0000-0000-000059000000}"/>
    <cellStyle name="_HDD" xfId="71" xr:uid="{00000000-0005-0000-0000-00005A000000}"/>
    <cellStyle name="_hp통합2003년1월가격표" xfId="72" xr:uid="{00000000-0005-0000-0000-00005B000000}"/>
    <cellStyle name="_IBM Finance approved to Keith April 22 - jc050109" xfId="2182" xr:uid="{00000000-0005-0000-0000-00005C000000}"/>
    <cellStyle name="_inet_DL360RG5_07.3.14" xfId="2181" xr:uid="{00000000-0005-0000-0000-00005D000000}"/>
    <cellStyle name="_inet_Storage_08.2.18" xfId="2180" xr:uid="{00000000-0005-0000-0000-00005E000000}"/>
    <cellStyle name="_Intel" xfId="2179" xr:uid="{00000000-0005-0000-0000-00005F000000}"/>
    <cellStyle name="_inventory-Dec5_04" xfId="73" xr:uid="{00000000-0005-0000-0000-000060000000}"/>
    <cellStyle name="_ISS 10월 가격표" xfId="74" xr:uid="{00000000-0005-0000-0000-000061000000}"/>
    <cellStyle name="_ISS 2005 12월 가격표" xfId="2178" xr:uid="{00000000-0005-0000-0000-000062000000}"/>
    <cellStyle name="_ISS 2005_6월 가격표-배포" xfId="2177" xr:uid="{00000000-0005-0000-0000-000063000000}"/>
    <cellStyle name="_ISS 2005_8월 가격표" xfId="2176" xr:uid="{00000000-0005-0000-0000-000064000000}"/>
    <cellStyle name="_ISS 2월 가격표_총판용" xfId="2175" xr:uid="{00000000-0005-0000-0000-000065000000}"/>
    <cellStyle name="_ISS 가격표_200405" xfId="2174" xr:uid="{00000000-0005-0000-0000-000066000000}"/>
    <cellStyle name="_ISS 가격표_200408" xfId="2173" xr:uid="{00000000-0005-0000-0000-000067000000}"/>
    <cellStyle name="_IST_HW_020529_01_오일뱅크(570RACK)" xfId="2172" xr:uid="{00000000-0005-0000-0000-000068000000}"/>
    <cellStyle name="_LG데아콤-09-0306(X3850M2,X3650,DS3400)" xfId="2171" xr:uid="{00000000-0005-0000-0000-000069000000}"/>
    <cellStyle name="_Log Book 0930" xfId="75" xr:uid="{00000000-0005-0000-0000-00006A000000}"/>
    <cellStyle name="_Log Book 0930 2" xfId="76" xr:uid="{00000000-0005-0000-0000-00006B000000}"/>
    <cellStyle name="_Log Book 0930 3" xfId="77" xr:uid="{00000000-0005-0000-0000-00006C000000}"/>
    <cellStyle name="_Log Book 0930 4" xfId="78" xr:uid="{00000000-0005-0000-0000-00006D000000}"/>
    <cellStyle name="_Log Book 0930 5" xfId="79" xr:uid="{00000000-0005-0000-0000-00006E000000}"/>
    <cellStyle name="_Log Book 0930 6" xfId="80" xr:uid="{00000000-0005-0000-0000-00006F000000}"/>
    <cellStyle name="_Log Book 0930_ISS_FY08_10월가격표_final013xls" xfId="81" xr:uid="{00000000-0005-0000-0000-000070000000}"/>
    <cellStyle name="_Log Book 0930_ISS_FY08_10월가격표_final013xls 2" xfId="82" xr:uid="{00000000-0005-0000-0000-000071000000}"/>
    <cellStyle name="_Log Book 0930_ISS_FY08_10월가격표_final013xls 3" xfId="83" xr:uid="{00000000-0005-0000-0000-000072000000}"/>
    <cellStyle name="_Log Book 0930_ISS_FY08_10월가격표_final013xls 4" xfId="84" xr:uid="{00000000-0005-0000-0000-000073000000}"/>
    <cellStyle name="_Log Book 0930_ISS_FY08_10월가격표_final013xls 5" xfId="85" xr:uid="{00000000-0005-0000-0000-000074000000}"/>
    <cellStyle name="_Log Book 0930_ISS_FY08_10월가격표_final013xls 6" xfId="86" xr:uid="{00000000-0005-0000-0000-000075000000}"/>
    <cellStyle name="_Log Book 0930_화이트박스-09-0430(SZ일체형)" xfId="2170" xr:uid="{00000000-0005-0000-0000-000076000000}"/>
    <cellStyle name="_Log Book_050805" xfId="87" xr:uid="{00000000-0005-0000-0000-000077000000}"/>
    <cellStyle name="_Log Book_050805 2" xfId="88" xr:uid="{00000000-0005-0000-0000-000078000000}"/>
    <cellStyle name="_Log Book_050805 3" xfId="89" xr:uid="{00000000-0005-0000-0000-000079000000}"/>
    <cellStyle name="_Log Book_050805 4" xfId="90" xr:uid="{00000000-0005-0000-0000-00007A000000}"/>
    <cellStyle name="_Log Book_050805 5" xfId="91" xr:uid="{00000000-0005-0000-0000-00007B000000}"/>
    <cellStyle name="_Log Book_050805 6" xfId="92" xr:uid="{00000000-0005-0000-0000-00007C000000}"/>
    <cellStyle name="_Log Book_050805_ISS_FY08_10월가격표_final013xls" xfId="93" xr:uid="{00000000-0005-0000-0000-00007D000000}"/>
    <cellStyle name="_Log Book_050805_ISS_FY08_10월가격표_final013xls 2" xfId="94" xr:uid="{00000000-0005-0000-0000-00007E000000}"/>
    <cellStyle name="_Log Book_050805_ISS_FY08_10월가격표_final013xls 3" xfId="95" xr:uid="{00000000-0005-0000-0000-00007F000000}"/>
    <cellStyle name="_Log Book_050805_ISS_FY08_10월가격표_final013xls 4" xfId="96" xr:uid="{00000000-0005-0000-0000-000080000000}"/>
    <cellStyle name="_Log Book_050805_ISS_FY08_10월가격표_final013xls 5" xfId="97" xr:uid="{00000000-0005-0000-0000-000081000000}"/>
    <cellStyle name="_Log Book_050805_ISS_FY08_10월가격표_final013xls 6" xfId="98" xr:uid="{00000000-0005-0000-0000-000082000000}"/>
    <cellStyle name="_Log Book_050805_화이트박스-09-0430(SZ일체형)" xfId="2169" xr:uid="{00000000-0005-0000-0000-000083000000}"/>
    <cellStyle name="_Log Book_050822" xfId="99" xr:uid="{00000000-0005-0000-0000-000084000000}"/>
    <cellStyle name="_Log Book_050822 2" xfId="100" xr:uid="{00000000-0005-0000-0000-000085000000}"/>
    <cellStyle name="_Log Book_050822 3" xfId="101" xr:uid="{00000000-0005-0000-0000-000086000000}"/>
    <cellStyle name="_Log Book_050822 4" xfId="102" xr:uid="{00000000-0005-0000-0000-000087000000}"/>
    <cellStyle name="_Log Book_050822 5" xfId="103" xr:uid="{00000000-0005-0000-0000-000088000000}"/>
    <cellStyle name="_Log Book_050822 6" xfId="104" xr:uid="{00000000-0005-0000-0000-000089000000}"/>
    <cellStyle name="_Log Book_050822_ISS_FY08_10월가격표_final013xls" xfId="105" xr:uid="{00000000-0005-0000-0000-00008A000000}"/>
    <cellStyle name="_Log Book_050822_ISS_FY08_10월가격표_final013xls 2" xfId="106" xr:uid="{00000000-0005-0000-0000-00008B000000}"/>
    <cellStyle name="_Log Book_050822_ISS_FY08_10월가격표_final013xls 3" xfId="107" xr:uid="{00000000-0005-0000-0000-00008C000000}"/>
    <cellStyle name="_Log Book_050822_ISS_FY08_10월가격표_final013xls 4" xfId="108" xr:uid="{00000000-0005-0000-0000-00008D000000}"/>
    <cellStyle name="_Log Book_050822_ISS_FY08_10월가격표_final013xls 5" xfId="109" xr:uid="{00000000-0005-0000-0000-00008E000000}"/>
    <cellStyle name="_Log Book_050822_ISS_FY08_10월가격표_final013xls 6" xfId="110" xr:uid="{00000000-0005-0000-0000-00008F000000}"/>
    <cellStyle name="_Log Book_050822_화이트박스-09-0430(SZ일체형)" xfId="2168" xr:uid="{00000000-0005-0000-0000-000090000000}"/>
    <cellStyle name="_Log Book_050905" xfId="111" xr:uid="{00000000-0005-0000-0000-000091000000}"/>
    <cellStyle name="_Log Book_050905 2" xfId="112" xr:uid="{00000000-0005-0000-0000-000092000000}"/>
    <cellStyle name="_Log Book_050905 3" xfId="113" xr:uid="{00000000-0005-0000-0000-000093000000}"/>
    <cellStyle name="_Log Book_050905 4" xfId="114" xr:uid="{00000000-0005-0000-0000-000094000000}"/>
    <cellStyle name="_Log Book_050905 5" xfId="115" xr:uid="{00000000-0005-0000-0000-000095000000}"/>
    <cellStyle name="_Log Book_050905 6" xfId="116" xr:uid="{00000000-0005-0000-0000-000096000000}"/>
    <cellStyle name="_Log Book_050905_ISS_FY08_10월가격표_final013xls" xfId="117" xr:uid="{00000000-0005-0000-0000-000097000000}"/>
    <cellStyle name="_Log Book_050905_ISS_FY08_10월가격표_final013xls 2" xfId="118" xr:uid="{00000000-0005-0000-0000-000098000000}"/>
    <cellStyle name="_Log Book_050905_ISS_FY08_10월가격표_final013xls 3" xfId="119" xr:uid="{00000000-0005-0000-0000-000099000000}"/>
    <cellStyle name="_Log Book_050905_ISS_FY08_10월가격표_final013xls 4" xfId="120" xr:uid="{00000000-0005-0000-0000-00009A000000}"/>
    <cellStyle name="_Log Book_050905_ISS_FY08_10월가격표_final013xls 5" xfId="121" xr:uid="{00000000-0005-0000-0000-00009B000000}"/>
    <cellStyle name="_Log Book_050905_ISS_FY08_10월가격표_final013xls 6" xfId="122" xr:uid="{00000000-0005-0000-0000-00009C000000}"/>
    <cellStyle name="_Log Book_050905_화이트박스-09-0430(SZ일체형)" xfId="2167" xr:uid="{00000000-0005-0000-0000-00009D000000}"/>
    <cellStyle name="_Log Book_050906" xfId="123" xr:uid="{00000000-0005-0000-0000-00009E000000}"/>
    <cellStyle name="_Log Book_050906 2" xfId="124" xr:uid="{00000000-0005-0000-0000-00009F000000}"/>
    <cellStyle name="_Log Book_050906 3" xfId="125" xr:uid="{00000000-0005-0000-0000-0000A0000000}"/>
    <cellStyle name="_Log Book_050906 4" xfId="126" xr:uid="{00000000-0005-0000-0000-0000A1000000}"/>
    <cellStyle name="_Log Book_050906 5" xfId="127" xr:uid="{00000000-0005-0000-0000-0000A2000000}"/>
    <cellStyle name="_Log Book_050906 6" xfId="128" xr:uid="{00000000-0005-0000-0000-0000A3000000}"/>
    <cellStyle name="_Log Book_050906_ISS_FY08_10월가격표_final013xls" xfId="129" xr:uid="{00000000-0005-0000-0000-0000A4000000}"/>
    <cellStyle name="_Log Book_050906_ISS_FY08_10월가격표_final013xls 2" xfId="130" xr:uid="{00000000-0005-0000-0000-0000A5000000}"/>
    <cellStyle name="_Log Book_050906_ISS_FY08_10월가격표_final013xls 3" xfId="131" xr:uid="{00000000-0005-0000-0000-0000A6000000}"/>
    <cellStyle name="_Log Book_050906_ISS_FY08_10월가격표_final013xls 4" xfId="132" xr:uid="{00000000-0005-0000-0000-0000A7000000}"/>
    <cellStyle name="_Log Book_050906_ISS_FY08_10월가격표_final013xls 5" xfId="133" xr:uid="{00000000-0005-0000-0000-0000A8000000}"/>
    <cellStyle name="_Log Book_050906_ISS_FY08_10월가격표_final013xls 6" xfId="134" xr:uid="{00000000-0005-0000-0000-0000A9000000}"/>
    <cellStyle name="_Log Book_050906_화이트박스-09-0430(SZ일체형)" xfId="2166" xr:uid="{00000000-0005-0000-0000-0000AA000000}"/>
    <cellStyle name="_Log Book_050930" xfId="135" xr:uid="{00000000-0005-0000-0000-0000AB000000}"/>
    <cellStyle name="_Log Book_050930 2" xfId="136" xr:uid="{00000000-0005-0000-0000-0000AC000000}"/>
    <cellStyle name="_Log Book_050930 3" xfId="137" xr:uid="{00000000-0005-0000-0000-0000AD000000}"/>
    <cellStyle name="_Log Book_050930 4" xfId="138" xr:uid="{00000000-0005-0000-0000-0000AE000000}"/>
    <cellStyle name="_Log Book_050930 5" xfId="139" xr:uid="{00000000-0005-0000-0000-0000AF000000}"/>
    <cellStyle name="_Log Book_050930 6" xfId="140" xr:uid="{00000000-0005-0000-0000-0000B0000000}"/>
    <cellStyle name="_Log Book_050930_ISS_FY08_10월가격표_final013xls" xfId="141" xr:uid="{00000000-0005-0000-0000-0000B1000000}"/>
    <cellStyle name="_Log Book_050930_ISS_FY08_10월가격표_final013xls 2" xfId="142" xr:uid="{00000000-0005-0000-0000-0000B2000000}"/>
    <cellStyle name="_Log Book_050930_ISS_FY08_10월가격표_final013xls 3" xfId="143" xr:uid="{00000000-0005-0000-0000-0000B3000000}"/>
    <cellStyle name="_Log Book_050930_ISS_FY08_10월가격표_final013xls 4" xfId="144" xr:uid="{00000000-0005-0000-0000-0000B4000000}"/>
    <cellStyle name="_Log Book_050930_ISS_FY08_10월가격표_final013xls 5" xfId="145" xr:uid="{00000000-0005-0000-0000-0000B5000000}"/>
    <cellStyle name="_Log Book_050930_ISS_FY08_10월가격표_final013xls 6" xfId="146" xr:uid="{00000000-0005-0000-0000-0000B6000000}"/>
    <cellStyle name="_Log Book_050930_화이트박스-09-0430(SZ일체형)" xfId="2165" xr:uid="{00000000-0005-0000-0000-0000B7000000}"/>
    <cellStyle name="_Log Book_051107" xfId="147" xr:uid="{00000000-0005-0000-0000-0000B8000000}"/>
    <cellStyle name="_Log Book_051107 2" xfId="148" xr:uid="{00000000-0005-0000-0000-0000B9000000}"/>
    <cellStyle name="_Log Book_051107 3" xfId="149" xr:uid="{00000000-0005-0000-0000-0000BA000000}"/>
    <cellStyle name="_Log Book_051107 4" xfId="150" xr:uid="{00000000-0005-0000-0000-0000BB000000}"/>
    <cellStyle name="_Log Book_051107 5" xfId="151" xr:uid="{00000000-0005-0000-0000-0000BC000000}"/>
    <cellStyle name="_Log Book_051107 6" xfId="152" xr:uid="{00000000-0005-0000-0000-0000BD000000}"/>
    <cellStyle name="_Log Book_051107_ISS_FY08_10월가격표_final013xls" xfId="153" xr:uid="{00000000-0005-0000-0000-0000BE000000}"/>
    <cellStyle name="_Log Book_051107_ISS_FY08_10월가격표_final013xls 2" xfId="154" xr:uid="{00000000-0005-0000-0000-0000BF000000}"/>
    <cellStyle name="_Log Book_051107_ISS_FY08_10월가격표_final013xls 3" xfId="155" xr:uid="{00000000-0005-0000-0000-0000C0000000}"/>
    <cellStyle name="_Log Book_051107_ISS_FY08_10월가격표_final013xls 4" xfId="156" xr:uid="{00000000-0005-0000-0000-0000C1000000}"/>
    <cellStyle name="_Log Book_051107_ISS_FY08_10월가격표_final013xls 5" xfId="157" xr:uid="{00000000-0005-0000-0000-0000C2000000}"/>
    <cellStyle name="_Log Book_051107_ISS_FY08_10월가격표_final013xls 6" xfId="158" xr:uid="{00000000-0005-0000-0000-0000C3000000}"/>
    <cellStyle name="_Log Book_051107_화이트박스-09-0430(SZ일체형)" xfId="2164" xr:uid="{00000000-0005-0000-0000-0000C4000000}"/>
    <cellStyle name="_Log Book_060301" xfId="159" xr:uid="{00000000-0005-0000-0000-0000C5000000}"/>
    <cellStyle name="_Log Book_060301 2" xfId="160" xr:uid="{00000000-0005-0000-0000-0000C6000000}"/>
    <cellStyle name="_Log Book_060301 3" xfId="161" xr:uid="{00000000-0005-0000-0000-0000C7000000}"/>
    <cellStyle name="_Log Book_060301 4" xfId="162" xr:uid="{00000000-0005-0000-0000-0000C8000000}"/>
    <cellStyle name="_Log Book_060301 5" xfId="163" xr:uid="{00000000-0005-0000-0000-0000C9000000}"/>
    <cellStyle name="_Log Book_060301 6" xfId="164" xr:uid="{00000000-0005-0000-0000-0000CA000000}"/>
    <cellStyle name="_Log Book_060301_ISS_FY08_10월가격표_final013xls" xfId="165" xr:uid="{00000000-0005-0000-0000-0000CB000000}"/>
    <cellStyle name="_Log Book_060301_ISS_FY08_10월가격표_final013xls 2" xfId="166" xr:uid="{00000000-0005-0000-0000-0000CC000000}"/>
    <cellStyle name="_Log Book_060301_ISS_FY08_10월가격표_final013xls 3" xfId="167" xr:uid="{00000000-0005-0000-0000-0000CD000000}"/>
    <cellStyle name="_Log Book_060301_ISS_FY08_10월가격표_final013xls 4" xfId="168" xr:uid="{00000000-0005-0000-0000-0000CE000000}"/>
    <cellStyle name="_Log Book_060301_ISS_FY08_10월가격표_final013xls 5" xfId="169" xr:uid="{00000000-0005-0000-0000-0000CF000000}"/>
    <cellStyle name="_Log Book_060301_ISS_FY08_10월가격표_final013xls 6" xfId="170" xr:uid="{00000000-0005-0000-0000-0000D0000000}"/>
    <cellStyle name="_Log Book_060301_화이트박스-09-0430(SZ일체형)" xfId="2163" xr:uid="{00000000-0005-0000-0000-0000D1000000}"/>
    <cellStyle name="_Log Book_060601" xfId="171" xr:uid="{00000000-0005-0000-0000-0000D2000000}"/>
    <cellStyle name="_Log Book_060601 2" xfId="172" xr:uid="{00000000-0005-0000-0000-0000D3000000}"/>
    <cellStyle name="_Log Book_060601 3" xfId="173" xr:uid="{00000000-0005-0000-0000-0000D4000000}"/>
    <cellStyle name="_Log Book_060601 4" xfId="174" xr:uid="{00000000-0005-0000-0000-0000D5000000}"/>
    <cellStyle name="_Log Book_060601 5" xfId="175" xr:uid="{00000000-0005-0000-0000-0000D6000000}"/>
    <cellStyle name="_Log Book_060601 6" xfId="176" xr:uid="{00000000-0005-0000-0000-0000D7000000}"/>
    <cellStyle name="_Log Book_060601_ISS_FY08_10월가격표_final013xls" xfId="177" xr:uid="{00000000-0005-0000-0000-0000D8000000}"/>
    <cellStyle name="_Log Book_060601_ISS_FY08_10월가격표_final013xls 2" xfId="178" xr:uid="{00000000-0005-0000-0000-0000D9000000}"/>
    <cellStyle name="_Log Book_060601_ISS_FY08_10월가격표_final013xls 3" xfId="179" xr:uid="{00000000-0005-0000-0000-0000DA000000}"/>
    <cellStyle name="_Log Book_060601_ISS_FY08_10월가격표_final013xls 4" xfId="180" xr:uid="{00000000-0005-0000-0000-0000DB000000}"/>
    <cellStyle name="_Log Book_060601_ISS_FY08_10월가격표_final013xls 5" xfId="181" xr:uid="{00000000-0005-0000-0000-0000DC000000}"/>
    <cellStyle name="_Log Book_060601_ISS_FY08_10월가격표_final013xls 6" xfId="182" xr:uid="{00000000-0005-0000-0000-0000DD000000}"/>
    <cellStyle name="_Log Book_060601_화이트박스-09-0430(SZ일체형)" xfId="2162" xr:uid="{00000000-0005-0000-0000-0000DE000000}"/>
    <cellStyle name="_MBU report_June'06 " xfId="1706" xr:uid="{00000000-0005-0000-0000-0000DF000000}"/>
    <cellStyle name="_Memory" xfId="2161" xr:uid="{00000000-0005-0000-0000-0000E0000000}"/>
    <cellStyle name="_MHR-08-0707(DL580G5,노트북)-1" xfId="2160" xr:uid="{00000000-0005-0000-0000-0000E1000000}"/>
    <cellStyle name="_Modular Processors" xfId="2159" xr:uid="{00000000-0005-0000-0000-0000E2000000}"/>
    <cellStyle name="_MS 12월가격표_1" xfId="2158" xr:uid="{00000000-0005-0000-0000-0000E3000000}"/>
    <cellStyle name="_Nanobay_TN6208S-U4D 05 11 23" xfId="2157" xr:uid="{00000000-0005-0000-0000-0000E4000000}"/>
    <cellStyle name="_NAS 기본 견적" xfId="2156" xr:uid="{00000000-0005-0000-0000-0000E5000000}"/>
    <cellStyle name="_new_FY05 1X Weekly Stock Report(as of July 31)" xfId="183" xr:uid="{00000000-0005-0000-0000-0000E6000000}"/>
    <cellStyle name="_NSS 2004년 1월 가격(ALL)" xfId="2155" xr:uid="{00000000-0005-0000-0000-0000E7000000}"/>
    <cellStyle name="_NT 서버외 부분" xfId="184" xr:uid="{00000000-0005-0000-0000-0000E8000000}"/>
    <cellStyle name="_Price List NV7_xRev_Internalonly_E-9C_20080201_DAOU" xfId="185" xr:uid="{00000000-0005-0000-0000-0000E9000000}"/>
    <cellStyle name="_Pricing for KSP (1223)" xfId="2154" xr:uid="{00000000-0005-0000-0000-0000EA000000}"/>
    <cellStyle name="_ProCurve Quick Reference Card - April 2006" xfId="186" xr:uid="{00000000-0005-0000-0000-0000EB000000}"/>
    <cellStyle name="_ProCurve Quick Reference Card - August 2006" xfId="187" xr:uid="{00000000-0005-0000-0000-0000EC000000}"/>
    <cellStyle name="_ProCurve Quick Reference Card - December 2005" xfId="188" xr:uid="{00000000-0005-0000-0000-0000ED000000}"/>
    <cellStyle name="_ProCurve Quick Reference Card - December 2006" xfId="189" xr:uid="{00000000-0005-0000-0000-0000EE000000}"/>
    <cellStyle name="_ProCurve Quick Reference Card - February 2007" xfId="190" xr:uid="{00000000-0005-0000-0000-0000EF000000}"/>
    <cellStyle name="_ProCurve Quick Reference Card - January 2006" xfId="191" xr:uid="{00000000-0005-0000-0000-0000F0000000}"/>
    <cellStyle name="_ProCurve Quick Reference Card - July 1 2005" xfId="192" xr:uid="{00000000-0005-0000-0000-0000F1000000}"/>
    <cellStyle name="_ProCurve Quick Reference Card - July 1 2005_Book1" xfId="193" xr:uid="{00000000-0005-0000-0000-0000F2000000}"/>
    <cellStyle name="_ProCurve Quick Reference Card - July 1 2005_HP_Care_Pack_Aug05" xfId="194" xr:uid="{00000000-0005-0000-0000-0000F3000000}"/>
    <cellStyle name="_ProCurve Quick Reference Card - July 1 2005_HP_Care_Pack_Dec06" xfId="195" xr:uid="{00000000-0005-0000-0000-0000F4000000}"/>
    <cellStyle name="_ProCurve Quick Reference Card - July 1 2005_HP_Care_Pack_July05" xfId="196" xr:uid="{00000000-0005-0000-0000-0000F5000000}"/>
    <cellStyle name="_ProCurve Quick Reference Card - July 2006" xfId="197" xr:uid="{00000000-0005-0000-0000-0000F6000000}"/>
    <cellStyle name="_ProCurve Quick Reference Card - July 2007" xfId="198" xr:uid="{00000000-0005-0000-0000-0000F7000000}"/>
    <cellStyle name="_ProCurve Quick Reference Card - June 2006" xfId="199" xr:uid="{00000000-0005-0000-0000-0000F8000000}"/>
    <cellStyle name="_ProCurve Quick Reference Card - March 2007" xfId="200" xr:uid="{00000000-0005-0000-0000-0000F9000000}"/>
    <cellStyle name="_ProCurve Quick Reference Card - May 2006" xfId="201" xr:uid="{00000000-0005-0000-0000-0000FA000000}"/>
    <cellStyle name="_ProCurve Quick Reference Card - May 2007" xfId="202" xr:uid="{00000000-0005-0000-0000-0000FB000000}"/>
    <cellStyle name="_ProCurve Quick Reference Card - October 1  2005" xfId="203" xr:uid="{00000000-0005-0000-0000-0000FC000000}"/>
    <cellStyle name="_ProCurve Quick Reference Card - October 2005 v2" xfId="204" xr:uid="{00000000-0005-0000-0000-0000FD000000}"/>
    <cellStyle name="_PSG inventory_14.Dec" xfId="205" xr:uid="{00000000-0005-0000-0000-0000FE000000}"/>
    <cellStyle name="_PSG inventory_23.Dec" xfId="206" xr:uid="{00000000-0005-0000-0000-0000FF000000}"/>
    <cellStyle name="_PSG inventory_28.Dec" xfId="207" xr:uid="{00000000-0005-0000-0000-000000010000}"/>
    <cellStyle name="_psg stock" xfId="208" xr:uid="{00000000-0005-0000-0000-000001010000}"/>
    <cellStyle name="_R8_CPQRC Storage 7-29-05" xfId="209" xr:uid="{00000000-0005-0000-0000-000002010000}"/>
    <cellStyle name="_Random_Samsund Server 외_07.5.4" xfId="2153" xr:uid="{00000000-0005-0000-0000-000003010000}"/>
    <cellStyle name="_SmartServer12월 가격표" xfId="2152" xr:uid="{00000000-0005-0000-0000-000004010000}"/>
    <cellStyle name="_SUN기본견적" xfId="210" xr:uid="{00000000-0005-0000-0000-000005010000}"/>
    <cellStyle name="_Thecsu Storage 기본견적" xfId="2151" xr:uid="{00000000-0005-0000-0000-000006010000}"/>
    <cellStyle name="_권장사양내역_전남(03_03_25)" xfId="211" xr:uid="{00000000-0005-0000-0000-000007010000}"/>
    <cellStyle name="_남부터미널-09-1005(X3550,UPS)" xfId="2150" xr:uid="{00000000-0005-0000-0000-000008010000}"/>
    <cellStyle name="_노비타정보통신-10-0118(DL360G6,DL160G6)" xfId="2149" xr:uid="{00000000-0005-0000-0000-000009010000}"/>
    <cellStyle name="_뉴디지탈(DL380R04 X3.0)" xfId="2148" xr:uid="{00000000-0005-0000-0000-00000A010000}"/>
    <cellStyle name="_뉴아이티-09-0824(DL160G5)" xfId="2147" xr:uid="{00000000-0005-0000-0000-00000B010000}"/>
    <cellStyle name="_능률교육-09-1125(DL380G5)" xfId="2146" xr:uid="{00000000-0005-0000-0000-00000C010000}"/>
    <cellStyle name="_능률교육-09-1125(DL380G5,DL380G6)" xfId="2145" xr:uid="{00000000-0005-0000-0000-00000D010000}"/>
    <cellStyle name="_다민나스" xfId="2144" xr:uid="{00000000-0005-0000-0000-00000E010000}"/>
    <cellStyle name="_대신정보통신-09-1009(DL380G6,DL360G6)" xfId="2143" xr:uid="{00000000-0005-0000-0000-00000F010000}"/>
    <cellStyle name="_대일씨앤씨-08-1001(DL380G5)-1" xfId="2142" xr:uid="{00000000-0005-0000-0000-000010010000}"/>
    <cellStyle name="_동화약품 HP제품과 비교-09-0106(DL380G5,HP Rack)" xfId="2141" xr:uid="{00000000-0005-0000-0000-000011010000}"/>
    <cellStyle name="_동화약품 연구소-2009-0218(X3650,Rack)" xfId="2140" xr:uid="{00000000-0005-0000-0000-000012010000}"/>
    <cellStyle name="_동희오토-09-0521(HP PC)" xfId="2139" xr:uid="{00000000-0005-0000-0000-000013010000}"/>
    <cellStyle name="_두성테크-09-1028(IBM 제안견적)" xfId="2138" xr:uid="{00000000-0005-0000-0000-000014010000}"/>
    <cellStyle name="_디지털헨지-10-0309(X3550M2)" xfId="2137" xr:uid="{00000000-0005-0000-0000-000015010000}"/>
    <cellStyle name="_메쉬네트웍스-09-1119(X3250M2)" xfId="2136" xr:uid="{00000000-0005-0000-0000-000016010000}"/>
    <cellStyle name="_메쉬네트웍스-09-1204(X3250M2)" xfId="2135" xr:uid="{00000000-0005-0000-0000-000017010000}"/>
    <cellStyle name="_법무법인 율촌-09-0518(DS3400외)" xfId="2134" xr:uid="{00000000-0005-0000-0000-000018010000}"/>
    <cellStyle name="_베스트텍시스템-x2100(070306-02) (2)" xfId="2133" xr:uid="{00000000-0005-0000-0000-000019010000}"/>
    <cellStyle name="_비엔에스이천" xfId="212" xr:uid="{00000000-0005-0000-0000-00001A010000}"/>
    <cellStyle name="_삼성 서버 3월 가격표_코오롱" xfId="2132" xr:uid="{00000000-0005-0000-0000-00001B010000}"/>
    <cellStyle name="_서버 2003 ISS 7월 가격표1" xfId="213" xr:uid="{00000000-0005-0000-0000-00001C010000}"/>
    <cellStyle name="_서버 2003년 2월 가격표" xfId="214" xr:uid="{00000000-0005-0000-0000-00001D010000}"/>
    <cellStyle name="_서버 5월 가격표(송민철)" xfId="215" xr:uid="{00000000-0005-0000-0000-00001E010000}"/>
    <cellStyle name="_서버 송민철 2003년 3월 가격표" xfId="216" xr:uid="{00000000-0005-0000-0000-00001F010000}"/>
    <cellStyle name="_서버견적작업_DL3차기준가(03_08_04)" xfId="217" xr:uid="{00000000-0005-0000-0000-000020010000}"/>
    <cellStyle name="_서버견적작업_DL3차내역기준(03_08_21)" xfId="218" xr:uid="{00000000-0005-0000-0000-000021010000}"/>
    <cellStyle name="_스펜오컴ML370G4x3.0-0112" xfId="219" xr:uid="{00000000-0005-0000-0000-000022010000}"/>
    <cellStyle name="_신원진단검사의학과" xfId="220" xr:uid="{00000000-0005-0000-0000-000023010000}"/>
    <cellStyle name="_씨디네트웍스DL380G4,DL360G4,MSA20-0127" xfId="221" xr:uid="{00000000-0005-0000-0000-000024010000}"/>
    <cellStyle name="_씨디네트웍스DL380R04X3.0-1M 800MHz 1GB-1231" xfId="222" xr:uid="{00000000-0005-0000-0000-000025010000}"/>
    <cellStyle name="_아이네트호스팅-09-0129(X3550,DL360G5)" xfId="2131" xr:uid="{00000000-0005-0000-0000-000026010000}"/>
    <cellStyle name="_아이네트호스팅-09-1120(DL580G5,DL380G6)" xfId="2130" xr:uid="{00000000-0005-0000-0000-000027010000}"/>
    <cellStyle name="_아크도-09-0908(X3250M2)" xfId="2129" xr:uid="{00000000-0005-0000-0000-000028010000}"/>
    <cellStyle name="_액션테크-09-0825(DL360G6)" xfId="2128" xr:uid="{00000000-0005-0000-0000-000029010000}"/>
    <cellStyle name="_앤션테크-08-1021(DL320G5p)" xfId="2127" xr:uid="{00000000-0005-0000-0000-00002A010000}"/>
    <cellStyle name="_에이씨에스-08-1013(X3250M2)" xfId="2126" xr:uid="{00000000-0005-0000-0000-00002B010000}"/>
    <cellStyle name="_에이치비이피-08-0807(X3650)" xfId="2125" xr:uid="{00000000-0005-0000-0000-00002C010000}"/>
    <cellStyle name="_영우에스엔엔-09-1009(DL380G6)" xfId="2124" xr:uid="{00000000-0005-0000-0000-00002D010000}"/>
    <cellStyle name="_와치텍-08-0926(DL380G5)" xfId="2123" xr:uid="{00000000-0005-0000-0000-00002E010000}"/>
    <cellStyle name="_유니퀘스트-09-0710(X3650M2)" xfId="2122" xr:uid="{00000000-0005-0000-0000-00002F010000}"/>
    <cellStyle name="_이음솔루션-09-0713(DL380G6)" xfId="2121" xr:uid="{00000000-0005-0000-0000-000030010000}"/>
    <cellStyle name="_이지컴-09-0218(SC5400brp)" xfId="2120" xr:uid="{00000000-0005-0000-0000-000031010000}"/>
    <cellStyle name="_이지컴-09-0227(SR2500,SC5400)" xfId="2119" xr:uid="{00000000-0005-0000-0000-000032010000}"/>
    <cellStyle name="_인트라코아-08-1002(DL360G5,DL580G5)" xfId="2118" xr:uid="{00000000-0005-0000-0000-000033010000}"/>
    <cellStyle name="_정보인증_서버견적(RAC)_030515" xfId="223" xr:uid="{00000000-0005-0000-0000-000034010000}"/>
    <cellStyle name="_코다씨앤씨-09-0730(DL360G5,DL360G6)" xfId="2117" xr:uid="{00000000-0005-0000-0000-000035010000}"/>
    <cellStyle name="_코다씨앤씨-09-0730(DL360G6)" xfId="2116" xr:uid="{00000000-0005-0000-0000-000036010000}"/>
    <cellStyle name="_클레임 요청한딜 1018" xfId="224" xr:uid="{00000000-0005-0000-0000-000037010000}"/>
    <cellStyle name="_클레임 요청한딜 1018 2" xfId="225" xr:uid="{00000000-0005-0000-0000-000038010000}"/>
    <cellStyle name="_클레임 요청한딜 1018 3" xfId="226" xr:uid="{00000000-0005-0000-0000-000039010000}"/>
    <cellStyle name="_클레임 요청한딜 1018 4" xfId="227" xr:uid="{00000000-0005-0000-0000-00003A010000}"/>
    <cellStyle name="_클레임 요청한딜 1018 5" xfId="228" xr:uid="{00000000-0005-0000-0000-00003B010000}"/>
    <cellStyle name="_클레임 요청한딜 1018 6" xfId="229" xr:uid="{00000000-0005-0000-0000-00003C010000}"/>
    <cellStyle name="_클레임 요청한딜 1018_ISS_FY08_10월가격표_final013xls" xfId="230" xr:uid="{00000000-0005-0000-0000-00003D010000}"/>
    <cellStyle name="_클레임 요청한딜 1018_ISS_FY08_10월가격표_final013xls 2" xfId="231" xr:uid="{00000000-0005-0000-0000-00003E010000}"/>
    <cellStyle name="_클레임 요청한딜 1018_ISS_FY08_10월가격표_final013xls 3" xfId="232" xr:uid="{00000000-0005-0000-0000-00003F010000}"/>
    <cellStyle name="_클레임 요청한딜 1018_ISS_FY08_10월가격표_final013xls 4" xfId="233" xr:uid="{00000000-0005-0000-0000-000040010000}"/>
    <cellStyle name="_클레임 요청한딜 1018_ISS_FY08_10월가격표_final013xls 5" xfId="234" xr:uid="{00000000-0005-0000-0000-000041010000}"/>
    <cellStyle name="_클레임 요청한딜 1018_ISS_FY08_10월가격표_final013xls 6" xfId="235" xr:uid="{00000000-0005-0000-0000-000042010000}"/>
    <cellStyle name="_클레임 요청한딜 1018_화이트박스-09-0430(SZ일체형)" xfId="2115" xr:uid="{00000000-0005-0000-0000-000043010000}"/>
    <cellStyle name="_타이거아이ML350T04X3.0-0830" xfId="236" xr:uid="{00000000-0005-0000-0000-000044010000}"/>
    <cellStyle name="_트라이탑MSA1000-1201" xfId="237" xr:uid="{00000000-0005-0000-0000-000045010000}"/>
    <cellStyle name="_표준견적서ML350G3" xfId="238" xr:uid="{00000000-0005-0000-0000-000046010000}"/>
    <cellStyle name="_표준견적서ML570G2" xfId="239" xr:uid="{00000000-0005-0000-0000-000047010000}"/>
    <cellStyle name="_표준견적서RACK OPTION" xfId="240" xr:uid="{00000000-0005-0000-0000-000048010000}"/>
    <cellStyle name="_피플스튜디오-09-0106(LG PC)" xfId="2114" xr:uid="{00000000-0005-0000-0000-000049010000}"/>
    <cellStyle name="_피플스튜디오-09-1027(DL320G6,DL160G6)" xfId="2113" xr:uid="{00000000-0005-0000-0000-00004A010000}"/>
    <cellStyle name="_한겨례커뮤니케이션-030827-방화벽" xfId="2112" xr:uid="{00000000-0005-0000-0000-00004B010000}"/>
    <cellStyle name="_한국수자원기술_NAS Storage 제안_06.11.7" xfId="2111" xr:uid="{00000000-0005-0000-0000-00004C010000}"/>
    <cellStyle name="_한독-CMS-DL580DL380 (2)" xfId="2110" xr:uid="{00000000-0005-0000-0000-00004D010000}"/>
    <cellStyle name="_한미은행_CSS_콤텍" xfId="2109" xr:uid="{00000000-0005-0000-0000-00004E010000}"/>
    <cellStyle name="_현대정보기술-030612-eCrux5000" xfId="2108" xr:uid="{00000000-0005-0000-0000-00004F010000}"/>
    <cellStyle name="_화이트박스-09-0430(SZ일체형)" xfId="2107" xr:uid="{00000000-0005-0000-0000-000050010000}"/>
    <cellStyle name="_휴엔에스-09-0821(DL360G6,DL380G6)" xfId="2106" xr:uid="{00000000-0005-0000-0000-000051010000}"/>
    <cellStyle name="=C:\WINDOWS\SYSTEM32\COMMAND.COM" xfId="241" xr:uid="{00000000-0005-0000-0000-000052010000}"/>
    <cellStyle name="=C:\WINNT\SYSTEM32\COMMAND.COM" xfId="2105" xr:uid="{00000000-0005-0000-0000-000053010000}"/>
    <cellStyle name="≤汰?수)_영업외수지" xfId="2104" xr:uid="{00000000-0005-0000-0000-000054010000}"/>
    <cellStyle name="•W_laroux" xfId="242" xr:uid="{00000000-0005-0000-0000-000055010000}"/>
    <cellStyle name="0,0_x000d__x000a_NA_x000d__x000a_" xfId="243" xr:uid="{00000000-0005-0000-0000-000056010000}"/>
    <cellStyle name="0,0_x000d__x000a_NA_x000d__x000a_ 2" xfId="244" xr:uid="{00000000-0005-0000-0000-000057010000}"/>
    <cellStyle name="0,0_x000d__x000a_NA_x000d__x000a_ 2 2" xfId="245" xr:uid="{00000000-0005-0000-0000-000058010000}"/>
    <cellStyle name="0,0_x000d__x000a_NA_x000d__x000a_ 3" xfId="246" xr:uid="{00000000-0005-0000-0000-000059010000}"/>
    <cellStyle name="1월" xfId="2103" xr:uid="{00000000-0005-0000-0000-00005A010000}"/>
    <cellStyle name="20% - Accent1" xfId="247" xr:uid="{00000000-0005-0000-0000-00005B010000}"/>
    <cellStyle name="20% - Accent1 2" xfId="248" xr:uid="{00000000-0005-0000-0000-00005C010000}"/>
    <cellStyle name="20% - Accent1 2 2" xfId="249" xr:uid="{00000000-0005-0000-0000-00005D010000}"/>
    <cellStyle name="20% - Accent1 2 3" xfId="250" xr:uid="{00000000-0005-0000-0000-00005E010000}"/>
    <cellStyle name="20% - Accent1 3" xfId="251" xr:uid="{00000000-0005-0000-0000-00005F010000}"/>
    <cellStyle name="20% - Accent1 3 2" xfId="252" xr:uid="{00000000-0005-0000-0000-000060010000}"/>
    <cellStyle name="20% - Accent1 3 3" xfId="253" xr:uid="{00000000-0005-0000-0000-000061010000}"/>
    <cellStyle name="20% - Accent1 4" xfId="254" xr:uid="{00000000-0005-0000-0000-000062010000}"/>
    <cellStyle name="20% - Accent1 4 2" xfId="2102" xr:uid="{00000000-0005-0000-0000-000063010000}"/>
    <cellStyle name="20% - Accent2" xfId="255" xr:uid="{00000000-0005-0000-0000-000064010000}"/>
    <cellStyle name="20% - Accent2 2" xfId="256" xr:uid="{00000000-0005-0000-0000-000065010000}"/>
    <cellStyle name="20% - Accent2 2 2" xfId="257" xr:uid="{00000000-0005-0000-0000-000066010000}"/>
    <cellStyle name="20% - Accent2 2 3" xfId="258" xr:uid="{00000000-0005-0000-0000-000067010000}"/>
    <cellStyle name="20% - Accent2 3" xfId="259" xr:uid="{00000000-0005-0000-0000-000068010000}"/>
    <cellStyle name="20% - Accent2 3 2" xfId="260" xr:uid="{00000000-0005-0000-0000-000069010000}"/>
    <cellStyle name="20% - Accent2 3 3" xfId="261" xr:uid="{00000000-0005-0000-0000-00006A010000}"/>
    <cellStyle name="20% - Accent2 4" xfId="262" xr:uid="{00000000-0005-0000-0000-00006B010000}"/>
    <cellStyle name="20% - Accent2 4 2" xfId="2101" xr:uid="{00000000-0005-0000-0000-00006C010000}"/>
    <cellStyle name="20% - Accent3" xfId="263" xr:uid="{00000000-0005-0000-0000-00006D010000}"/>
    <cellStyle name="20% - Accent3 2" xfId="264" xr:uid="{00000000-0005-0000-0000-00006E010000}"/>
    <cellStyle name="20% - Accent3 2 2" xfId="265" xr:uid="{00000000-0005-0000-0000-00006F010000}"/>
    <cellStyle name="20% - Accent3 2 3" xfId="266" xr:uid="{00000000-0005-0000-0000-000070010000}"/>
    <cellStyle name="20% - Accent3 3" xfId="267" xr:uid="{00000000-0005-0000-0000-000071010000}"/>
    <cellStyle name="20% - Accent3 3 2" xfId="268" xr:uid="{00000000-0005-0000-0000-000072010000}"/>
    <cellStyle name="20% - Accent3 3 3" xfId="269" xr:uid="{00000000-0005-0000-0000-000073010000}"/>
    <cellStyle name="20% - Accent3 4" xfId="270" xr:uid="{00000000-0005-0000-0000-000074010000}"/>
    <cellStyle name="20% - Accent3 4 2" xfId="2100" xr:uid="{00000000-0005-0000-0000-000075010000}"/>
    <cellStyle name="20% - Accent4" xfId="271" xr:uid="{00000000-0005-0000-0000-000076010000}"/>
    <cellStyle name="20% - Accent4 2" xfId="272" xr:uid="{00000000-0005-0000-0000-000077010000}"/>
    <cellStyle name="20% - Accent4 2 2" xfId="273" xr:uid="{00000000-0005-0000-0000-000078010000}"/>
    <cellStyle name="20% - Accent4 2 3" xfId="274" xr:uid="{00000000-0005-0000-0000-000079010000}"/>
    <cellStyle name="20% - Accent4 3" xfId="275" xr:uid="{00000000-0005-0000-0000-00007A010000}"/>
    <cellStyle name="20% - Accent4 3 2" xfId="276" xr:uid="{00000000-0005-0000-0000-00007B010000}"/>
    <cellStyle name="20% - Accent4 3 3" xfId="277" xr:uid="{00000000-0005-0000-0000-00007C010000}"/>
    <cellStyle name="20% - Accent4 4" xfId="278" xr:uid="{00000000-0005-0000-0000-00007D010000}"/>
    <cellStyle name="20% - Accent4 4 2" xfId="2099" xr:uid="{00000000-0005-0000-0000-00007E010000}"/>
    <cellStyle name="20% - Accent5" xfId="279" xr:uid="{00000000-0005-0000-0000-00007F010000}"/>
    <cellStyle name="20% - Accent5 2" xfId="280" xr:uid="{00000000-0005-0000-0000-000080010000}"/>
    <cellStyle name="20% - Accent5 2 2" xfId="281" xr:uid="{00000000-0005-0000-0000-000081010000}"/>
    <cellStyle name="20% - Accent5 2 3" xfId="282" xr:uid="{00000000-0005-0000-0000-000082010000}"/>
    <cellStyle name="20% - Accent5 3" xfId="283" xr:uid="{00000000-0005-0000-0000-000083010000}"/>
    <cellStyle name="20% - Accent5 3 2" xfId="284" xr:uid="{00000000-0005-0000-0000-000084010000}"/>
    <cellStyle name="20% - Accent5 3 3" xfId="285" xr:uid="{00000000-0005-0000-0000-000085010000}"/>
    <cellStyle name="20% - Accent5 4" xfId="286" xr:uid="{00000000-0005-0000-0000-000086010000}"/>
    <cellStyle name="20% - Accent5 4 2" xfId="2098" xr:uid="{00000000-0005-0000-0000-000087010000}"/>
    <cellStyle name="20% - Accent6" xfId="287" xr:uid="{00000000-0005-0000-0000-000088010000}"/>
    <cellStyle name="20% - Accent6 2" xfId="288" xr:uid="{00000000-0005-0000-0000-000089010000}"/>
    <cellStyle name="20% - Accent6 2 2" xfId="289" xr:uid="{00000000-0005-0000-0000-00008A010000}"/>
    <cellStyle name="20% - Accent6 2 3" xfId="290" xr:uid="{00000000-0005-0000-0000-00008B010000}"/>
    <cellStyle name="20% - Accent6 3" xfId="291" xr:uid="{00000000-0005-0000-0000-00008C010000}"/>
    <cellStyle name="20% - Accent6 3 2" xfId="292" xr:uid="{00000000-0005-0000-0000-00008D010000}"/>
    <cellStyle name="20% - Accent6 3 3" xfId="293" xr:uid="{00000000-0005-0000-0000-00008E010000}"/>
    <cellStyle name="20% - Accent6 4" xfId="294" xr:uid="{00000000-0005-0000-0000-00008F010000}"/>
    <cellStyle name="20% - Accent6 4 2" xfId="2097" xr:uid="{00000000-0005-0000-0000-000090010000}"/>
    <cellStyle name="20% - 강조색1 2" xfId="295" xr:uid="{00000000-0005-0000-0000-000091010000}"/>
    <cellStyle name="20% - 강조색1 2 2" xfId="296" xr:uid="{00000000-0005-0000-0000-000092010000}"/>
    <cellStyle name="20% - 강조색1 2 2 2" xfId="2096" xr:uid="{00000000-0005-0000-0000-000093010000}"/>
    <cellStyle name="20% - 강조색1 2 3" xfId="1639" xr:uid="{00000000-0005-0000-0000-000094010000}"/>
    <cellStyle name="20% - 강조색1 3" xfId="297" xr:uid="{00000000-0005-0000-0000-000095010000}"/>
    <cellStyle name="20% - 강조색1 3 2" xfId="2095" xr:uid="{00000000-0005-0000-0000-000096010000}"/>
    <cellStyle name="20% - 강조색1 4" xfId="298" xr:uid="{00000000-0005-0000-0000-000097010000}"/>
    <cellStyle name="20% - 강조색1 5" xfId="299" xr:uid="{00000000-0005-0000-0000-000098010000}"/>
    <cellStyle name="20% - 강조색1 6" xfId="300" xr:uid="{00000000-0005-0000-0000-000099010000}"/>
    <cellStyle name="20% - 강조색1 7" xfId="301" xr:uid="{00000000-0005-0000-0000-00009A010000}"/>
    <cellStyle name="20% - 강조색2 2" xfId="302" xr:uid="{00000000-0005-0000-0000-00009B010000}"/>
    <cellStyle name="20% - 강조색2 2 2" xfId="303" xr:uid="{00000000-0005-0000-0000-00009C010000}"/>
    <cellStyle name="20% - 강조색2 2 2 2" xfId="2094" xr:uid="{00000000-0005-0000-0000-00009D010000}"/>
    <cellStyle name="20% - 강조색2 2 3" xfId="1640" xr:uid="{00000000-0005-0000-0000-00009E010000}"/>
    <cellStyle name="20% - 강조색2 3" xfId="304" xr:uid="{00000000-0005-0000-0000-00009F010000}"/>
    <cellStyle name="20% - 강조색2 3 2" xfId="2093" xr:uid="{00000000-0005-0000-0000-0000A0010000}"/>
    <cellStyle name="20% - 강조색2 4" xfId="305" xr:uid="{00000000-0005-0000-0000-0000A1010000}"/>
    <cellStyle name="20% - 강조색2 5" xfId="306" xr:uid="{00000000-0005-0000-0000-0000A2010000}"/>
    <cellStyle name="20% - 강조색2 6" xfId="307" xr:uid="{00000000-0005-0000-0000-0000A3010000}"/>
    <cellStyle name="20% - 강조색2 7" xfId="308" xr:uid="{00000000-0005-0000-0000-0000A4010000}"/>
    <cellStyle name="20% - 강조색3 2" xfId="309" xr:uid="{00000000-0005-0000-0000-0000A5010000}"/>
    <cellStyle name="20% - 강조색3 2 2" xfId="310" xr:uid="{00000000-0005-0000-0000-0000A6010000}"/>
    <cellStyle name="20% - 강조색3 2 2 2" xfId="2092" xr:uid="{00000000-0005-0000-0000-0000A7010000}"/>
    <cellStyle name="20% - 강조색3 2 3" xfId="1641" xr:uid="{00000000-0005-0000-0000-0000A8010000}"/>
    <cellStyle name="20% - 강조색3 3" xfId="311" xr:uid="{00000000-0005-0000-0000-0000A9010000}"/>
    <cellStyle name="20% - 강조색3 3 2" xfId="2091" xr:uid="{00000000-0005-0000-0000-0000AA010000}"/>
    <cellStyle name="20% - 강조색3 4" xfId="312" xr:uid="{00000000-0005-0000-0000-0000AB010000}"/>
    <cellStyle name="20% - 강조색3 5" xfId="313" xr:uid="{00000000-0005-0000-0000-0000AC010000}"/>
    <cellStyle name="20% - 강조색3 6" xfId="314" xr:uid="{00000000-0005-0000-0000-0000AD010000}"/>
    <cellStyle name="20% - 강조색3 7" xfId="315" xr:uid="{00000000-0005-0000-0000-0000AE010000}"/>
    <cellStyle name="20% - 강조색4 2" xfId="316" xr:uid="{00000000-0005-0000-0000-0000AF010000}"/>
    <cellStyle name="20% - 강조색4 2 2" xfId="317" xr:uid="{00000000-0005-0000-0000-0000B0010000}"/>
    <cellStyle name="20% - 강조색4 2 2 2" xfId="2090" xr:uid="{00000000-0005-0000-0000-0000B1010000}"/>
    <cellStyle name="20% - 강조색4 2 3" xfId="1642" xr:uid="{00000000-0005-0000-0000-0000B2010000}"/>
    <cellStyle name="20% - 강조색4 3" xfId="318" xr:uid="{00000000-0005-0000-0000-0000B3010000}"/>
    <cellStyle name="20% - 강조색4 3 2" xfId="2089" xr:uid="{00000000-0005-0000-0000-0000B4010000}"/>
    <cellStyle name="20% - 강조색4 4" xfId="319" xr:uid="{00000000-0005-0000-0000-0000B5010000}"/>
    <cellStyle name="20% - 강조색4 5" xfId="320" xr:uid="{00000000-0005-0000-0000-0000B6010000}"/>
    <cellStyle name="20% - 강조색4 6" xfId="321" xr:uid="{00000000-0005-0000-0000-0000B7010000}"/>
    <cellStyle name="20% - 강조색4 7" xfId="322" xr:uid="{00000000-0005-0000-0000-0000B8010000}"/>
    <cellStyle name="20% - 강조색5 2" xfId="323" xr:uid="{00000000-0005-0000-0000-0000B9010000}"/>
    <cellStyle name="20% - 강조색5 2 2" xfId="324" xr:uid="{00000000-0005-0000-0000-0000BA010000}"/>
    <cellStyle name="20% - 강조색5 2 2 2" xfId="2088" xr:uid="{00000000-0005-0000-0000-0000BB010000}"/>
    <cellStyle name="20% - 강조색5 3" xfId="325" xr:uid="{00000000-0005-0000-0000-0000BC010000}"/>
    <cellStyle name="20% - 강조색5 3 2" xfId="2087" xr:uid="{00000000-0005-0000-0000-0000BD010000}"/>
    <cellStyle name="20% - 강조색5 4" xfId="326" xr:uid="{00000000-0005-0000-0000-0000BE010000}"/>
    <cellStyle name="20% - 강조색5 5" xfId="327" xr:uid="{00000000-0005-0000-0000-0000BF010000}"/>
    <cellStyle name="20% - 강조색5 6" xfId="328" xr:uid="{00000000-0005-0000-0000-0000C0010000}"/>
    <cellStyle name="20% - 강조색5 7" xfId="329" xr:uid="{00000000-0005-0000-0000-0000C1010000}"/>
    <cellStyle name="20% - 강조색6 2" xfId="330" xr:uid="{00000000-0005-0000-0000-0000C2010000}"/>
    <cellStyle name="20% - 강조색6 2 2" xfId="331" xr:uid="{00000000-0005-0000-0000-0000C3010000}"/>
    <cellStyle name="20% - 강조색6 2 2 2" xfId="2086" xr:uid="{00000000-0005-0000-0000-0000C4010000}"/>
    <cellStyle name="20% - 강조색6 2 3" xfId="1643" xr:uid="{00000000-0005-0000-0000-0000C5010000}"/>
    <cellStyle name="20% - 강조색6 3" xfId="332" xr:uid="{00000000-0005-0000-0000-0000C6010000}"/>
    <cellStyle name="20% - 강조색6 3 2" xfId="2085" xr:uid="{00000000-0005-0000-0000-0000C7010000}"/>
    <cellStyle name="20% - 강조색6 4" xfId="333" xr:uid="{00000000-0005-0000-0000-0000C8010000}"/>
    <cellStyle name="20% - 강조색6 5" xfId="334" xr:uid="{00000000-0005-0000-0000-0000C9010000}"/>
    <cellStyle name="20% - 강조색6 6" xfId="335" xr:uid="{00000000-0005-0000-0000-0000CA010000}"/>
    <cellStyle name="20% - 강조색6 7" xfId="336" xr:uid="{00000000-0005-0000-0000-0000CB010000}"/>
    <cellStyle name="40% - Accent1" xfId="337" xr:uid="{00000000-0005-0000-0000-0000CC010000}"/>
    <cellStyle name="40% - Accent1 2" xfId="338" xr:uid="{00000000-0005-0000-0000-0000CD010000}"/>
    <cellStyle name="40% - Accent1 2 2" xfId="339" xr:uid="{00000000-0005-0000-0000-0000CE010000}"/>
    <cellStyle name="40% - Accent1 2 3" xfId="340" xr:uid="{00000000-0005-0000-0000-0000CF010000}"/>
    <cellStyle name="40% - Accent1 3" xfId="341" xr:uid="{00000000-0005-0000-0000-0000D0010000}"/>
    <cellStyle name="40% - Accent1 3 2" xfId="342" xr:uid="{00000000-0005-0000-0000-0000D1010000}"/>
    <cellStyle name="40% - Accent1 3 3" xfId="343" xr:uid="{00000000-0005-0000-0000-0000D2010000}"/>
    <cellStyle name="40% - Accent1 4" xfId="344" xr:uid="{00000000-0005-0000-0000-0000D3010000}"/>
    <cellStyle name="40% - Accent1 4 2" xfId="2084" xr:uid="{00000000-0005-0000-0000-0000D4010000}"/>
    <cellStyle name="40% - Accent2" xfId="345" xr:uid="{00000000-0005-0000-0000-0000D5010000}"/>
    <cellStyle name="40% - Accent2 2" xfId="346" xr:uid="{00000000-0005-0000-0000-0000D6010000}"/>
    <cellStyle name="40% - Accent2 2 2" xfId="347" xr:uid="{00000000-0005-0000-0000-0000D7010000}"/>
    <cellStyle name="40% - Accent2 2 3" xfId="348" xr:uid="{00000000-0005-0000-0000-0000D8010000}"/>
    <cellStyle name="40% - Accent2 3" xfId="349" xr:uid="{00000000-0005-0000-0000-0000D9010000}"/>
    <cellStyle name="40% - Accent2 3 2" xfId="350" xr:uid="{00000000-0005-0000-0000-0000DA010000}"/>
    <cellStyle name="40% - Accent2 3 3" xfId="351" xr:uid="{00000000-0005-0000-0000-0000DB010000}"/>
    <cellStyle name="40% - Accent2 4" xfId="352" xr:uid="{00000000-0005-0000-0000-0000DC010000}"/>
    <cellStyle name="40% - Accent2 4 2" xfId="2083" xr:uid="{00000000-0005-0000-0000-0000DD010000}"/>
    <cellStyle name="40% - Accent3" xfId="353" xr:uid="{00000000-0005-0000-0000-0000DE010000}"/>
    <cellStyle name="40% - Accent3 2" xfId="354" xr:uid="{00000000-0005-0000-0000-0000DF010000}"/>
    <cellStyle name="40% - Accent3 2 2" xfId="355" xr:uid="{00000000-0005-0000-0000-0000E0010000}"/>
    <cellStyle name="40% - Accent3 2 3" xfId="356" xr:uid="{00000000-0005-0000-0000-0000E1010000}"/>
    <cellStyle name="40% - Accent3 3" xfId="357" xr:uid="{00000000-0005-0000-0000-0000E2010000}"/>
    <cellStyle name="40% - Accent3 3 2" xfId="358" xr:uid="{00000000-0005-0000-0000-0000E3010000}"/>
    <cellStyle name="40% - Accent3 3 3" xfId="359" xr:uid="{00000000-0005-0000-0000-0000E4010000}"/>
    <cellStyle name="40% - Accent3 4" xfId="360" xr:uid="{00000000-0005-0000-0000-0000E5010000}"/>
    <cellStyle name="40% - Accent3 4 2" xfId="2082" xr:uid="{00000000-0005-0000-0000-0000E6010000}"/>
    <cellStyle name="40% - Accent4" xfId="361" xr:uid="{00000000-0005-0000-0000-0000E7010000}"/>
    <cellStyle name="40% - Accent4 2" xfId="362" xr:uid="{00000000-0005-0000-0000-0000E8010000}"/>
    <cellStyle name="40% - Accent4 2 2" xfId="363" xr:uid="{00000000-0005-0000-0000-0000E9010000}"/>
    <cellStyle name="40% - Accent4 2 3" xfId="364" xr:uid="{00000000-0005-0000-0000-0000EA010000}"/>
    <cellStyle name="40% - Accent4 3" xfId="365" xr:uid="{00000000-0005-0000-0000-0000EB010000}"/>
    <cellStyle name="40% - Accent4 3 2" xfId="366" xr:uid="{00000000-0005-0000-0000-0000EC010000}"/>
    <cellStyle name="40% - Accent4 3 3" xfId="367" xr:uid="{00000000-0005-0000-0000-0000ED010000}"/>
    <cellStyle name="40% - Accent4 4" xfId="368" xr:uid="{00000000-0005-0000-0000-0000EE010000}"/>
    <cellStyle name="40% - Accent4 4 2" xfId="2081" xr:uid="{00000000-0005-0000-0000-0000EF010000}"/>
    <cellStyle name="40% - Accent5" xfId="369" xr:uid="{00000000-0005-0000-0000-0000F0010000}"/>
    <cellStyle name="40% - Accent5 2" xfId="370" xr:uid="{00000000-0005-0000-0000-0000F1010000}"/>
    <cellStyle name="40% - Accent5 2 2" xfId="371" xr:uid="{00000000-0005-0000-0000-0000F2010000}"/>
    <cellStyle name="40% - Accent5 2 3" xfId="372" xr:uid="{00000000-0005-0000-0000-0000F3010000}"/>
    <cellStyle name="40% - Accent5 3" xfId="373" xr:uid="{00000000-0005-0000-0000-0000F4010000}"/>
    <cellStyle name="40% - Accent5 3 2" xfId="374" xr:uid="{00000000-0005-0000-0000-0000F5010000}"/>
    <cellStyle name="40% - Accent5 3 3" xfId="375" xr:uid="{00000000-0005-0000-0000-0000F6010000}"/>
    <cellStyle name="40% - Accent5 4" xfId="376" xr:uid="{00000000-0005-0000-0000-0000F7010000}"/>
    <cellStyle name="40% - Accent5 4 2" xfId="2080" xr:uid="{00000000-0005-0000-0000-0000F8010000}"/>
    <cellStyle name="40% - Accent6" xfId="377" xr:uid="{00000000-0005-0000-0000-0000F9010000}"/>
    <cellStyle name="40% - Accent6 2" xfId="378" xr:uid="{00000000-0005-0000-0000-0000FA010000}"/>
    <cellStyle name="40% - Accent6 2 2" xfId="379" xr:uid="{00000000-0005-0000-0000-0000FB010000}"/>
    <cellStyle name="40% - Accent6 2 3" xfId="380" xr:uid="{00000000-0005-0000-0000-0000FC010000}"/>
    <cellStyle name="40% - Accent6 3" xfId="381" xr:uid="{00000000-0005-0000-0000-0000FD010000}"/>
    <cellStyle name="40% - Accent6 3 2" xfId="382" xr:uid="{00000000-0005-0000-0000-0000FE010000}"/>
    <cellStyle name="40% - Accent6 3 3" xfId="383" xr:uid="{00000000-0005-0000-0000-0000FF010000}"/>
    <cellStyle name="40% - Accent6 4" xfId="384" xr:uid="{00000000-0005-0000-0000-000000020000}"/>
    <cellStyle name="40% - Accent6 4 2" xfId="2079" xr:uid="{00000000-0005-0000-0000-000001020000}"/>
    <cellStyle name="40% - 강조색1 2" xfId="385" xr:uid="{00000000-0005-0000-0000-000002020000}"/>
    <cellStyle name="40% - 강조색1 2 2" xfId="386" xr:uid="{00000000-0005-0000-0000-000003020000}"/>
    <cellStyle name="40% - 강조색1 2 2 2" xfId="2078" xr:uid="{00000000-0005-0000-0000-000004020000}"/>
    <cellStyle name="40% - 강조색1 2 3" xfId="1644" xr:uid="{00000000-0005-0000-0000-000005020000}"/>
    <cellStyle name="40% - 강조색1 3" xfId="387" xr:uid="{00000000-0005-0000-0000-000006020000}"/>
    <cellStyle name="40% - 강조색1 3 2" xfId="2077" xr:uid="{00000000-0005-0000-0000-000007020000}"/>
    <cellStyle name="40% - 강조색1 4" xfId="388" xr:uid="{00000000-0005-0000-0000-000008020000}"/>
    <cellStyle name="40% - 강조색1 5" xfId="389" xr:uid="{00000000-0005-0000-0000-000009020000}"/>
    <cellStyle name="40% - 강조색1 6" xfId="390" xr:uid="{00000000-0005-0000-0000-00000A020000}"/>
    <cellStyle name="40% - 강조색1 7" xfId="391" xr:uid="{00000000-0005-0000-0000-00000B020000}"/>
    <cellStyle name="40% - 강조색2 2" xfId="392" xr:uid="{00000000-0005-0000-0000-00000C020000}"/>
    <cellStyle name="40% - 강조색2 2 2" xfId="393" xr:uid="{00000000-0005-0000-0000-00000D020000}"/>
    <cellStyle name="40% - 강조색2 2 2 2" xfId="2076" xr:uid="{00000000-0005-0000-0000-00000E020000}"/>
    <cellStyle name="40% - 강조색2 3" xfId="394" xr:uid="{00000000-0005-0000-0000-00000F020000}"/>
    <cellStyle name="40% - 강조색2 3 2" xfId="2075" xr:uid="{00000000-0005-0000-0000-000010020000}"/>
    <cellStyle name="40% - 강조색2 4" xfId="395" xr:uid="{00000000-0005-0000-0000-000011020000}"/>
    <cellStyle name="40% - 강조색2 5" xfId="396" xr:uid="{00000000-0005-0000-0000-000012020000}"/>
    <cellStyle name="40% - 강조색2 6" xfId="397" xr:uid="{00000000-0005-0000-0000-000013020000}"/>
    <cellStyle name="40% - 강조색2 7" xfId="398" xr:uid="{00000000-0005-0000-0000-000014020000}"/>
    <cellStyle name="40% - 강조색3 2" xfId="399" xr:uid="{00000000-0005-0000-0000-000015020000}"/>
    <cellStyle name="40% - 강조색3 2 2" xfId="400" xr:uid="{00000000-0005-0000-0000-000016020000}"/>
    <cellStyle name="40% - 강조색3 2 2 2" xfId="2074" xr:uid="{00000000-0005-0000-0000-000017020000}"/>
    <cellStyle name="40% - 강조색3 2 3" xfId="1646" xr:uid="{00000000-0005-0000-0000-000018020000}"/>
    <cellStyle name="40% - 강조색3 3" xfId="401" xr:uid="{00000000-0005-0000-0000-000019020000}"/>
    <cellStyle name="40% - 강조색3 3 2" xfId="2073" xr:uid="{00000000-0005-0000-0000-00001A020000}"/>
    <cellStyle name="40% - 강조색3 4" xfId="402" xr:uid="{00000000-0005-0000-0000-00001B020000}"/>
    <cellStyle name="40% - 강조색3 5" xfId="403" xr:uid="{00000000-0005-0000-0000-00001C020000}"/>
    <cellStyle name="40% - 강조색3 6" xfId="404" xr:uid="{00000000-0005-0000-0000-00001D020000}"/>
    <cellStyle name="40% - 강조색3 7" xfId="405" xr:uid="{00000000-0005-0000-0000-00001E020000}"/>
    <cellStyle name="40% - 강조색4 2" xfId="406" xr:uid="{00000000-0005-0000-0000-00001F020000}"/>
    <cellStyle name="40% - 강조색4 2 2" xfId="407" xr:uid="{00000000-0005-0000-0000-000020020000}"/>
    <cellStyle name="40% - 강조색4 2 2 2" xfId="2072" xr:uid="{00000000-0005-0000-0000-000021020000}"/>
    <cellStyle name="40% - 강조색4 2 3" xfId="1647" xr:uid="{00000000-0005-0000-0000-000022020000}"/>
    <cellStyle name="40% - 강조색4 3" xfId="408" xr:uid="{00000000-0005-0000-0000-000023020000}"/>
    <cellStyle name="40% - 강조색4 3 2" xfId="2071" xr:uid="{00000000-0005-0000-0000-000024020000}"/>
    <cellStyle name="40% - 강조색4 4" xfId="409" xr:uid="{00000000-0005-0000-0000-000025020000}"/>
    <cellStyle name="40% - 강조색4 5" xfId="410" xr:uid="{00000000-0005-0000-0000-000026020000}"/>
    <cellStyle name="40% - 강조색4 6" xfId="411" xr:uid="{00000000-0005-0000-0000-000027020000}"/>
    <cellStyle name="40% - 강조색4 7" xfId="412" xr:uid="{00000000-0005-0000-0000-000028020000}"/>
    <cellStyle name="40% - 강조색5 2" xfId="413" xr:uid="{00000000-0005-0000-0000-000029020000}"/>
    <cellStyle name="40% - 강조색5 2 2" xfId="414" xr:uid="{00000000-0005-0000-0000-00002A020000}"/>
    <cellStyle name="40% - 강조색5 2 2 2" xfId="2070" xr:uid="{00000000-0005-0000-0000-00002B020000}"/>
    <cellStyle name="40% - 강조색5 2 3" xfId="1648" xr:uid="{00000000-0005-0000-0000-00002C020000}"/>
    <cellStyle name="40% - 강조색5 3" xfId="415" xr:uid="{00000000-0005-0000-0000-00002D020000}"/>
    <cellStyle name="40% - 강조색5 3 2" xfId="2069" xr:uid="{00000000-0005-0000-0000-00002E020000}"/>
    <cellStyle name="40% - 강조색5 4" xfId="416" xr:uid="{00000000-0005-0000-0000-00002F020000}"/>
    <cellStyle name="40% - 강조색5 5" xfId="417" xr:uid="{00000000-0005-0000-0000-000030020000}"/>
    <cellStyle name="40% - 강조색5 6" xfId="418" xr:uid="{00000000-0005-0000-0000-000031020000}"/>
    <cellStyle name="40% - 강조색5 7" xfId="419" xr:uid="{00000000-0005-0000-0000-000032020000}"/>
    <cellStyle name="40% - 강조색6 2" xfId="420" xr:uid="{00000000-0005-0000-0000-000033020000}"/>
    <cellStyle name="40% - 강조색6 2 2" xfId="421" xr:uid="{00000000-0005-0000-0000-000034020000}"/>
    <cellStyle name="40% - 강조색6 2 2 2" xfId="2068" xr:uid="{00000000-0005-0000-0000-000035020000}"/>
    <cellStyle name="40% - 강조색6 2 3" xfId="1649" xr:uid="{00000000-0005-0000-0000-000036020000}"/>
    <cellStyle name="40% - 강조색6 3" xfId="422" xr:uid="{00000000-0005-0000-0000-000037020000}"/>
    <cellStyle name="40% - 강조색6 3 2" xfId="2067" xr:uid="{00000000-0005-0000-0000-000038020000}"/>
    <cellStyle name="40% - 강조색6 4" xfId="423" xr:uid="{00000000-0005-0000-0000-000039020000}"/>
    <cellStyle name="40% - 강조색6 5" xfId="424" xr:uid="{00000000-0005-0000-0000-00003A020000}"/>
    <cellStyle name="40% - 강조색6 6" xfId="425" xr:uid="{00000000-0005-0000-0000-00003B020000}"/>
    <cellStyle name="40% - 강조색6 7" xfId="426" xr:uid="{00000000-0005-0000-0000-00003C020000}"/>
    <cellStyle name="60% - Accent1" xfId="427" xr:uid="{00000000-0005-0000-0000-00003D020000}"/>
    <cellStyle name="60% - Accent1 2" xfId="428" xr:uid="{00000000-0005-0000-0000-00003E020000}"/>
    <cellStyle name="60% - Accent1 2 2" xfId="2066" xr:uid="{00000000-0005-0000-0000-00003F020000}"/>
    <cellStyle name="60% - Accent1 3" xfId="429" xr:uid="{00000000-0005-0000-0000-000040020000}"/>
    <cellStyle name="60% - Accent1 4" xfId="430" xr:uid="{00000000-0005-0000-0000-000041020000}"/>
    <cellStyle name="60% - Accent2" xfId="431" xr:uid="{00000000-0005-0000-0000-000042020000}"/>
    <cellStyle name="60% - Accent2 2" xfId="432" xr:uid="{00000000-0005-0000-0000-000043020000}"/>
    <cellStyle name="60% - Accent2 2 2" xfId="2065" xr:uid="{00000000-0005-0000-0000-000044020000}"/>
    <cellStyle name="60% - Accent2 3" xfId="433" xr:uid="{00000000-0005-0000-0000-000045020000}"/>
    <cellStyle name="60% - Accent2 4" xfId="434" xr:uid="{00000000-0005-0000-0000-000046020000}"/>
    <cellStyle name="60% - Accent3" xfId="435" xr:uid="{00000000-0005-0000-0000-000047020000}"/>
    <cellStyle name="60% - Accent3 2" xfId="436" xr:uid="{00000000-0005-0000-0000-000048020000}"/>
    <cellStyle name="60% - Accent3 2 2" xfId="2064" xr:uid="{00000000-0005-0000-0000-000049020000}"/>
    <cellStyle name="60% - Accent3 3" xfId="437" xr:uid="{00000000-0005-0000-0000-00004A020000}"/>
    <cellStyle name="60% - Accent3 4" xfId="438" xr:uid="{00000000-0005-0000-0000-00004B020000}"/>
    <cellStyle name="60% - Accent4" xfId="439" xr:uid="{00000000-0005-0000-0000-00004C020000}"/>
    <cellStyle name="60% - Accent4 2" xfId="440" xr:uid="{00000000-0005-0000-0000-00004D020000}"/>
    <cellStyle name="60% - Accent4 2 2" xfId="2063" xr:uid="{00000000-0005-0000-0000-00004E020000}"/>
    <cellStyle name="60% - Accent4 3" xfId="441" xr:uid="{00000000-0005-0000-0000-00004F020000}"/>
    <cellStyle name="60% - Accent4 4" xfId="442" xr:uid="{00000000-0005-0000-0000-000050020000}"/>
    <cellStyle name="60% - Accent5" xfId="443" xr:uid="{00000000-0005-0000-0000-000051020000}"/>
    <cellStyle name="60% - Accent5 2" xfId="444" xr:uid="{00000000-0005-0000-0000-000052020000}"/>
    <cellStyle name="60% - Accent5 2 2" xfId="2062" xr:uid="{00000000-0005-0000-0000-000053020000}"/>
    <cellStyle name="60% - Accent5 3" xfId="445" xr:uid="{00000000-0005-0000-0000-000054020000}"/>
    <cellStyle name="60% - Accent5 4" xfId="446" xr:uid="{00000000-0005-0000-0000-000055020000}"/>
    <cellStyle name="60% - Accent6" xfId="447" xr:uid="{00000000-0005-0000-0000-000056020000}"/>
    <cellStyle name="60% - Accent6 2" xfId="448" xr:uid="{00000000-0005-0000-0000-000057020000}"/>
    <cellStyle name="60% - Accent6 2 2" xfId="2061" xr:uid="{00000000-0005-0000-0000-000058020000}"/>
    <cellStyle name="60% - Accent6 3" xfId="449" xr:uid="{00000000-0005-0000-0000-000059020000}"/>
    <cellStyle name="60% - Accent6 4" xfId="450" xr:uid="{00000000-0005-0000-0000-00005A020000}"/>
    <cellStyle name="60% - 강조색1 2" xfId="451" xr:uid="{00000000-0005-0000-0000-00005B020000}"/>
    <cellStyle name="60% - 강조색1 2 2" xfId="452" xr:uid="{00000000-0005-0000-0000-00005C020000}"/>
    <cellStyle name="60% - 강조색1 2 2 2" xfId="2060" xr:uid="{00000000-0005-0000-0000-00005D020000}"/>
    <cellStyle name="60% - 강조색1 2 3" xfId="1650" xr:uid="{00000000-0005-0000-0000-00005E020000}"/>
    <cellStyle name="60% - 강조색1 3" xfId="453" xr:uid="{00000000-0005-0000-0000-00005F020000}"/>
    <cellStyle name="60% - 강조색1 3 2" xfId="2059" xr:uid="{00000000-0005-0000-0000-000060020000}"/>
    <cellStyle name="60% - 강조색1 4" xfId="454" xr:uid="{00000000-0005-0000-0000-000061020000}"/>
    <cellStyle name="60% - 강조색1 4 2" xfId="2058" xr:uid="{00000000-0005-0000-0000-000062020000}"/>
    <cellStyle name="60% - 강조색2 2" xfId="455" xr:uid="{00000000-0005-0000-0000-000063020000}"/>
    <cellStyle name="60% - 강조색2 2 2" xfId="456" xr:uid="{00000000-0005-0000-0000-000064020000}"/>
    <cellStyle name="60% - 강조색2 2 2 2" xfId="2057" xr:uid="{00000000-0005-0000-0000-000065020000}"/>
    <cellStyle name="60% - 강조색2 2 3" xfId="1651" xr:uid="{00000000-0005-0000-0000-000066020000}"/>
    <cellStyle name="60% - 강조색2 3" xfId="457" xr:uid="{00000000-0005-0000-0000-000067020000}"/>
    <cellStyle name="60% - 강조색2 3 2" xfId="2056" xr:uid="{00000000-0005-0000-0000-000068020000}"/>
    <cellStyle name="60% - 강조색2 4" xfId="458" xr:uid="{00000000-0005-0000-0000-000069020000}"/>
    <cellStyle name="60% - 강조색2 4 2" xfId="2055" xr:uid="{00000000-0005-0000-0000-00006A020000}"/>
    <cellStyle name="60% - 강조색3 2" xfId="459" xr:uid="{00000000-0005-0000-0000-00006B020000}"/>
    <cellStyle name="60% - 강조색3 2 2" xfId="460" xr:uid="{00000000-0005-0000-0000-00006C020000}"/>
    <cellStyle name="60% - 강조색3 2 2 2" xfId="2054" xr:uid="{00000000-0005-0000-0000-00006D020000}"/>
    <cellStyle name="60% - 강조색3 2 3" xfId="1652" xr:uid="{00000000-0005-0000-0000-00006E020000}"/>
    <cellStyle name="60% - 강조색3 3" xfId="461" xr:uid="{00000000-0005-0000-0000-00006F020000}"/>
    <cellStyle name="60% - 강조색3 3 2" xfId="2053" xr:uid="{00000000-0005-0000-0000-000070020000}"/>
    <cellStyle name="60% - 강조색3 4" xfId="462" xr:uid="{00000000-0005-0000-0000-000071020000}"/>
    <cellStyle name="60% - 강조색3 4 2" xfId="2052" xr:uid="{00000000-0005-0000-0000-000072020000}"/>
    <cellStyle name="60% - 강조색4 2" xfId="463" xr:uid="{00000000-0005-0000-0000-000073020000}"/>
    <cellStyle name="60% - 강조색4 2 2" xfId="464" xr:uid="{00000000-0005-0000-0000-000074020000}"/>
    <cellStyle name="60% - 강조색4 2 2 2" xfId="2051" xr:uid="{00000000-0005-0000-0000-000075020000}"/>
    <cellStyle name="60% - 강조색4 2 3" xfId="1653" xr:uid="{00000000-0005-0000-0000-000076020000}"/>
    <cellStyle name="60% - 강조색4 3" xfId="465" xr:uid="{00000000-0005-0000-0000-000077020000}"/>
    <cellStyle name="60% - 강조색4 3 2" xfId="2050" xr:uid="{00000000-0005-0000-0000-000078020000}"/>
    <cellStyle name="60% - 강조색4 4" xfId="466" xr:uid="{00000000-0005-0000-0000-000079020000}"/>
    <cellStyle name="60% - 강조색4 4 2" xfId="2049" xr:uid="{00000000-0005-0000-0000-00007A020000}"/>
    <cellStyle name="60% - 강조색5 2" xfId="467" xr:uid="{00000000-0005-0000-0000-00007B020000}"/>
    <cellStyle name="60% - 강조색5 2 2" xfId="468" xr:uid="{00000000-0005-0000-0000-00007C020000}"/>
    <cellStyle name="60% - 강조색5 2 2 2" xfId="2048" xr:uid="{00000000-0005-0000-0000-00007D020000}"/>
    <cellStyle name="60% - 강조색5 2 3" xfId="1654" xr:uid="{00000000-0005-0000-0000-00007E020000}"/>
    <cellStyle name="60% - 강조색5 3" xfId="469" xr:uid="{00000000-0005-0000-0000-00007F020000}"/>
    <cellStyle name="60% - 강조색5 3 2" xfId="2047" xr:uid="{00000000-0005-0000-0000-000080020000}"/>
    <cellStyle name="60% - 강조색5 4" xfId="470" xr:uid="{00000000-0005-0000-0000-000081020000}"/>
    <cellStyle name="60% - 강조색5 4 2" xfId="2046" xr:uid="{00000000-0005-0000-0000-000082020000}"/>
    <cellStyle name="60% - 강조색6 2" xfId="471" xr:uid="{00000000-0005-0000-0000-000083020000}"/>
    <cellStyle name="60% - 강조색6 2 2" xfId="472" xr:uid="{00000000-0005-0000-0000-000084020000}"/>
    <cellStyle name="60% - 강조색6 2 2 2" xfId="2045" xr:uid="{00000000-0005-0000-0000-000085020000}"/>
    <cellStyle name="60% - 강조색6 2 3" xfId="1655" xr:uid="{00000000-0005-0000-0000-000086020000}"/>
    <cellStyle name="60% - 강조색6 3" xfId="473" xr:uid="{00000000-0005-0000-0000-000087020000}"/>
    <cellStyle name="60% - 강조색6 3 2" xfId="2044" xr:uid="{00000000-0005-0000-0000-000088020000}"/>
    <cellStyle name="60% - 강조색6 4" xfId="474" xr:uid="{00000000-0005-0000-0000-000089020000}"/>
    <cellStyle name="60% - 강조색6 4 2" xfId="2043" xr:uid="{00000000-0005-0000-0000-00008A020000}"/>
    <cellStyle name="Accent1" xfId="475" xr:uid="{00000000-0005-0000-0000-00008B020000}"/>
    <cellStyle name="Accent1 - 20%" xfId="476" xr:uid="{00000000-0005-0000-0000-00008C020000}"/>
    <cellStyle name="Accent1 - 20% 2" xfId="477" xr:uid="{00000000-0005-0000-0000-00008D020000}"/>
    <cellStyle name="Accent1 - 40%" xfId="478" xr:uid="{00000000-0005-0000-0000-00008E020000}"/>
    <cellStyle name="Accent1 - 40% 2" xfId="479" xr:uid="{00000000-0005-0000-0000-00008F020000}"/>
    <cellStyle name="Accent1 - 60%" xfId="480" xr:uid="{00000000-0005-0000-0000-000090020000}"/>
    <cellStyle name="Accent1 - 60% 2" xfId="481" xr:uid="{00000000-0005-0000-0000-000091020000}"/>
    <cellStyle name="Accent1 2" xfId="482" xr:uid="{00000000-0005-0000-0000-000092020000}"/>
    <cellStyle name="Accent1 2 2" xfId="2041" xr:uid="{00000000-0005-0000-0000-000093020000}"/>
    <cellStyle name="Accent1 3" xfId="483" xr:uid="{00000000-0005-0000-0000-000094020000}"/>
    <cellStyle name="Accent1 3 2" xfId="2040" xr:uid="{00000000-0005-0000-0000-000095020000}"/>
    <cellStyle name="Accent1 4" xfId="484" xr:uid="{00000000-0005-0000-0000-000096020000}"/>
    <cellStyle name="Accent1 4 2" xfId="2039" xr:uid="{00000000-0005-0000-0000-000097020000}"/>
    <cellStyle name="Accent1 5" xfId="2042" xr:uid="{00000000-0005-0000-0000-000098020000}"/>
    <cellStyle name="Accent2" xfId="485" xr:uid="{00000000-0005-0000-0000-000099020000}"/>
    <cellStyle name="Accent2 - 20%" xfId="486" xr:uid="{00000000-0005-0000-0000-00009A020000}"/>
    <cellStyle name="Accent2 - 20% 2" xfId="487" xr:uid="{00000000-0005-0000-0000-00009B020000}"/>
    <cellStyle name="Accent2 - 40%" xfId="488" xr:uid="{00000000-0005-0000-0000-00009C020000}"/>
    <cellStyle name="Accent2 - 40% 2" xfId="489" xr:uid="{00000000-0005-0000-0000-00009D020000}"/>
    <cellStyle name="Accent2 - 60%" xfId="490" xr:uid="{00000000-0005-0000-0000-00009E020000}"/>
    <cellStyle name="Accent2 - 60% 2" xfId="491" xr:uid="{00000000-0005-0000-0000-00009F020000}"/>
    <cellStyle name="Accent2 2" xfId="492" xr:uid="{00000000-0005-0000-0000-0000A0020000}"/>
    <cellStyle name="Accent2 2 2" xfId="2037" xr:uid="{00000000-0005-0000-0000-0000A1020000}"/>
    <cellStyle name="Accent2 3" xfId="493" xr:uid="{00000000-0005-0000-0000-0000A2020000}"/>
    <cellStyle name="Accent2 3 2" xfId="2036" xr:uid="{00000000-0005-0000-0000-0000A3020000}"/>
    <cellStyle name="Accent2 4" xfId="494" xr:uid="{00000000-0005-0000-0000-0000A4020000}"/>
    <cellStyle name="Accent2 4 2" xfId="2035" xr:uid="{00000000-0005-0000-0000-0000A5020000}"/>
    <cellStyle name="Accent2 5" xfId="2038" xr:uid="{00000000-0005-0000-0000-0000A6020000}"/>
    <cellStyle name="Accent3" xfId="495" xr:uid="{00000000-0005-0000-0000-0000A7020000}"/>
    <cellStyle name="Accent3 - 20%" xfId="496" xr:uid="{00000000-0005-0000-0000-0000A8020000}"/>
    <cellStyle name="Accent3 - 20% 2" xfId="497" xr:uid="{00000000-0005-0000-0000-0000A9020000}"/>
    <cellStyle name="Accent3 - 40%" xfId="498" xr:uid="{00000000-0005-0000-0000-0000AA020000}"/>
    <cellStyle name="Accent3 - 40% 2" xfId="499" xr:uid="{00000000-0005-0000-0000-0000AB020000}"/>
    <cellStyle name="Accent3 - 60%" xfId="500" xr:uid="{00000000-0005-0000-0000-0000AC020000}"/>
    <cellStyle name="Accent3 - 60% 2" xfId="501" xr:uid="{00000000-0005-0000-0000-0000AD020000}"/>
    <cellStyle name="Accent3 2" xfId="502" xr:uid="{00000000-0005-0000-0000-0000AE020000}"/>
    <cellStyle name="Accent3 2 2" xfId="2033" xr:uid="{00000000-0005-0000-0000-0000AF020000}"/>
    <cellStyle name="Accent3 3" xfId="503" xr:uid="{00000000-0005-0000-0000-0000B0020000}"/>
    <cellStyle name="Accent3 3 2" xfId="2032" xr:uid="{00000000-0005-0000-0000-0000B1020000}"/>
    <cellStyle name="Accent3 4" xfId="504" xr:uid="{00000000-0005-0000-0000-0000B2020000}"/>
    <cellStyle name="Accent3 4 2" xfId="2031" xr:uid="{00000000-0005-0000-0000-0000B3020000}"/>
    <cellStyle name="Accent3 5" xfId="2034" xr:uid="{00000000-0005-0000-0000-0000B4020000}"/>
    <cellStyle name="Accent4" xfId="505" xr:uid="{00000000-0005-0000-0000-0000B5020000}"/>
    <cellStyle name="Accent4 - 20%" xfId="506" xr:uid="{00000000-0005-0000-0000-0000B6020000}"/>
    <cellStyle name="Accent4 - 20% 2" xfId="507" xr:uid="{00000000-0005-0000-0000-0000B7020000}"/>
    <cellStyle name="Accent4 - 40%" xfId="508" xr:uid="{00000000-0005-0000-0000-0000B8020000}"/>
    <cellStyle name="Accent4 - 40% 2" xfId="509" xr:uid="{00000000-0005-0000-0000-0000B9020000}"/>
    <cellStyle name="Accent4 - 60%" xfId="510" xr:uid="{00000000-0005-0000-0000-0000BA020000}"/>
    <cellStyle name="Accent4 - 60% 2" xfId="511" xr:uid="{00000000-0005-0000-0000-0000BB020000}"/>
    <cellStyle name="Accent4 2" xfId="512" xr:uid="{00000000-0005-0000-0000-0000BC020000}"/>
    <cellStyle name="Accent4 2 2" xfId="2029" xr:uid="{00000000-0005-0000-0000-0000BD020000}"/>
    <cellStyle name="Accent4 3" xfId="513" xr:uid="{00000000-0005-0000-0000-0000BE020000}"/>
    <cellStyle name="Accent4 3 2" xfId="2028" xr:uid="{00000000-0005-0000-0000-0000BF020000}"/>
    <cellStyle name="Accent4 4" xfId="514" xr:uid="{00000000-0005-0000-0000-0000C0020000}"/>
    <cellStyle name="Accent4 4 2" xfId="2027" xr:uid="{00000000-0005-0000-0000-0000C1020000}"/>
    <cellStyle name="Accent4 5" xfId="2030" xr:uid="{00000000-0005-0000-0000-0000C2020000}"/>
    <cellStyle name="Accent5" xfId="515" xr:uid="{00000000-0005-0000-0000-0000C3020000}"/>
    <cellStyle name="Accent5 - 20%" xfId="516" xr:uid="{00000000-0005-0000-0000-0000C4020000}"/>
    <cellStyle name="Accent5 - 20% 2" xfId="517" xr:uid="{00000000-0005-0000-0000-0000C5020000}"/>
    <cellStyle name="Accent5 - 40%" xfId="518" xr:uid="{00000000-0005-0000-0000-0000C6020000}"/>
    <cellStyle name="Accent5 - 40% 2" xfId="519" xr:uid="{00000000-0005-0000-0000-0000C7020000}"/>
    <cellStyle name="Accent5 - 60%" xfId="520" xr:uid="{00000000-0005-0000-0000-0000C8020000}"/>
    <cellStyle name="Accent5 - 60% 2" xfId="521" xr:uid="{00000000-0005-0000-0000-0000C9020000}"/>
    <cellStyle name="Accent5 2" xfId="522" xr:uid="{00000000-0005-0000-0000-0000CA020000}"/>
    <cellStyle name="Accent5 2 2" xfId="2025" xr:uid="{00000000-0005-0000-0000-0000CB020000}"/>
    <cellStyle name="Accent5 3" xfId="523" xr:uid="{00000000-0005-0000-0000-0000CC020000}"/>
    <cellStyle name="Accent5 3 2" xfId="2024" xr:uid="{00000000-0005-0000-0000-0000CD020000}"/>
    <cellStyle name="Accent5 4" xfId="524" xr:uid="{00000000-0005-0000-0000-0000CE020000}"/>
    <cellStyle name="Accent5 4 2" xfId="2023" xr:uid="{00000000-0005-0000-0000-0000CF020000}"/>
    <cellStyle name="Accent5 5" xfId="2026" xr:uid="{00000000-0005-0000-0000-0000D0020000}"/>
    <cellStyle name="Accent6" xfId="525" xr:uid="{00000000-0005-0000-0000-0000D1020000}"/>
    <cellStyle name="Accent6 - 20%" xfId="526" xr:uid="{00000000-0005-0000-0000-0000D2020000}"/>
    <cellStyle name="Accent6 - 20% 2" xfId="527" xr:uid="{00000000-0005-0000-0000-0000D3020000}"/>
    <cellStyle name="Accent6 - 40%" xfId="528" xr:uid="{00000000-0005-0000-0000-0000D4020000}"/>
    <cellStyle name="Accent6 - 40% 2" xfId="529" xr:uid="{00000000-0005-0000-0000-0000D5020000}"/>
    <cellStyle name="Accent6 - 60%" xfId="530" xr:uid="{00000000-0005-0000-0000-0000D6020000}"/>
    <cellStyle name="Accent6 - 60% 2" xfId="531" xr:uid="{00000000-0005-0000-0000-0000D7020000}"/>
    <cellStyle name="Accent6 2" xfId="532" xr:uid="{00000000-0005-0000-0000-0000D8020000}"/>
    <cellStyle name="Accent6 2 2" xfId="2021" xr:uid="{00000000-0005-0000-0000-0000D9020000}"/>
    <cellStyle name="Accent6 3" xfId="533" xr:uid="{00000000-0005-0000-0000-0000DA020000}"/>
    <cellStyle name="Accent6 3 2" xfId="2020" xr:uid="{00000000-0005-0000-0000-0000DB020000}"/>
    <cellStyle name="Accent6 4" xfId="534" xr:uid="{00000000-0005-0000-0000-0000DC020000}"/>
    <cellStyle name="Accent6 4 2" xfId="2019" xr:uid="{00000000-0005-0000-0000-0000DD020000}"/>
    <cellStyle name="Accent6 5" xfId="2022" xr:uid="{00000000-0005-0000-0000-0000DE020000}"/>
    <cellStyle name="Bad" xfId="535" xr:uid="{00000000-0005-0000-0000-0000DF020000}"/>
    <cellStyle name="Bad 2" xfId="536" xr:uid="{00000000-0005-0000-0000-0000E0020000}"/>
    <cellStyle name="Bad 2 2" xfId="2018" xr:uid="{00000000-0005-0000-0000-0000E1020000}"/>
    <cellStyle name="Bad 3" xfId="537" xr:uid="{00000000-0005-0000-0000-0000E2020000}"/>
    <cellStyle name="Bad 4" xfId="538" xr:uid="{00000000-0005-0000-0000-0000E3020000}"/>
    <cellStyle name="Blue,Bold,12pt" xfId="2017" xr:uid="{00000000-0005-0000-0000-0000E4020000}"/>
    <cellStyle name="Bold" xfId="539" xr:uid="{00000000-0005-0000-0000-0000E5020000}"/>
    <cellStyle name="BoldStyleLarge" xfId="540" xr:uid="{00000000-0005-0000-0000-0000E6020000}"/>
    <cellStyle name="BoldStyleRight" xfId="541" xr:uid="{00000000-0005-0000-0000-0000E7020000}"/>
    <cellStyle name="Border" xfId="542" xr:uid="{00000000-0005-0000-0000-0000E8020000}"/>
    <cellStyle name="Border 2" xfId="1725" xr:uid="{00000000-0005-0000-0000-0000E9020000}"/>
    <cellStyle name="Border 3" xfId="2016" xr:uid="{00000000-0005-0000-0000-0000EA020000}"/>
    <cellStyle name="Calc Currency (0)" xfId="543" xr:uid="{00000000-0005-0000-0000-0000EB020000}"/>
    <cellStyle name="Calc Currency (0) 2" xfId="544" xr:uid="{00000000-0005-0000-0000-0000EC020000}"/>
    <cellStyle name="Calc Currency (0) 3" xfId="2015" xr:uid="{00000000-0005-0000-0000-0000ED020000}"/>
    <cellStyle name="Calc Currency (2)" xfId="545" xr:uid="{00000000-0005-0000-0000-0000EE020000}"/>
    <cellStyle name="Calc Currency (2) 2" xfId="546" xr:uid="{00000000-0005-0000-0000-0000EF020000}"/>
    <cellStyle name="Calc Currency (2) 3" xfId="2014" xr:uid="{00000000-0005-0000-0000-0000F0020000}"/>
    <cellStyle name="Calc Percent (0)" xfId="547" xr:uid="{00000000-0005-0000-0000-0000F1020000}"/>
    <cellStyle name="Calc Percent (0) 2" xfId="548" xr:uid="{00000000-0005-0000-0000-0000F2020000}"/>
    <cellStyle name="Calc Percent (0) 3" xfId="2013" xr:uid="{00000000-0005-0000-0000-0000F3020000}"/>
    <cellStyle name="Calc Percent (1)" xfId="549" xr:uid="{00000000-0005-0000-0000-0000F4020000}"/>
    <cellStyle name="Calc Percent (1) 2" xfId="550" xr:uid="{00000000-0005-0000-0000-0000F5020000}"/>
    <cellStyle name="Calc Percent (1) 3" xfId="2012" xr:uid="{00000000-0005-0000-0000-0000F6020000}"/>
    <cellStyle name="Calc Percent (2)" xfId="551" xr:uid="{00000000-0005-0000-0000-0000F7020000}"/>
    <cellStyle name="Calc Percent (2) 2" xfId="552" xr:uid="{00000000-0005-0000-0000-0000F8020000}"/>
    <cellStyle name="Calc Percent (2) 3" xfId="2011" xr:uid="{00000000-0005-0000-0000-0000F9020000}"/>
    <cellStyle name="Calc Units (0)" xfId="553" xr:uid="{00000000-0005-0000-0000-0000FA020000}"/>
    <cellStyle name="Calc Units (0) 2" xfId="554" xr:uid="{00000000-0005-0000-0000-0000FB020000}"/>
    <cellStyle name="Calc Units (0) 3" xfId="2010" xr:uid="{00000000-0005-0000-0000-0000FC020000}"/>
    <cellStyle name="Calc Units (1)" xfId="555" xr:uid="{00000000-0005-0000-0000-0000FD020000}"/>
    <cellStyle name="Calc Units (1) 2" xfId="556" xr:uid="{00000000-0005-0000-0000-0000FE020000}"/>
    <cellStyle name="Calc Units (1) 3" xfId="2009" xr:uid="{00000000-0005-0000-0000-0000FF020000}"/>
    <cellStyle name="Calc Units (2)" xfId="557" xr:uid="{00000000-0005-0000-0000-000000030000}"/>
    <cellStyle name="Calc Units (2) 2" xfId="558" xr:uid="{00000000-0005-0000-0000-000001030000}"/>
    <cellStyle name="Calc Units (2) 3" xfId="2008" xr:uid="{00000000-0005-0000-0000-000002030000}"/>
    <cellStyle name="Calculation" xfId="559" xr:uid="{00000000-0005-0000-0000-000003030000}"/>
    <cellStyle name="Calculation 2" xfId="560" xr:uid="{00000000-0005-0000-0000-000004030000}"/>
    <cellStyle name="Calculation 2 2" xfId="1723" xr:uid="{00000000-0005-0000-0000-000005030000}"/>
    <cellStyle name="Calculation 2 3" xfId="2007" xr:uid="{00000000-0005-0000-0000-000006030000}"/>
    <cellStyle name="Calculation 3" xfId="561" xr:uid="{00000000-0005-0000-0000-000007030000}"/>
    <cellStyle name="Calculation 3 2" xfId="1724" xr:uid="{00000000-0005-0000-0000-000008030000}"/>
    <cellStyle name="Calculation 4" xfId="562" xr:uid="{00000000-0005-0000-0000-000009030000}"/>
    <cellStyle name="category" xfId="563" xr:uid="{00000000-0005-0000-0000-00000A030000}"/>
    <cellStyle name="Check Cell" xfId="564" xr:uid="{00000000-0005-0000-0000-00000B030000}"/>
    <cellStyle name="Check Cell 2" xfId="565" xr:uid="{00000000-0005-0000-0000-00000C030000}"/>
    <cellStyle name="Check Cell 2 2" xfId="2006" xr:uid="{00000000-0005-0000-0000-00000D030000}"/>
    <cellStyle name="Check Cell 3" xfId="566" xr:uid="{00000000-0005-0000-0000-00000E030000}"/>
    <cellStyle name="Check Cell 4" xfId="567" xr:uid="{00000000-0005-0000-0000-00000F030000}"/>
    <cellStyle name="columns_array" xfId="568" xr:uid="{00000000-0005-0000-0000-000010030000}"/>
    <cellStyle name="Comma" xfId="569" xr:uid="{00000000-0005-0000-0000-000011030000}"/>
    <cellStyle name="Comma  - Style1" xfId="570" xr:uid="{00000000-0005-0000-0000-000012030000}"/>
    <cellStyle name="Comma  - Style2" xfId="571" xr:uid="{00000000-0005-0000-0000-000013030000}"/>
    <cellStyle name="Comma  - Style3" xfId="572" xr:uid="{00000000-0005-0000-0000-000014030000}"/>
    <cellStyle name="Comma  - Style4" xfId="573" xr:uid="{00000000-0005-0000-0000-000015030000}"/>
    <cellStyle name="Comma  - Style5" xfId="574" xr:uid="{00000000-0005-0000-0000-000016030000}"/>
    <cellStyle name="Comma  - Style6" xfId="575" xr:uid="{00000000-0005-0000-0000-000017030000}"/>
    <cellStyle name="Comma  - Style7" xfId="576" xr:uid="{00000000-0005-0000-0000-000018030000}"/>
    <cellStyle name="Comma  - Style8" xfId="577" xr:uid="{00000000-0005-0000-0000-000019030000}"/>
    <cellStyle name="Comma [0] 2" xfId="578" xr:uid="{00000000-0005-0000-0000-00001A030000}"/>
    <cellStyle name="Comma [0] 2 13" xfId="579" xr:uid="{00000000-0005-0000-0000-00001B030000}"/>
    <cellStyle name="Comma [0] 2 13 2" xfId="580" xr:uid="{00000000-0005-0000-0000-00001C030000}"/>
    <cellStyle name="Comma [0] 2 13 2 2" xfId="2004" xr:uid="{00000000-0005-0000-0000-00001D030000}"/>
    <cellStyle name="Comma [0] 2 13 3" xfId="581" xr:uid="{00000000-0005-0000-0000-00001E030000}"/>
    <cellStyle name="Comma [0] 2 13 3 2" xfId="2003" xr:uid="{00000000-0005-0000-0000-00001F030000}"/>
    <cellStyle name="Comma [0] 2 13 4" xfId="582" xr:uid="{00000000-0005-0000-0000-000020030000}"/>
    <cellStyle name="Comma [0] 2 2" xfId="583" xr:uid="{00000000-0005-0000-0000-000021030000}"/>
    <cellStyle name="Comma [0] 2 2 2" xfId="2001" xr:uid="{00000000-0005-0000-0000-000022030000}"/>
    <cellStyle name="Comma [0] 2 2 3" xfId="2002" xr:uid="{00000000-0005-0000-0000-000023030000}"/>
    <cellStyle name="Comma [0] 2 3" xfId="584" xr:uid="{00000000-0005-0000-0000-000024030000}"/>
    <cellStyle name="Comma [0] 2 4" xfId="585" xr:uid="{00000000-0005-0000-0000-000025030000}"/>
    <cellStyle name="Comma [0] 2 4 2" xfId="2000" xr:uid="{00000000-0005-0000-0000-000026030000}"/>
    <cellStyle name="Comma [0] 2 5" xfId="586" xr:uid="{00000000-0005-0000-0000-000027030000}"/>
    <cellStyle name="Comma [0] 2 6" xfId="2005" xr:uid="{00000000-0005-0000-0000-000028030000}"/>
    <cellStyle name="Comma [0] 26" xfId="587" xr:uid="{00000000-0005-0000-0000-000029030000}"/>
    <cellStyle name="Comma [0] 4" xfId="588" xr:uid="{00000000-0005-0000-0000-00002A030000}"/>
    <cellStyle name="Comma [0] 4 2" xfId="589" xr:uid="{00000000-0005-0000-0000-00002B030000}"/>
    <cellStyle name="Comma [0] 4 3" xfId="590" xr:uid="{00000000-0005-0000-0000-00002C030000}"/>
    <cellStyle name="Comma [0] 4 4" xfId="591" xr:uid="{00000000-0005-0000-0000-00002D030000}"/>
    <cellStyle name="Comma [0] 4 5" xfId="592" xr:uid="{00000000-0005-0000-0000-00002E030000}"/>
    <cellStyle name="Comma [0] 4 5 2" xfId="593" xr:uid="{00000000-0005-0000-0000-00002F030000}"/>
    <cellStyle name="Comma [0] 4 6" xfId="1999" xr:uid="{00000000-0005-0000-0000-000030030000}"/>
    <cellStyle name="Comma [0] 4 7" xfId="1998" xr:uid="{00000000-0005-0000-0000-000031030000}"/>
    <cellStyle name="Comma [0]_ SG&amp;A Bridge " xfId="594" xr:uid="{00000000-0005-0000-0000-000032030000}"/>
    <cellStyle name="Comma [00]" xfId="595" xr:uid="{00000000-0005-0000-0000-000033030000}"/>
    <cellStyle name="Comma [00] 2" xfId="596" xr:uid="{00000000-0005-0000-0000-000034030000}"/>
    <cellStyle name="Comma [00] 3" xfId="1997" xr:uid="{00000000-0005-0000-0000-000035030000}"/>
    <cellStyle name="Comma 11 3 3" xfId="597" xr:uid="{00000000-0005-0000-0000-000036030000}"/>
    <cellStyle name="Comma 2" xfId="598" xr:uid="{00000000-0005-0000-0000-000037030000}"/>
    <cellStyle name="Comma 2 2" xfId="599" xr:uid="{00000000-0005-0000-0000-000038030000}"/>
    <cellStyle name="Comma 2 2 2" xfId="600" xr:uid="{00000000-0005-0000-0000-000039030000}"/>
    <cellStyle name="Comma 2 2 3" xfId="601" xr:uid="{00000000-0005-0000-0000-00003A030000}"/>
    <cellStyle name="Comma 2 3" xfId="602" xr:uid="{00000000-0005-0000-0000-00003B030000}"/>
    <cellStyle name="Comma 2 3 2" xfId="603" xr:uid="{00000000-0005-0000-0000-00003C030000}"/>
    <cellStyle name="Comma 2 4" xfId="604" xr:uid="{00000000-0005-0000-0000-00003D030000}"/>
    <cellStyle name="Comma 2 4 2" xfId="1996" xr:uid="{00000000-0005-0000-0000-00003E030000}"/>
    <cellStyle name="Comma 2 5" xfId="605" xr:uid="{00000000-0005-0000-0000-00003F030000}"/>
    <cellStyle name="Comma 2 5 2" xfId="1995" xr:uid="{00000000-0005-0000-0000-000040030000}"/>
    <cellStyle name="Comma 2 6" xfId="606" xr:uid="{00000000-0005-0000-0000-000041030000}"/>
    <cellStyle name="Comma 3" xfId="607" xr:uid="{00000000-0005-0000-0000-000042030000}"/>
    <cellStyle name="Comma 3 2" xfId="608" xr:uid="{00000000-0005-0000-0000-000043030000}"/>
    <cellStyle name="Comma 3 3" xfId="609" xr:uid="{00000000-0005-0000-0000-000044030000}"/>
    <cellStyle name="Comma 3 4" xfId="1994" xr:uid="{00000000-0005-0000-0000-000045030000}"/>
    <cellStyle name="Comma 4" xfId="610" xr:uid="{00000000-0005-0000-0000-000046030000}"/>
    <cellStyle name="Comma 4 2" xfId="611" xr:uid="{00000000-0005-0000-0000-000047030000}"/>
    <cellStyle name="comma zerodec" xfId="612" xr:uid="{00000000-0005-0000-0000-000048030000}"/>
    <cellStyle name="comma zerodec 2" xfId="613" xr:uid="{00000000-0005-0000-0000-000049030000}"/>
    <cellStyle name="Comma_ SG&amp;A Bridge " xfId="614" xr:uid="{00000000-0005-0000-0000-00004A030000}"/>
    <cellStyle name="Currency" xfId="615" xr:uid="{00000000-0005-0000-0000-00004B030000}"/>
    <cellStyle name="Currency [0]_ SG&amp;A Bridge " xfId="616" xr:uid="{00000000-0005-0000-0000-00004C030000}"/>
    <cellStyle name="Currency [00]" xfId="617" xr:uid="{00000000-0005-0000-0000-00004D030000}"/>
    <cellStyle name="Currency [00] 2" xfId="618" xr:uid="{00000000-0005-0000-0000-00004E030000}"/>
    <cellStyle name="Currency [00] 3" xfId="1993" xr:uid="{00000000-0005-0000-0000-00004F030000}"/>
    <cellStyle name="Currency 10" xfId="619" xr:uid="{00000000-0005-0000-0000-000050030000}"/>
    <cellStyle name="Currency 2" xfId="620" xr:uid="{00000000-0005-0000-0000-000051030000}"/>
    <cellStyle name="Currency 2 2" xfId="621" xr:uid="{00000000-0005-0000-0000-000052030000}"/>
    <cellStyle name="Currency 2 3" xfId="622" xr:uid="{00000000-0005-0000-0000-000053030000}"/>
    <cellStyle name="Currency 2 4" xfId="623" xr:uid="{00000000-0005-0000-0000-000054030000}"/>
    <cellStyle name="Currency 3" xfId="624" xr:uid="{00000000-0005-0000-0000-000055030000}"/>
    <cellStyle name="Currency 3 2" xfId="625" xr:uid="{00000000-0005-0000-0000-000056030000}"/>
    <cellStyle name="Currency 3 3" xfId="626" xr:uid="{00000000-0005-0000-0000-000057030000}"/>
    <cellStyle name="Currency 4" xfId="627" xr:uid="{00000000-0005-0000-0000-000058030000}"/>
    <cellStyle name="Currency 4 2" xfId="628" xr:uid="{00000000-0005-0000-0000-000059030000}"/>
    <cellStyle name="Currency 4 2 2" xfId="629" xr:uid="{00000000-0005-0000-0000-00005A030000}"/>
    <cellStyle name="Currency 4 2 3" xfId="630" xr:uid="{00000000-0005-0000-0000-00005B030000}"/>
    <cellStyle name="Currency 4 3" xfId="1992" xr:uid="{00000000-0005-0000-0000-00005C030000}"/>
    <cellStyle name="Currency 5" xfId="631" xr:uid="{00000000-0005-0000-0000-00005D030000}"/>
    <cellStyle name="Currency 5 2" xfId="632" xr:uid="{00000000-0005-0000-0000-00005E030000}"/>
    <cellStyle name="Currency 6" xfId="633" xr:uid="{00000000-0005-0000-0000-00005F030000}"/>
    <cellStyle name="Currency 6 2" xfId="634" xr:uid="{00000000-0005-0000-0000-000060030000}"/>
    <cellStyle name="Currency 6 3" xfId="635" xr:uid="{00000000-0005-0000-0000-000061030000}"/>
    <cellStyle name="Currency 6 4" xfId="636" xr:uid="{00000000-0005-0000-0000-000062030000}"/>
    <cellStyle name="Currency 7" xfId="637" xr:uid="{00000000-0005-0000-0000-000063030000}"/>
    <cellStyle name="Currency 7 2" xfId="638" xr:uid="{00000000-0005-0000-0000-000064030000}"/>
    <cellStyle name="Currency 7 3" xfId="1991" xr:uid="{00000000-0005-0000-0000-000065030000}"/>
    <cellStyle name="Currency 8" xfId="639" xr:uid="{00000000-0005-0000-0000-000066030000}"/>
    <cellStyle name="Currency 8 2" xfId="1990" xr:uid="{00000000-0005-0000-0000-000067030000}"/>
    <cellStyle name="Currency 9" xfId="640" xr:uid="{00000000-0005-0000-0000-000068030000}"/>
    <cellStyle name="currency-$_표지 " xfId="641" xr:uid="{00000000-0005-0000-0000-000069030000}"/>
    <cellStyle name="Currency_ SG&amp;A Bridge " xfId="642" xr:uid="{00000000-0005-0000-0000-00006A030000}"/>
    <cellStyle name="Currency1" xfId="643" xr:uid="{00000000-0005-0000-0000-00006B030000}"/>
    <cellStyle name="Currency1 2" xfId="644" xr:uid="{00000000-0005-0000-0000-00006C030000}"/>
    <cellStyle name="custom" xfId="1989" xr:uid="{00000000-0005-0000-0000-00006D030000}"/>
    <cellStyle name="Data" xfId="645" xr:uid="{00000000-0005-0000-0000-00006E030000}"/>
    <cellStyle name="DataDate" xfId="646" xr:uid="{00000000-0005-0000-0000-00006F030000}"/>
    <cellStyle name="DataMid" xfId="647" xr:uid="{00000000-0005-0000-0000-000070030000}"/>
    <cellStyle name="DataN0" xfId="648" xr:uid="{00000000-0005-0000-0000-000071030000}"/>
    <cellStyle name="DataN1" xfId="649" xr:uid="{00000000-0005-0000-0000-000072030000}"/>
    <cellStyle name="DataN2" xfId="650" xr:uid="{00000000-0005-0000-0000-000073030000}"/>
    <cellStyle name="DataN3" xfId="651" xr:uid="{00000000-0005-0000-0000-000074030000}"/>
    <cellStyle name="DataN4" xfId="652" xr:uid="{00000000-0005-0000-0000-000075030000}"/>
    <cellStyle name="DataNoWrap" xfId="653" xr:uid="{00000000-0005-0000-0000-000076030000}"/>
    <cellStyle name="DataRBStyle" xfId="654" xr:uid="{00000000-0005-0000-0000-000077030000}"/>
    <cellStyle name="DataRight" xfId="655" xr:uid="{00000000-0005-0000-0000-000078030000}"/>
    <cellStyle name="DataRightBold" xfId="656" xr:uid="{00000000-0005-0000-0000-000079030000}"/>
    <cellStyle name="DataRStyle" xfId="657" xr:uid="{00000000-0005-0000-0000-00007A030000}"/>
    <cellStyle name="DataRStyleBlue" xfId="658" xr:uid="{00000000-0005-0000-0000-00007B030000}"/>
    <cellStyle name="DataRStyleRed" xfId="659" xr:uid="{00000000-0005-0000-0000-00007C030000}"/>
    <cellStyle name="DataStylePC" xfId="660" xr:uid="{00000000-0005-0000-0000-00007D030000}"/>
    <cellStyle name="DataStylePCBold" xfId="661" xr:uid="{00000000-0005-0000-0000-00007E030000}"/>
    <cellStyle name="Date" xfId="662" xr:uid="{00000000-0005-0000-0000-00007F030000}"/>
    <cellStyle name="Date 2" xfId="663" xr:uid="{00000000-0005-0000-0000-000080030000}"/>
    <cellStyle name="Date 2 2" xfId="1988" xr:uid="{00000000-0005-0000-0000-000081030000}"/>
    <cellStyle name="Date 3" xfId="664" xr:uid="{00000000-0005-0000-0000-000082030000}"/>
    <cellStyle name="Date Short" xfId="665" xr:uid="{00000000-0005-0000-0000-000083030000}"/>
    <cellStyle name="Date_견적서-견적 예시_P2000G3_0527" xfId="1987" xr:uid="{00000000-0005-0000-0000-000084030000}"/>
    <cellStyle name="DELTA" xfId="666" xr:uid="{00000000-0005-0000-0000-000085030000}"/>
    <cellStyle name="Dezimal [0]_laroux" xfId="667" xr:uid="{00000000-0005-0000-0000-000086030000}"/>
    <cellStyle name="Dezimal_laroux" xfId="668" xr:uid="{00000000-0005-0000-0000-000087030000}"/>
    <cellStyle name="discount" xfId="1986" xr:uid="{00000000-0005-0000-0000-000088030000}"/>
    <cellStyle name="Dollar (zero dec)" xfId="669" xr:uid="{00000000-0005-0000-0000-000089030000}"/>
    <cellStyle name="Dollar (zero dec) 2" xfId="670" xr:uid="{00000000-0005-0000-0000-00008A030000}"/>
    <cellStyle name="Emphasis 1" xfId="671" xr:uid="{00000000-0005-0000-0000-00008B030000}"/>
    <cellStyle name="Emphasis 1 2" xfId="672" xr:uid="{00000000-0005-0000-0000-00008C030000}"/>
    <cellStyle name="Emphasis 2" xfId="673" xr:uid="{00000000-0005-0000-0000-00008D030000}"/>
    <cellStyle name="Emphasis 2 2" xfId="674" xr:uid="{00000000-0005-0000-0000-00008E030000}"/>
    <cellStyle name="Emphasis 3" xfId="675" xr:uid="{00000000-0005-0000-0000-00008F030000}"/>
    <cellStyle name="Emphasis 3 2" xfId="676" xr:uid="{00000000-0005-0000-0000-000090030000}"/>
    <cellStyle name="Enter Currency (0)" xfId="677" xr:uid="{00000000-0005-0000-0000-000091030000}"/>
    <cellStyle name="Enter Currency (0) 2" xfId="678" xr:uid="{00000000-0005-0000-0000-000092030000}"/>
    <cellStyle name="Enter Currency (0) 3" xfId="1985" xr:uid="{00000000-0005-0000-0000-000093030000}"/>
    <cellStyle name="Enter Currency (2)" xfId="679" xr:uid="{00000000-0005-0000-0000-000094030000}"/>
    <cellStyle name="Enter Currency (2) 2" xfId="680" xr:uid="{00000000-0005-0000-0000-000095030000}"/>
    <cellStyle name="Enter Currency (2) 3" xfId="1984" xr:uid="{00000000-0005-0000-0000-000096030000}"/>
    <cellStyle name="Enter Units (0)" xfId="681" xr:uid="{00000000-0005-0000-0000-000097030000}"/>
    <cellStyle name="Enter Units (0) 2" xfId="682" xr:uid="{00000000-0005-0000-0000-000098030000}"/>
    <cellStyle name="Enter Units (0) 3" xfId="1983" xr:uid="{00000000-0005-0000-0000-000099030000}"/>
    <cellStyle name="Enter Units (1)" xfId="683" xr:uid="{00000000-0005-0000-0000-00009A030000}"/>
    <cellStyle name="Enter Units (1) 2" xfId="684" xr:uid="{00000000-0005-0000-0000-00009B030000}"/>
    <cellStyle name="Enter Units (1) 3" xfId="1982" xr:uid="{00000000-0005-0000-0000-00009C030000}"/>
    <cellStyle name="Enter Units (2)" xfId="685" xr:uid="{00000000-0005-0000-0000-00009D030000}"/>
    <cellStyle name="Enter Units (2) 2" xfId="686" xr:uid="{00000000-0005-0000-0000-00009E030000}"/>
    <cellStyle name="Enter Units (2) 3" xfId="1981" xr:uid="{00000000-0005-0000-0000-00009F030000}"/>
    <cellStyle name="Explanatory Text" xfId="687" xr:uid="{00000000-0005-0000-0000-0000A0030000}"/>
    <cellStyle name="Explanatory Text 2" xfId="688" xr:uid="{00000000-0005-0000-0000-0000A1030000}"/>
    <cellStyle name="Explanatory Text 2 2" xfId="1980" xr:uid="{00000000-0005-0000-0000-0000A2030000}"/>
    <cellStyle name="Explanatory Text 3" xfId="689" xr:uid="{00000000-0005-0000-0000-0000A3030000}"/>
    <cellStyle name="Explanatory Text 4" xfId="690" xr:uid="{00000000-0005-0000-0000-0000A4030000}"/>
    <cellStyle name="Fixed" xfId="691" xr:uid="{00000000-0005-0000-0000-0000A5030000}"/>
    <cellStyle name="Fixed 2" xfId="692" xr:uid="{00000000-0005-0000-0000-0000A6030000}"/>
    <cellStyle name="Fixed 2 2" xfId="1979" xr:uid="{00000000-0005-0000-0000-0000A7030000}"/>
    <cellStyle name="Fixed 3" xfId="693" xr:uid="{00000000-0005-0000-0000-0000A8030000}"/>
    <cellStyle name="Followed Hyperlink" xfId="1978" xr:uid="{00000000-0005-0000-0000-0000A9030000}"/>
    <cellStyle name="Good" xfId="694" xr:uid="{00000000-0005-0000-0000-0000AA030000}"/>
    <cellStyle name="Good 2" xfId="695" xr:uid="{00000000-0005-0000-0000-0000AB030000}"/>
    <cellStyle name="Good 2 2" xfId="1977" xr:uid="{00000000-0005-0000-0000-0000AC030000}"/>
    <cellStyle name="Good 3" xfId="696" xr:uid="{00000000-0005-0000-0000-0000AD030000}"/>
    <cellStyle name="Good 4" xfId="697" xr:uid="{00000000-0005-0000-0000-0000AE030000}"/>
    <cellStyle name="Grey" xfId="698" xr:uid="{00000000-0005-0000-0000-0000AF030000}"/>
    <cellStyle name="Grey 2" xfId="699" xr:uid="{00000000-0005-0000-0000-0000B0030000}"/>
    <cellStyle name="Grey 3" xfId="700" xr:uid="{00000000-0005-0000-0000-0000B1030000}"/>
    <cellStyle name="Grey 4" xfId="701" xr:uid="{00000000-0005-0000-0000-0000B2030000}"/>
    <cellStyle name="Header" xfId="702" xr:uid="{00000000-0005-0000-0000-0000B3030000}"/>
    <cellStyle name="HEADER 2" xfId="703" xr:uid="{00000000-0005-0000-0000-0000B4030000}"/>
    <cellStyle name="Header 3" xfId="704" xr:uid="{00000000-0005-0000-0000-0000B5030000}"/>
    <cellStyle name="Header 4" xfId="705" xr:uid="{00000000-0005-0000-0000-0000B6030000}"/>
    <cellStyle name="Header 5" xfId="1976" xr:uid="{00000000-0005-0000-0000-0000B7030000}"/>
    <cellStyle name="Header 6" xfId="1975" xr:uid="{00000000-0005-0000-0000-0000B8030000}"/>
    <cellStyle name="Header 7" xfId="1974" xr:uid="{00000000-0005-0000-0000-0000B9030000}"/>
    <cellStyle name="Header 8" xfId="1973" xr:uid="{00000000-0005-0000-0000-0000BA030000}"/>
    <cellStyle name="Header 9" xfId="1972" xr:uid="{00000000-0005-0000-0000-0000BB030000}"/>
    <cellStyle name="Header1" xfId="706" xr:uid="{00000000-0005-0000-0000-0000BC030000}"/>
    <cellStyle name="Header2" xfId="707" xr:uid="{00000000-0005-0000-0000-0000BD030000}"/>
    <cellStyle name="Header2 2" xfId="1722" xr:uid="{00000000-0005-0000-0000-0000BE030000}"/>
    <cellStyle name="HeaderWrap" xfId="708" xr:uid="{00000000-0005-0000-0000-0000BF030000}"/>
    <cellStyle name="Heading 1" xfId="709" xr:uid="{00000000-0005-0000-0000-0000C0030000}"/>
    <cellStyle name="Heading 1 2" xfId="710" xr:uid="{00000000-0005-0000-0000-0000C1030000}"/>
    <cellStyle name="Heading 1 2 2" xfId="711" xr:uid="{00000000-0005-0000-0000-0000C2030000}"/>
    <cellStyle name="Heading 1 3" xfId="712" xr:uid="{00000000-0005-0000-0000-0000C3030000}"/>
    <cellStyle name="Heading 1 3 2" xfId="1971" xr:uid="{00000000-0005-0000-0000-0000C4030000}"/>
    <cellStyle name="Heading 1 4" xfId="713" xr:uid="{00000000-0005-0000-0000-0000C5030000}"/>
    <cellStyle name="Heading 1 5" xfId="714" xr:uid="{00000000-0005-0000-0000-0000C6030000}"/>
    <cellStyle name="Heading 2" xfId="715" xr:uid="{00000000-0005-0000-0000-0000C7030000}"/>
    <cellStyle name="Heading 2 2" xfId="716" xr:uid="{00000000-0005-0000-0000-0000C8030000}"/>
    <cellStyle name="Heading 2 2 2" xfId="717" xr:uid="{00000000-0005-0000-0000-0000C9030000}"/>
    <cellStyle name="Heading 2 3" xfId="718" xr:uid="{00000000-0005-0000-0000-0000CA030000}"/>
    <cellStyle name="Heading 2 3 2" xfId="1970" xr:uid="{00000000-0005-0000-0000-0000CB030000}"/>
    <cellStyle name="Heading 2 4" xfId="719" xr:uid="{00000000-0005-0000-0000-0000CC030000}"/>
    <cellStyle name="Heading 2 5" xfId="720" xr:uid="{00000000-0005-0000-0000-0000CD030000}"/>
    <cellStyle name="Heading 3" xfId="721" xr:uid="{00000000-0005-0000-0000-0000CE030000}"/>
    <cellStyle name="Heading 3 2" xfId="722" xr:uid="{00000000-0005-0000-0000-0000CF030000}"/>
    <cellStyle name="Heading 3 2 2" xfId="723" xr:uid="{00000000-0005-0000-0000-0000D0030000}"/>
    <cellStyle name="Heading 3 3" xfId="724" xr:uid="{00000000-0005-0000-0000-0000D1030000}"/>
    <cellStyle name="Heading 3 3 2" xfId="1969" xr:uid="{00000000-0005-0000-0000-0000D2030000}"/>
    <cellStyle name="Heading 3 4" xfId="725" xr:uid="{00000000-0005-0000-0000-0000D3030000}"/>
    <cellStyle name="Heading 3 5" xfId="726" xr:uid="{00000000-0005-0000-0000-0000D4030000}"/>
    <cellStyle name="Heading 4" xfId="727" xr:uid="{00000000-0005-0000-0000-0000D5030000}"/>
    <cellStyle name="Heading 4 2" xfId="728" xr:uid="{00000000-0005-0000-0000-0000D6030000}"/>
    <cellStyle name="Heading 4 2 2" xfId="1968" xr:uid="{00000000-0005-0000-0000-0000D7030000}"/>
    <cellStyle name="Heading 4 3" xfId="729" xr:uid="{00000000-0005-0000-0000-0000D8030000}"/>
    <cellStyle name="Heading 4 4" xfId="730" xr:uid="{00000000-0005-0000-0000-0000D9030000}"/>
    <cellStyle name="Heading Product Lists" xfId="731" xr:uid="{00000000-0005-0000-0000-0000DA030000}"/>
    <cellStyle name="Heading Product Lists 2" xfId="1721" xr:uid="{00000000-0005-0000-0000-0000DB030000}"/>
    <cellStyle name="Heading1" xfId="732" xr:uid="{00000000-0005-0000-0000-0000DC030000}"/>
    <cellStyle name="Heading1 2" xfId="733" xr:uid="{00000000-0005-0000-0000-0000DD030000}"/>
    <cellStyle name="Heading1 2 2" xfId="1967" xr:uid="{00000000-0005-0000-0000-0000DE030000}"/>
    <cellStyle name="Heading1 3" xfId="734" xr:uid="{00000000-0005-0000-0000-0000DF030000}"/>
    <cellStyle name="Heading2" xfId="735" xr:uid="{00000000-0005-0000-0000-0000E0030000}"/>
    <cellStyle name="Heading2 2" xfId="736" xr:uid="{00000000-0005-0000-0000-0000E1030000}"/>
    <cellStyle name="Heading2 2 2" xfId="1966" xr:uid="{00000000-0005-0000-0000-0000E2030000}"/>
    <cellStyle name="Heading2 3" xfId="737" xr:uid="{00000000-0005-0000-0000-0000E3030000}"/>
    <cellStyle name="Hide" xfId="738" xr:uid="{00000000-0005-0000-0000-0000E4030000}"/>
    <cellStyle name="Hyperlink" xfId="1965" xr:uid="{00000000-0005-0000-0000-0000E5030000}"/>
    <cellStyle name="Hyperlink 2" xfId="739" xr:uid="{00000000-0005-0000-0000-0000E6030000}"/>
    <cellStyle name="Hyperlink 2 2" xfId="1964" xr:uid="{00000000-0005-0000-0000-0000E7030000}"/>
    <cellStyle name="Hyperlink_R6_NPI" xfId="740" xr:uid="{00000000-0005-0000-0000-0000E8030000}"/>
    <cellStyle name="Input" xfId="741" xr:uid="{00000000-0005-0000-0000-0000E9030000}"/>
    <cellStyle name="Input [yellow]" xfId="742" xr:uid="{00000000-0005-0000-0000-0000EA030000}"/>
    <cellStyle name="Input [yellow] 2" xfId="743" xr:uid="{00000000-0005-0000-0000-0000EB030000}"/>
    <cellStyle name="Input [yellow] 2 2" xfId="1719" xr:uid="{00000000-0005-0000-0000-0000EC030000}"/>
    <cellStyle name="Input [yellow] 3" xfId="744" xr:uid="{00000000-0005-0000-0000-0000ED030000}"/>
    <cellStyle name="Input [yellow] 4" xfId="745" xr:uid="{00000000-0005-0000-0000-0000EE030000}"/>
    <cellStyle name="Input 2" xfId="746" xr:uid="{00000000-0005-0000-0000-0000EF030000}"/>
    <cellStyle name="Input 2 2" xfId="1718" xr:uid="{00000000-0005-0000-0000-0000F0030000}"/>
    <cellStyle name="Input 2 3" xfId="1962" xr:uid="{00000000-0005-0000-0000-0000F1030000}"/>
    <cellStyle name="Input 3" xfId="747" xr:uid="{00000000-0005-0000-0000-0000F2030000}"/>
    <cellStyle name="Input 3 2" xfId="1717" xr:uid="{00000000-0005-0000-0000-0000F3030000}"/>
    <cellStyle name="Input 3 3" xfId="1961" xr:uid="{00000000-0005-0000-0000-0000F4030000}"/>
    <cellStyle name="Input 4" xfId="748" xr:uid="{00000000-0005-0000-0000-0000F5030000}"/>
    <cellStyle name="Input 4 2" xfId="1716" xr:uid="{00000000-0005-0000-0000-0000F6030000}"/>
    <cellStyle name="Input 4 3" xfId="1960" xr:uid="{00000000-0005-0000-0000-0000F7030000}"/>
    <cellStyle name="Input 5" xfId="1720" xr:uid="{00000000-0005-0000-0000-0000F8030000}"/>
    <cellStyle name="Input 6" xfId="1963" xr:uid="{00000000-0005-0000-0000-0000F9030000}"/>
    <cellStyle name="Input_DS3500 Price Action_0531" xfId="1959" xr:uid="{00000000-0005-0000-0000-0000FA030000}"/>
    <cellStyle name="Jun" xfId="749" xr:uid="{00000000-0005-0000-0000-0000FB030000}"/>
    <cellStyle name="Komma [0]_BINV" xfId="1958" xr:uid="{00000000-0005-0000-0000-0000FC030000}"/>
    <cellStyle name="Komma_BINV" xfId="1957" xr:uid="{00000000-0005-0000-0000-0000FD030000}"/>
    <cellStyle name="Link Currency (0)" xfId="750" xr:uid="{00000000-0005-0000-0000-0000FE030000}"/>
    <cellStyle name="Link Currency (0) 2" xfId="751" xr:uid="{00000000-0005-0000-0000-0000FF030000}"/>
    <cellStyle name="Link Currency (0) 3" xfId="1956" xr:uid="{00000000-0005-0000-0000-000000040000}"/>
    <cellStyle name="Link Currency (2)" xfId="752" xr:uid="{00000000-0005-0000-0000-000001040000}"/>
    <cellStyle name="Link Currency (2) 2" xfId="753" xr:uid="{00000000-0005-0000-0000-000002040000}"/>
    <cellStyle name="Link Currency (2) 3" xfId="1955" xr:uid="{00000000-0005-0000-0000-000003040000}"/>
    <cellStyle name="Link Units (0)" xfId="754" xr:uid="{00000000-0005-0000-0000-000004040000}"/>
    <cellStyle name="Link Units (0) 2" xfId="755" xr:uid="{00000000-0005-0000-0000-000005040000}"/>
    <cellStyle name="Link Units (0) 3" xfId="1954" xr:uid="{00000000-0005-0000-0000-000006040000}"/>
    <cellStyle name="Link Units (1)" xfId="756" xr:uid="{00000000-0005-0000-0000-000007040000}"/>
    <cellStyle name="Link Units (1) 2" xfId="757" xr:uid="{00000000-0005-0000-0000-000008040000}"/>
    <cellStyle name="Link Units (1) 3" xfId="1953" xr:uid="{00000000-0005-0000-0000-000009040000}"/>
    <cellStyle name="Link Units (2)" xfId="758" xr:uid="{00000000-0005-0000-0000-00000A040000}"/>
    <cellStyle name="Link Units (2) 2" xfId="759" xr:uid="{00000000-0005-0000-0000-00000B040000}"/>
    <cellStyle name="Link Units (2) 3" xfId="1952" xr:uid="{00000000-0005-0000-0000-00000C040000}"/>
    <cellStyle name="Linked Cell" xfId="760" xr:uid="{00000000-0005-0000-0000-00000D040000}"/>
    <cellStyle name="Linked Cell 2" xfId="761" xr:uid="{00000000-0005-0000-0000-00000E040000}"/>
    <cellStyle name="Linked Cell 2 2" xfId="1951" xr:uid="{00000000-0005-0000-0000-00000F040000}"/>
    <cellStyle name="Linked Cell 3" xfId="762" xr:uid="{00000000-0005-0000-0000-000010040000}"/>
    <cellStyle name="Linked Cell 4" xfId="763" xr:uid="{00000000-0005-0000-0000-000011040000}"/>
    <cellStyle name="MainSection" xfId="764" xr:uid="{00000000-0005-0000-0000-000012040000}"/>
    <cellStyle name="Milliers [0]_!!!GO" xfId="1950" xr:uid="{00000000-0005-0000-0000-000013040000}"/>
    <cellStyle name="Milliers_!!!GO" xfId="1949" xr:uid="{00000000-0005-0000-0000-000014040000}"/>
    <cellStyle name="Model" xfId="765" xr:uid="{00000000-0005-0000-0000-000015040000}"/>
    <cellStyle name="Mon?aire [0]_!!!GO" xfId="1948" xr:uid="{00000000-0005-0000-0000-000016040000}"/>
    <cellStyle name="Mon?aire_!!!GO" xfId="1947" xr:uid="{00000000-0005-0000-0000-000017040000}"/>
    <cellStyle name="Monétaire [0]_!!!GO" xfId="1946" xr:uid="{00000000-0005-0000-0000-000018040000}"/>
    <cellStyle name="Monétaire_!!!GO" xfId="1945" xr:uid="{00000000-0005-0000-0000-000019040000}"/>
    <cellStyle name="MS Proofing Tools" xfId="1944" xr:uid="{00000000-0005-0000-0000-00001A040000}"/>
    <cellStyle name="Neutral" xfId="766" xr:uid="{00000000-0005-0000-0000-00001B040000}"/>
    <cellStyle name="Neutral 2" xfId="767" xr:uid="{00000000-0005-0000-0000-00001C040000}"/>
    <cellStyle name="Neutral 2 2" xfId="1943" xr:uid="{00000000-0005-0000-0000-00001D040000}"/>
    <cellStyle name="Neutral 3" xfId="768" xr:uid="{00000000-0005-0000-0000-00001E040000}"/>
    <cellStyle name="Neutral 4" xfId="769" xr:uid="{00000000-0005-0000-0000-00001F040000}"/>
    <cellStyle name="no dec" xfId="770" xr:uid="{00000000-0005-0000-0000-000020040000}"/>
    <cellStyle name="Normal - Style1" xfId="771" xr:uid="{00000000-0005-0000-0000-000021040000}"/>
    <cellStyle name="Normal - Style1 2" xfId="772" xr:uid="{00000000-0005-0000-0000-000022040000}"/>
    <cellStyle name="Normal - Style1 2 2" xfId="773" xr:uid="{00000000-0005-0000-0000-000023040000}"/>
    <cellStyle name="Normal - Style1 2 3" xfId="774" xr:uid="{00000000-0005-0000-0000-000024040000}"/>
    <cellStyle name="Normal - Style1 3" xfId="775" xr:uid="{00000000-0005-0000-0000-000025040000}"/>
    <cellStyle name="Normal - Style1 3 2" xfId="776" xr:uid="{00000000-0005-0000-0000-000026040000}"/>
    <cellStyle name="Normal - Style1 3 3" xfId="777" xr:uid="{00000000-0005-0000-0000-000027040000}"/>
    <cellStyle name="Normal - Style1 4" xfId="778" xr:uid="{00000000-0005-0000-0000-000028040000}"/>
    <cellStyle name="Normal - Style1 4 2" xfId="779" xr:uid="{00000000-0005-0000-0000-000029040000}"/>
    <cellStyle name="Normal - Style1 4 3" xfId="780" xr:uid="{00000000-0005-0000-0000-00002A040000}"/>
    <cellStyle name="Normal - Style1 5" xfId="781" xr:uid="{00000000-0005-0000-0000-00002B040000}"/>
    <cellStyle name="Normal - Style1 5 2" xfId="1941" xr:uid="{00000000-0005-0000-0000-00002C040000}"/>
    <cellStyle name="Normal - Style1 6" xfId="1940" xr:uid="{00000000-0005-0000-0000-00002D040000}"/>
    <cellStyle name="Normal - Style1 7" xfId="1942" xr:uid="{00000000-0005-0000-0000-00002E040000}"/>
    <cellStyle name="Normal 1" xfId="1939" xr:uid="{00000000-0005-0000-0000-00002F040000}"/>
    <cellStyle name="Normal 10" xfId="782" xr:uid="{00000000-0005-0000-0000-000030040000}"/>
    <cellStyle name="Normal 105" xfId="783" xr:uid="{00000000-0005-0000-0000-000031040000}"/>
    <cellStyle name="Normal 11 8" xfId="784" xr:uid="{00000000-0005-0000-0000-000032040000}"/>
    <cellStyle name="Normal 17" xfId="785" xr:uid="{00000000-0005-0000-0000-000033040000}"/>
    <cellStyle name="Normal 2" xfId="786" xr:uid="{00000000-0005-0000-0000-000034040000}"/>
    <cellStyle name="Normal 2 10" xfId="787" xr:uid="{00000000-0005-0000-0000-000035040000}"/>
    <cellStyle name="Normal 2 12" xfId="788" xr:uid="{00000000-0005-0000-0000-000036040000}"/>
    <cellStyle name="Normal 2 13" xfId="789" xr:uid="{00000000-0005-0000-0000-000037040000}"/>
    <cellStyle name="Normal 2 15" xfId="790" xr:uid="{00000000-0005-0000-0000-000038040000}"/>
    <cellStyle name="Normal 2 17" xfId="791" xr:uid="{00000000-0005-0000-0000-000039040000}"/>
    <cellStyle name="Normal 2 19" xfId="792" xr:uid="{00000000-0005-0000-0000-00003A040000}"/>
    <cellStyle name="Normal 2 2" xfId="793" xr:uid="{00000000-0005-0000-0000-00003B040000}"/>
    <cellStyle name="Normal 2 2 2" xfId="794" xr:uid="{00000000-0005-0000-0000-00003C040000}"/>
    <cellStyle name="Normal 2 2 3" xfId="795" xr:uid="{00000000-0005-0000-0000-00003D040000}"/>
    <cellStyle name="Normal 2 2 3 2" xfId="1938" xr:uid="{00000000-0005-0000-0000-00003E040000}"/>
    <cellStyle name="Normal 2 2 4" xfId="796" xr:uid="{00000000-0005-0000-0000-00003F040000}"/>
    <cellStyle name="Normal 2 2 4 2" xfId="1937" xr:uid="{00000000-0005-0000-0000-000040040000}"/>
    <cellStyle name="Normal 2 2 6" xfId="1936" xr:uid="{00000000-0005-0000-0000-000041040000}"/>
    <cellStyle name="Normal 2 21" xfId="797" xr:uid="{00000000-0005-0000-0000-000042040000}"/>
    <cellStyle name="Normal 2 22" xfId="798" xr:uid="{00000000-0005-0000-0000-000043040000}"/>
    <cellStyle name="Normal 2 25" xfId="799" xr:uid="{00000000-0005-0000-0000-000044040000}"/>
    <cellStyle name="Normal 2 29" xfId="800" xr:uid="{00000000-0005-0000-0000-000045040000}"/>
    <cellStyle name="Normal 2 3" xfId="801" xr:uid="{00000000-0005-0000-0000-000046040000}"/>
    <cellStyle name="Normal 2 3 2" xfId="802" xr:uid="{00000000-0005-0000-0000-000047040000}"/>
    <cellStyle name="Normal 2 3 2 2" xfId="803" xr:uid="{00000000-0005-0000-0000-000048040000}"/>
    <cellStyle name="Normal 2 3 3" xfId="804" xr:uid="{00000000-0005-0000-0000-000049040000}"/>
    <cellStyle name="Normal 2 3 4" xfId="805" xr:uid="{00000000-0005-0000-0000-00004A040000}"/>
    <cellStyle name="Normal 2 3 5" xfId="806" xr:uid="{00000000-0005-0000-0000-00004B040000}"/>
    <cellStyle name="Normal 2 31" xfId="807" xr:uid="{00000000-0005-0000-0000-00004C040000}"/>
    <cellStyle name="Normal 2 33" xfId="808" xr:uid="{00000000-0005-0000-0000-00004D040000}"/>
    <cellStyle name="Normal 2 34" xfId="809" xr:uid="{00000000-0005-0000-0000-00004E040000}"/>
    <cellStyle name="Normal 2 35" xfId="810" xr:uid="{00000000-0005-0000-0000-00004F040000}"/>
    <cellStyle name="Normal 2 36" xfId="811" xr:uid="{00000000-0005-0000-0000-000050040000}"/>
    <cellStyle name="Normal 2 37" xfId="812" xr:uid="{00000000-0005-0000-0000-000051040000}"/>
    <cellStyle name="Normal 2 4" xfId="813" xr:uid="{00000000-0005-0000-0000-000052040000}"/>
    <cellStyle name="Normal 2 4 2" xfId="814" xr:uid="{00000000-0005-0000-0000-000053040000}"/>
    <cellStyle name="Normal 2 40" xfId="815" xr:uid="{00000000-0005-0000-0000-000054040000}"/>
    <cellStyle name="Normal 2 41" xfId="816" xr:uid="{00000000-0005-0000-0000-000055040000}"/>
    <cellStyle name="Normal 2 47" xfId="817" xr:uid="{00000000-0005-0000-0000-000056040000}"/>
    <cellStyle name="Normal 2 5" xfId="818" xr:uid="{00000000-0005-0000-0000-000057040000}"/>
    <cellStyle name="Normal 2 56" xfId="819" xr:uid="{00000000-0005-0000-0000-000058040000}"/>
    <cellStyle name="Normal 2 6" xfId="820" xr:uid="{00000000-0005-0000-0000-000059040000}"/>
    <cellStyle name="Normal 2 6 2" xfId="1934" xr:uid="{00000000-0005-0000-0000-00005A040000}"/>
    <cellStyle name="Normal 2 6 3" xfId="1935" xr:uid="{00000000-0005-0000-0000-00005B040000}"/>
    <cellStyle name="Normal 2 7" xfId="821" xr:uid="{00000000-0005-0000-0000-00005C040000}"/>
    <cellStyle name="Normal 2 8" xfId="822" xr:uid="{00000000-0005-0000-0000-00005D040000}"/>
    <cellStyle name="Normal 2 8 2" xfId="1933" xr:uid="{00000000-0005-0000-0000-00005E040000}"/>
    <cellStyle name="Normal 2 9" xfId="823" xr:uid="{00000000-0005-0000-0000-00005F040000}"/>
    <cellStyle name="Normal 20 3" xfId="824" xr:uid="{00000000-0005-0000-0000-000060040000}"/>
    <cellStyle name="Normal 22" xfId="825" xr:uid="{00000000-0005-0000-0000-000061040000}"/>
    <cellStyle name="Normal 23 8" xfId="826" xr:uid="{00000000-0005-0000-0000-000062040000}"/>
    <cellStyle name="Normal 24 3" xfId="827" xr:uid="{00000000-0005-0000-0000-000063040000}"/>
    <cellStyle name="Normal 25 3" xfId="828" xr:uid="{00000000-0005-0000-0000-000064040000}"/>
    <cellStyle name="Normal 26" xfId="829" xr:uid="{00000000-0005-0000-0000-000065040000}"/>
    <cellStyle name="Normal 26 8" xfId="830" xr:uid="{00000000-0005-0000-0000-000066040000}"/>
    <cellStyle name="Normal 27 3" xfId="831" xr:uid="{00000000-0005-0000-0000-000067040000}"/>
    <cellStyle name="Normal 28 8" xfId="832" xr:uid="{00000000-0005-0000-0000-000068040000}"/>
    <cellStyle name="Normal 29" xfId="833" xr:uid="{00000000-0005-0000-0000-000069040000}"/>
    <cellStyle name="Normal 29 3" xfId="834" xr:uid="{00000000-0005-0000-0000-00006A040000}"/>
    <cellStyle name="Normal 3" xfId="835" xr:uid="{00000000-0005-0000-0000-00006B040000}"/>
    <cellStyle name="Normal 3 2" xfId="836" xr:uid="{00000000-0005-0000-0000-00006C040000}"/>
    <cellStyle name="Normal 3 2 2" xfId="837" xr:uid="{00000000-0005-0000-0000-00006D040000}"/>
    <cellStyle name="Normal 3 2 3" xfId="838" xr:uid="{00000000-0005-0000-0000-00006E040000}"/>
    <cellStyle name="Normal 3 2 3 2" xfId="1932" xr:uid="{00000000-0005-0000-0000-00006F040000}"/>
    <cellStyle name="Normal 3 2 4" xfId="839" xr:uid="{00000000-0005-0000-0000-000070040000}"/>
    <cellStyle name="Normal 3 2 4 2" xfId="1931" xr:uid="{00000000-0005-0000-0000-000071040000}"/>
    <cellStyle name="Normal 3 3" xfId="840" xr:uid="{00000000-0005-0000-0000-000072040000}"/>
    <cellStyle name="Normal 3 3 2" xfId="1930" xr:uid="{00000000-0005-0000-0000-000073040000}"/>
    <cellStyle name="Normal 3 4" xfId="1632" xr:uid="{00000000-0005-0000-0000-000074040000}"/>
    <cellStyle name="Normal 31" xfId="841" xr:uid="{00000000-0005-0000-0000-000075040000}"/>
    <cellStyle name="Normal 32" xfId="842" xr:uid="{00000000-0005-0000-0000-000076040000}"/>
    <cellStyle name="Normal 33" xfId="843" xr:uid="{00000000-0005-0000-0000-000077040000}"/>
    <cellStyle name="Normal 35" xfId="844" xr:uid="{00000000-0005-0000-0000-000078040000}"/>
    <cellStyle name="Normal 37" xfId="845" xr:uid="{00000000-0005-0000-0000-000079040000}"/>
    <cellStyle name="Normal 4" xfId="846" xr:uid="{00000000-0005-0000-0000-00007A040000}"/>
    <cellStyle name="Normal 4 18" xfId="847" xr:uid="{00000000-0005-0000-0000-00007B040000}"/>
    <cellStyle name="Normal 4 18 2" xfId="848" xr:uid="{00000000-0005-0000-0000-00007C040000}"/>
    <cellStyle name="Normal 4 18 3" xfId="849" xr:uid="{00000000-0005-0000-0000-00007D040000}"/>
    <cellStyle name="Normal 4 2" xfId="850" xr:uid="{00000000-0005-0000-0000-00007E040000}"/>
    <cellStyle name="Normal 4 2 21" xfId="851" xr:uid="{00000000-0005-0000-0000-00007F040000}"/>
    <cellStyle name="Normal 4 3" xfId="852" xr:uid="{00000000-0005-0000-0000-000080040000}"/>
    <cellStyle name="Normal 4 4" xfId="853" xr:uid="{00000000-0005-0000-0000-000081040000}"/>
    <cellStyle name="Normal 4 5" xfId="854" xr:uid="{00000000-0005-0000-0000-000082040000}"/>
    <cellStyle name="Normal 4 6" xfId="855" xr:uid="{00000000-0005-0000-0000-000083040000}"/>
    <cellStyle name="Normal 4 7" xfId="856" xr:uid="{00000000-0005-0000-0000-000084040000}"/>
    <cellStyle name="Normal 4 7 2" xfId="1928" xr:uid="{00000000-0005-0000-0000-000085040000}"/>
    <cellStyle name="Normal 4 7 3" xfId="1929" xr:uid="{00000000-0005-0000-0000-000086040000}"/>
    <cellStyle name="Normal 4 8" xfId="1927" xr:uid="{00000000-0005-0000-0000-000087040000}"/>
    <cellStyle name="Normal 4 9" xfId="1926" xr:uid="{00000000-0005-0000-0000-000088040000}"/>
    <cellStyle name="Normal 5" xfId="857" xr:uid="{00000000-0005-0000-0000-000089040000}"/>
    <cellStyle name="Normal 5 2" xfId="858" xr:uid="{00000000-0005-0000-0000-00008A040000}"/>
    <cellStyle name="Normal 5 2 2" xfId="859" xr:uid="{00000000-0005-0000-0000-00008B040000}"/>
    <cellStyle name="Normal 5 2 3" xfId="860" xr:uid="{00000000-0005-0000-0000-00008C040000}"/>
    <cellStyle name="Normal 5 3" xfId="861" xr:uid="{00000000-0005-0000-0000-00008D040000}"/>
    <cellStyle name="Normal 5 3 2" xfId="862" xr:uid="{00000000-0005-0000-0000-00008E040000}"/>
    <cellStyle name="Normal 5 3 3" xfId="863" xr:uid="{00000000-0005-0000-0000-00008F040000}"/>
    <cellStyle name="Normal 5 4" xfId="864" xr:uid="{00000000-0005-0000-0000-000090040000}"/>
    <cellStyle name="Normal 5 4 2" xfId="865" xr:uid="{00000000-0005-0000-0000-000091040000}"/>
    <cellStyle name="Normal 5 5" xfId="866" xr:uid="{00000000-0005-0000-0000-000092040000}"/>
    <cellStyle name="Normal 5 5 2" xfId="1925" xr:uid="{00000000-0005-0000-0000-000093040000}"/>
    <cellStyle name="Normal 52" xfId="867" xr:uid="{00000000-0005-0000-0000-000094040000}"/>
    <cellStyle name="Normal 6" xfId="868" xr:uid="{00000000-0005-0000-0000-000095040000}"/>
    <cellStyle name="Normal 6 2" xfId="869" xr:uid="{00000000-0005-0000-0000-000096040000}"/>
    <cellStyle name="Normal 6 2 2" xfId="870" xr:uid="{00000000-0005-0000-0000-000097040000}"/>
    <cellStyle name="Normal 6 2 3" xfId="871" xr:uid="{00000000-0005-0000-0000-000098040000}"/>
    <cellStyle name="Normal 7" xfId="872" xr:uid="{00000000-0005-0000-0000-000099040000}"/>
    <cellStyle name="Normal 7 2" xfId="873" xr:uid="{00000000-0005-0000-0000-00009A040000}"/>
    <cellStyle name="Normal 7 2 2" xfId="874" xr:uid="{00000000-0005-0000-0000-00009B040000}"/>
    <cellStyle name="Normal 7 2 3" xfId="875" xr:uid="{00000000-0005-0000-0000-00009C040000}"/>
    <cellStyle name="Normal 7 3" xfId="876" xr:uid="{00000000-0005-0000-0000-00009D040000}"/>
    <cellStyle name="Normal 7 4" xfId="877" xr:uid="{00000000-0005-0000-0000-00009E040000}"/>
    <cellStyle name="Normal 8" xfId="878" xr:uid="{00000000-0005-0000-0000-00009F040000}"/>
    <cellStyle name="Normal 8 13" xfId="1924" xr:uid="{00000000-0005-0000-0000-0000A0040000}"/>
    <cellStyle name="Normal 8 2" xfId="879" xr:uid="{00000000-0005-0000-0000-0000A1040000}"/>
    <cellStyle name="Normal 8 2 2" xfId="880" xr:uid="{00000000-0005-0000-0000-0000A2040000}"/>
    <cellStyle name="Normal 8 3" xfId="881" xr:uid="{00000000-0005-0000-0000-0000A3040000}"/>
    <cellStyle name="Normal 8 4" xfId="882" xr:uid="{00000000-0005-0000-0000-0000A4040000}"/>
    <cellStyle name="Normal 8 8" xfId="883" xr:uid="{00000000-0005-0000-0000-0000A5040000}"/>
    <cellStyle name="Normal 9" xfId="884" xr:uid="{00000000-0005-0000-0000-0000A6040000}"/>
    <cellStyle name="Normal 9 2" xfId="885" xr:uid="{00000000-0005-0000-0000-0000A7040000}"/>
    <cellStyle name="Normal_ SG&amp;A Bridge " xfId="886" xr:uid="{00000000-0005-0000-0000-0000A8040000}"/>
    <cellStyle name="Note" xfId="887" xr:uid="{00000000-0005-0000-0000-0000A9040000}"/>
    <cellStyle name="Note 2" xfId="888" xr:uid="{00000000-0005-0000-0000-0000AA040000}"/>
    <cellStyle name="Note 2 2" xfId="889" xr:uid="{00000000-0005-0000-0000-0000AB040000}"/>
    <cellStyle name="Note 2 3" xfId="890" xr:uid="{00000000-0005-0000-0000-0000AC040000}"/>
    <cellStyle name="Note 2 4" xfId="891" xr:uid="{00000000-0005-0000-0000-0000AD040000}"/>
    <cellStyle name="Note 2 5" xfId="892" xr:uid="{00000000-0005-0000-0000-0000AE040000}"/>
    <cellStyle name="Note 3" xfId="893" xr:uid="{00000000-0005-0000-0000-0000AF040000}"/>
    <cellStyle name="Note 3 2" xfId="894" xr:uid="{00000000-0005-0000-0000-0000B0040000}"/>
    <cellStyle name="Note 3 2 2" xfId="895" xr:uid="{00000000-0005-0000-0000-0000B1040000}"/>
    <cellStyle name="Note 3 3" xfId="896" xr:uid="{00000000-0005-0000-0000-0000B2040000}"/>
    <cellStyle name="Note 3 4" xfId="897" xr:uid="{00000000-0005-0000-0000-0000B3040000}"/>
    <cellStyle name="Note 3 5" xfId="898" xr:uid="{00000000-0005-0000-0000-0000B4040000}"/>
    <cellStyle name="Note 4" xfId="899" xr:uid="{00000000-0005-0000-0000-0000B5040000}"/>
    <cellStyle name="Note 4 2" xfId="900" xr:uid="{00000000-0005-0000-0000-0000B6040000}"/>
    <cellStyle name="Note 4 3" xfId="901" xr:uid="{00000000-0005-0000-0000-0000B7040000}"/>
    <cellStyle name="Note 5" xfId="902" xr:uid="{00000000-0005-0000-0000-0000B8040000}"/>
    <cellStyle name="Note 6" xfId="903" xr:uid="{00000000-0005-0000-0000-0000B9040000}"/>
    <cellStyle name="Note 7" xfId="904" xr:uid="{00000000-0005-0000-0000-0000BA040000}"/>
    <cellStyle name="Note 82 2 27" xfId="905" xr:uid="{00000000-0005-0000-0000-0000BB040000}"/>
    <cellStyle name="number-red" xfId="1923" xr:uid="{00000000-0005-0000-0000-0000BC040000}"/>
    <cellStyle name="Œ…‹æØ‚è [0.00]_laroux" xfId="906" xr:uid="{00000000-0005-0000-0000-0000BD040000}"/>
    <cellStyle name="Œ…‹æØ‚è_laroux" xfId="907" xr:uid="{00000000-0005-0000-0000-0000BE040000}"/>
    <cellStyle name="Output" xfId="908" xr:uid="{00000000-0005-0000-0000-0000BF040000}"/>
    <cellStyle name="Output 2" xfId="909" xr:uid="{00000000-0005-0000-0000-0000C0040000}"/>
    <cellStyle name="Output 2 2" xfId="1922" xr:uid="{00000000-0005-0000-0000-0000C1040000}"/>
    <cellStyle name="Output 3" xfId="910" xr:uid="{00000000-0005-0000-0000-0000C2040000}"/>
    <cellStyle name="Output 4" xfId="911" xr:uid="{00000000-0005-0000-0000-0000C3040000}"/>
    <cellStyle name="Percent" xfId="912" xr:uid="{00000000-0005-0000-0000-0000C4040000}"/>
    <cellStyle name="Percent [0]" xfId="913" xr:uid="{00000000-0005-0000-0000-0000C5040000}"/>
    <cellStyle name="Percent [0] 2" xfId="914" xr:uid="{00000000-0005-0000-0000-0000C6040000}"/>
    <cellStyle name="Percent [0] 3" xfId="1921" xr:uid="{00000000-0005-0000-0000-0000C7040000}"/>
    <cellStyle name="Percent [00]" xfId="915" xr:uid="{00000000-0005-0000-0000-0000C8040000}"/>
    <cellStyle name="Percent [00] 2" xfId="916" xr:uid="{00000000-0005-0000-0000-0000C9040000}"/>
    <cellStyle name="Percent [00] 3" xfId="1920" xr:uid="{00000000-0005-0000-0000-0000CA040000}"/>
    <cellStyle name="Percent [2]" xfId="917" xr:uid="{00000000-0005-0000-0000-0000CB040000}"/>
    <cellStyle name="Percent [2] 2" xfId="918" xr:uid="{00000000-0005-0000-0000-0000CC040000}"/>
    <cellStyle name="Percent [2] 3" xfId="919" xr:uid="{00000000-0005-0000-0000-0000CD040000}"/>
    <cellStyle name="Percent [2] 4" xfId="920" xr:uid="{00000000-0005-0000-0000-0000CE040000}"/>
    <cellStyle name="Percent [2] 5" xfId="921" xr:uid="{00000000-0005-0000-0000-0000CF040000}"/>
    <cellStyle name="Percent [2] 6" xfId="922" xr:uid="{00000000-0005-0000-0000-0000D0040000}"/>
    <cellStyle name="Percent 10" xfId="923" xr:uid="{00000000-0005-0000-0000-0000D1040000}"/>
    <cellStyle name="Percent 10 2" xfId="924" xr:uid="{00000000-0005-0000-0000-0000D2040000}"/>
    <cellStyle name="Percent 10 3" xfId="1918" xr:uid="{00000000-0005-0000-0000-0000D3040000}"/>
    <cellStyle name="Percent 10 4" xfId="1919" xr:uid="{00000000-0005-0000-0000-0000D4040000}"/>
    <cellStyle name="Percent 11" xfId="925" xr:uid="{00000000-0005-0000-0000-0000D5040000}"/>
    <cellStyle name="Percent 2" xfId="926" xr:uid="{00000000-0005-0000-0000-0000D6040000}"/>
    <cellStyle name="Percent 2 2" xfId="927" xr:uid="{00000000-0005-0000-0000-0000D7040000}"/>
    <cellStyle name="Percent 2 2 2" xfId="928" xr:uid="{00000000-0005-0000-0000-0000D8040000}"/>
    <cellStyle name="Percent 2 2 3" xfId="929" xr:uid="{00000000-0005-0000-0000-0000D9040000}"/>
    <cellStyle name="Percent 2 2 4" xfId="930" xr:uid="{00000000-0005-0000-0000-0000DA040000}"/>
    <cellStyle name="Percent 2 3" xfId="931" xr:uid="{00000000-0005-0000-0000-0000DB040000}"/>
    <cellStyle name="Percent 2 3 2" xfId="932" xr:uid="{00000000-0005-0000-0000-0000DC040000}"/>
    <cellStyle name="Percent 2 3 3" xfId="933" xr:uid="{00000000-0005-0000-0000-0000DD040000}"/>
    <cellStyle name="Percent 2 4" xfId="934" xr:uid="{00000000-0005-0000-0000-0000DE040000}"/>
    <cellStyle name="Percent 2 4 2" xfId="1917" xr:uid="{00000000-0005-0000-0000-0000DF040000}"/>
    <cellStyle name="Percent 2 5" xfId="935" xr:uid="{00000000-0005-0000-0000-0000E0040000}"/>
    <cellStyle name="Percent 2 5 2" xfId="1916" xr:uid="{00000000-0005-0000-0000-0000E1040000}"/>
    <cellStyle name="Percent 3" xfId="936" xr:uid="{00000000-0005-0000-0000-0000E2040000}"/>
    <cellStyle name="Percent 3 2" xfId="937" xr:uid="{00000000-0005-0000-0000-0000E3040000}"/>
    <cellStyle name="Percent 3 2 2" xfId="938" xr:uid="{00000000-0005-0000-0000-0000E4040000}"/>
    <cellStyle name="Percent 3 2 3" xfId="939" xr:uid="{00000000-0005-0000-0000-0000E5040000}"/>
    <cellStyle name="Percent 3 2 8" xfId="940" xr:uid="{00000000-0005-0000-0000-0000E6040000}"/>
    <cellStyle name="Percent 3 2 8 2" xfId="941" xr:uid="{00000000-0005-0000-0000-0000E7040000}"/>
    <cellStyle name="Percent 3 2 8 3" xfId="942" xr:uid="{00000000-0005-0000-0000-0000E8040000}"/>
    <cellStyle name="Percent 3 2 8 4" xfId="943" xr:uid="{00000000-0005-0000-0000-0000E9040000}"/>
    <cellStyle name="Percent 3 3" xfId="944" xr:uid="{00000000-0005-0000-0000-0000EA040000}"/>
    <cellStyle name="Percent 3 3 2" xfId="945" xr:uid="{00000000-0005-0000-0000-0000EB040000}"/>
    <cellStyle name="Percent 3 3 3" xfId="946" xr:uid="{00000000-0005-0000-0000-0000EC040000}"/>
    <cellStyle name="Percent 3 3 4" xfId="947" xr:uid="{00000000-0005-0000-0000-0000ED040000}"/>
    <cellStyle name="Percent 4" xfId="948" xr:uid="{00000000-0005-0000-0000-0000EE040000}"/>
    <cellStyle name="Percent 4 2" xfId="949" xr:uid="{00000000-0005-0000-0000-0000EF040000}"/>
    <cellStyle name="Percent 4 2 2" xfId="950" xr:uid="{00000000-0005-0000-0000-0000F0040000}"/>
    <cellStyle name="Percent 4 2 2 2" xfId="1913" xr:uid="{00000000-0005-0000-0000-0000F1040000}"/>
    <cellStyle name="Percent 4 2 3" xfId="951" xr:uid="{00000000-0005-0000-0000-0000F2040000}"/>
    <cellStyle name="Percent 4 2 4" xfId="1914" xr:uid="{00000000-0005-0000-0000-0000F3040000}"/>
    <cellStyle name="Percent 4 3" xfId="952" xr:uid="{00000000-0005-0000-0000-0000F4040000}"/>
    <cellStyle name="Percent 4 4" xfId="953" xr:uid="{00000000-0005-0000-0000-0000F5040000}"/>
    <cellStyle name="Percent 4 4 2" xfId="1912" xr:uid="{00000000-0005-0000-0000-0000F6040000}"/>
    <cellStyle name="Percent 4 5" xfId="954" xr:uid="{00000000-0005-0000-0000-0000F7040000}"/>
    <cellStyle name="Percent 4 6" xfId="1915" xr:uid="{00000000-0005-0000-0000-0000F8040000}"/>
    <cellStyle name="Percent 5" xfId="955" xr:uid="{00000000-0005-0000-0000-0000F9040000}"/>
    <cellStyle name="Percent 5 2" xfId="956" xr:uid="{00000000-0005-0000-0000-0000FA040000}"/>
    <cellStyle name="Percent 6" xfId="957" xr:uid="{00000000-0005-0000-0000-0000FB040000}"/>
    <cellStyle name="Percent 6 2" xfId="958" xr:uid="{00000000-0005-0000-0000-0000FC040000}"/>
    <cellStyle name="Percent 6 3" xfId="959" xr:uid="{00000000-0005-0000-0000-0000FD040000}"/>
    <cellStyle name="Percent 6 4" xfId="960" xr:uid="{00000000-0005-0000-0000-0000FE040000}"/>
    <cellStyle name="Percent 7" xfId="961" xr:uid="{00000000-0005-0000-0000-0000FF040000}"/>
    <cellStyle name="Percent 8" xfId="962" xr:uid="{00000000-0005-0000-0000-000000050000}"/>
    <cellStyle name="Percent 8 2" xfId="963" xr:uid="{00000000-0005-0000-0000-000001050000}"/>
    <cellStyle name="Percent 8 3" xfId="964" xr:uid="{00000000-0005-0000-0000-000002050000}"/>
    <cellStyle name="Percent 8 4" xfId="965" xr:uid="{00000000-0005-0000-0000-000003050000}"/>
    <cellStyle name="Percent 9" xfId="966" xr:uid="{00000000-0005-0000-0000-000004050000}"/>
    <cellStyle name="Percent 9 2" xfId="1911" xr:uid="{00000000-0005-0000-0000-000005050000}"/>
    <cellStyle name="Percent_#6 Temps &amp; Contractors" xfId="967" xr:uid="{00000000-0005-0000-0000-000006050000}"/>
    <cellStyle name="PrePop Currency (0)" xfId="968" xr:uid="{00000000-0005-0000-0000-000007050000}"/>
    <cellStyle name="PrePop Currency (0) 2" xfId="969" xr:uid="{00000000-0005-0000-0000-000008050000}"/>
    <cellStyle name="PrePop Currency (0) 3" xfId="1910" xr:uid="{00000000-0005-0000-0000-000009050000}"/>
    <cellStyle name="PrePop Currency (2)" xfId="970" xr:uid="{00000000-0005-0000-0000-00000A050000}"/>
    <cellStyle name="PrePop Currency (2) 2" xfId="971" xr:uid="{00000000-0005-0000-0000-00000B050000}"/>
    <cellStyle name="PrePop Currency (2) 3" xfId="1909" xr:uid="{00000000-0005-0000-0000-00000C050000}"/>
    <cellStyle name="PrePop Units (0)" xfId="972" xr:uid="{00000000-0005-0000-0000-00000D050000}"/>
    <cellStyle name="PrePop Units (0) 2" xfId="973" xr:uid="{00000000-0005-0000-0000-00000E050000}"/>
    <cellStyle name="PrePop Units (0) 3" xfId="1908" xr:uid="{00000000-0005-0000-0000-00000F050000}"/>
    <cellStyle name="PrePop Units (1)" xfId="974" xr:uid="{00000000-0005-0000-0000-000010050000}"/>
    <cellStyle name="PrePop Units (1) 2" xfId="975" xr:uid="{00000000-0005-0000-0000-000011050000}"/>
    <cellStyle name="PrePop Units (1) 3" xfId="1907" xr:uid="{00000000-0005-0000-0000-000012050000}"/>
    <cellStyle name="PrePop Units (2)" xfId="976" xr:uid="{00000000-0005-0000-0000-000013050000}"/>
    <cellStyle name="PrePop Units (2) 2" xfId="977" xr:uid="{00000000-0005-0000-0000-000014050000}"/>
    <cellStyle name="PrePop Units (2) 3" xfId="1906" xr:uid="{00000000-0005-0000-0000-000015050000}"/>
    <cellStyle name="Prices" xfId="1905" xr:uid="{00000000-0005-0000-0000-000016050000}"/>
    <cellStyle name="Procent_BINV" xfId="1904" xr:uid="{00000000-0005-0000-0000-000017050000}"/>
    <cellStyle name="Product" xfId="1903" xr:uid="{00000000-0005-0000-0000-000018050000}"/>
    <cellStyle name="Products" xfId="978" xr:uid="{00000000-0005-0000-0000-000019050000}"/>
    <cellStyle name="Regular Type" xfId="979" xr:uid="{00000000-0005-0000-0000-00001A050000}"/>
    <cellStyle name="Released" xfId="1902" xr:uid="{00000000-0005-0000-0000-00001B050000}"/>
    <cellStyle name="Released 2" xfId="1715" xr:uid="{00000000-0005-0000-0000-00001C050000}"/>
    <cellStyle name="RowLabel" xfId="980" xr:uid="{00000000-0005-0000-0000-00001D050000}"/>
    <cellStyle name="SAPBEXstdItem" xfId="981" xr:uid="{00000000-0005-0000-0000-00001E050000}"/>
    <cellStyle name="SAPBEXstdItem 2" xfId="982" xr:uid="{00000000-0005-0000-0000-00001F050000}"/>
    <cellStyle name="Sheet Title" xfId="983" xr:uid="{00000000-0005-0000-0000-000020050000}"/>
    <cellStyle name="Sheet Title 2" xfId="984" xr:uid="{00000000-0005-0000-0000-000021050000}"/>
    <cellStyle name="Small Heading" xfId="985" xr:uid="{00000000-0005-0000-0000-000022050000}"/>
    <cellStyle name="Standaard_BINV" xfId="1901" xr:uid="{00000000-0005-0000-0000-000023050000}"/>
    <cellStyle name="STANDARD" xfId="1900" xr:uid="{00000000-0005-0000-0000-000024050000}"/>
    <cellStyle name="STANDARD 2" xfId="1899" xr:uid="{00000000-0005-0000-0000-000025050000}"/>
    <cellStyle name="Standard_laroux" xfId="986" xr:uid="{00000000-0005-0000-0000-000026050000}"/>
    <cellStyle name="Style 1" xfId="987" xr:uid="{00000000-0005-0000-0000-000027050000}"/>
    <cellStyle name="Style 1 2" xfId="1897" xr:uid="{00000000-0005-0000-0000-000028050000}"/>
    <cellStyle name="Style 1 3" xfId="1898" xr:uid="{00000000-0005-0000-0000-000029050000}"/>
    <cellStyle name="subhead" xfId="988" xr:uid="{00000000-0005-0000-0000-00002A050000}"/>
    <cellStyle name="SubHeader" xfId="989" xr:uid="{00000000-0005-0000-0000-00002B050000}"/>
    <cellStyle name="Subheading" xfId="990" xr:uid="{00000000-0005-0000-0000-00002C050000}"/>
    <cellStyle name="Text Indent A" xfId="991" xr:uid="{00000000-0005-0000-0000-00002D050000}"/>
    <cellStyle name="Text Indent B" xfId="992" xr:uid="{00000000-0005-0000-0000-00002E050000}"/>
    <cellStyle name="Text Indent B 2" xfId="993" xr:uid="{00000000-0005-0000-0000-00002F050000}"/>
    <cellStyle name="Text Indent B 3" xfId="1896" xr:uid="{00000000-0005-0000-0000-000030050000}"/>
    <cellStyle name="Text Indent C" xfId="994" xr:uid="{00000000-0005-0000-0000-000031050000}"/>
    <cellStyle name="Text Indent C 2" xfId="995" xr:uid="{00000000-0005-0000-0000-000032050000}"/>
    <cellStyle name="Text Indent C 3" xfId="1895" xr:uid="{00000000-0005-0000-0000-000033050000}"/>
    <cellStyle name="Title" xfId="996" xr:uid="{00000000-0005-0000-0000-000034050000}"/>
    <cellStyle name="Title 2" xfId="997" xr:uid="{00000000-0005-0000-0000-000035050000}"/>
    <cellStyle name="Title 3" xfId="998" xr:uid="{00000000-0005-0000-0000-000036050000}"/>
    <cellStyle name="Title 4" xfId="999" xr:uid="{00000000-0005-0000-0000-000037050000}"/>
    <cellStyle name="Total" xfId="1000" xr:uid="{00000000-0005-0000-0000-000038050000}"/>
    <cellStyle name="Total 2" xfId="1001" xr:uid="{00000000-0005-0000-0000-000039050000}"/>
    <cellStyle name="Total 2 2" xfId="1002" xr:uid="{00000000-0005-0000-0000-00003A050000}"/>
    <cellStyle name="Total 2 2 2" xfId="1894" xr:uid="{00000000-0005-0000-0000-00003B050000}"/>
    <cellStyle name="Total 3" xfId="1003" xr:uid="{00000000-0005-0000-0000-00003C050000}"/>
    <cellStyle name="Total 3 2" xfId="1893" xr:uid="{00000000-0005-0000-0000-00003D050000}"/>
    <cellStyle name="Total 4" xfId="1004" xr:uid="{00000000-0005-0000-0000-00003E050000}"/>
    <cellStyle name="Total 5" xfId="1005" xr:uid="{00000000-0005-0000-0000-00003F050000}"/>
    <cellStyle name="Total 6" xfId="1006" xr:uid="{00000000-0005-0000-0000-000040050000}"/>
    <cellStyle name="USD" xfId="1007" xr:uid="{00000000-0005-0000-0000-000041050000}"/>
    <cellStyle name="Valuta [0]_BINV" xfId="1892" xr:uid="{00000000-0005-0000-0000-000042050000}"/>
    <cellStyle name="Valuta_BINV" xfId="1891" xr:uid="{00000000-0005-0000-0000-000043050000}"/>
    <cellStyle name="W?rung [0]_laroux" xfId="1008" xr:uid="{00000000-0005-0000-0000-000044050000}"/>
    <cellStyle name="W?rung_laroux" xfId="1009" xr:uid="{00000000-0005-0000-0000-000045050000}"/>
    <cellStyle name="Währung [0]_TRAHOURS" xfId="1010" xr:uid="{00000000-0005-0000-0000-000046050000}"/>
    <cellStyle name="Währung_TRAHOURS" xfId="1011" xr:uid="{00000000-0005-0000-0000-000047050000}"/>
    <cellStyle name="Warning Text" xfId="1012" xr:uid="{00000000-0005-0000-0000-000048050000}"/>
    <cellStyle name="Warning Text 2" xfId="1013" xr:uid="{00000000-0005-0000-0000-000049050000}"/>
    <cellStyle name="Warning Text 2 2" xfId="1890" xr:uid="{00000000-0005-0000-0000-00004A050000}"/>
    <cellStyle name="Warning Text 3" xfId="1014" xr:uid="{00000000-0005-0000-0000-00004B050000}"/>
    <cellStyle name="Warning Text 4" xfId="1015" xr:uid="{00000000-0005-0000-0000-00004C050000}"/>
    <cellStyle name="강조색1 2" xfId="1016" xr:uid="{00000000-0005-0000-0000-00004D050000}"/>
    <cellStyle name="강조색1 2 2" xfId="1017" xr:uid="{00000000-0005-0000-0000-00004E050000}"/>
    <cellStyle name="강조색1 2 2 2" xfId="1889" xr:uid="{00000000-0005-0000-0000-00004F050000}"/>
    <cellStyle name="강조색1 2 3" xfId="1663" xr:uid="{00000000-0005-0000-0000-000050050000}"/>
    <cellStyle name="강조색1 3" xfId="1018" xr:uid="{00000000-0005-0000-0000-000051050000}"/>
    <cellStyle name="강조색1 3 2" xfId="1888" xr:uid="{00000000-0005-0000-0000-000052050000}"/>
    <cellStyle name="강조색1 4" xfId="1019" xr:uid="{00000000-0005-0000-0000-000053050000}"/>
    <cellStyle name="강조색1 4 2" xfId="1887" xr:uid="{00000000-0005-0000-0000-000054050000}"/>
    <cellStyle name="강조색2 2" xfId="1020" xr:uid="{00000000-0005-0000-0000-000055050000}"/>
    <cellStyle name="강조색2 2 2" xfId="1021" xr:uid="{00000000-0005-0000-0000-000056050000}"/>
    <cellStyle name="강조색2 2 2 2" xfId="1886" xr:uid="{00000000-0005-0000-0000-000057050000}"/>
    <cellStyle name="강조색2 2 3" xfId="1664" xr:uid="{00000000-0005-0000-0000-000058050000}"/>
    <cellStyle name="강조색2 3" xfId="1022" xr:uid="{00000000-0005-0000-0000-000059050000}"/>
    <cellStyle name="강조색2 3 2" xfId="1885" xr:uid="{00000000-0005-0000-0000-00005A050000}"/>
    <cellStyle name="강조색2 4" xfId="1023" xr:uid="{00000000-0005-0000-0000-00005B050000}"/>
    <cellStyle name="강조색2 4 2" xfId="1884" xr:uid="{00000000-0005-0000-0000-00005C050000}"/>
    <cellStyle name="강조색3 2" xfId="1024" xr:uid="{00000000-0005-0000-0000-00005D050000}"/>
    <cellStyle name="강조색3 2 2" xfId="1025" xr:uid="{00000000-0005-0000-0000-00005E050000}"/>
    <cellStyle name="강조색3 2 2 2" xfId="1883" xr:uid="{00000000-0005-0000-0000-00005F050000}"/>
    <cellStyle name="강조색3 2 3" xfId="1665" xr:uid="{00000000-0005-0000-0000-000060050000}"/>
    <cellStyle name="강조색3 3" xfId="1026" xr:uid="{00000000-0005-0000-0000-000061050000}"/>
    <cellStyle name="강조색3 3 2" xfId="1882" xr:uid="{00000000-0005-0000-0000-000062050000}"/>
    <cellStyle name="강조색3 4" xfId="1027" xr:uid="{00000000-0005-0000-0000-000063050000}"/>
    <cellStyle name="강조색3 4 2" xfId="1881" xr:uid="{00000000-0005-0000-0000-000064050000}"/>
    <cellStyle name="강조색4 2" xfId="1028" xr:uid="{00000000-0005-0000-0000-000065050000}"/>
    <cellStyle name="강조색4 2 2" xfId="1029" xr:uid="{00000000-0005-0000-0000-000066050000}"/>
    <cellStyle name="강조색4 2 2 2" xfId="1880" xr:uid="{00000000-0005-0000-0000-000067050000}"/>
    <cellStyle name="강조색4 2 3" xfId="1666" xr:uid="{00000000-0005-0000-0000-000068050000}"/>
    <cellStyle name="강조색4 3" xfId="1030" xr:uid="{00000000-0005-0000-0000-000069050000}"/>
    <cellStyle name="강조색4 3 2" xfId="1879" xr:uid="{00000000-0005-0000-0000-00006A050000}"/>
    <cellStyle name="강조색4 4" xfId="1031" xr:uid="{00000000-0005-0000-0000-00006B050000}"/>
    <cellStyle name="강조색4 4 2" xfId="1878" xr:uid="{00000000-0005-0000-0000-00006C050000}"/>
    <cellStyle name="강조색5 2" xfId="1032" xr:uid="{00000000-0005-0000-0000-00006D050000}"/>
    <cellStyle name="강조색5 2 2" xfId="1033" xr:uid="{00000000-0005-0000-0000-00006E050000}"/>
    <cellStyle name="강조색5 2 2 2" xfId="1877" xr:uid="{00000000-0005-0000-0000-00006F050000}"/>
    <cellStyle name="강조색5 3" xfId="1034" xr:uid="{00000000-0005-0000-0000-000070050000}"/>
    <cellStyle name="강조색5 4" xfId="1035" xr:uid="{00000000-0005-0000-0000-000071050000}"/>
    <cellStyle name="강조색6 2" xfId="1036" xr:uid="{00000000-0005-0000-0000-000072050000}"/>
    <cellStyle name="강조색6 2 2" xfId="1037" xr:uid="{00000000-0005-0000-0000-000073050000}"/>
    <cellStyle name="강조색6 2 2 2" xfId="1876" xr:uid="{00000000-0005-0000-0000-000074050000}"/>
    <cellStyle name="강조색6 2 3" xfId="1667" xr:uid="{00000000-0005-0000-0000-000075050000}"/>
    <cellStyle name="강조색6 3" xfId="1038" xr:uid="{00000000-0005-0000-0000-000076050000}"/>
    <cellStyle name="강조색6 3 2" xfId="1875" xr:uid="{00000000-0005-0000-0000-000077050000}"/>
    <cellStyle name="강조색6 4" xfId="1039" xr:uid="{00000000-0005-0000-0000-000078050000}"/>
    <cellStyle name="강조색6 4 2" xfId="1874" xr:uid="{00000000-0005-0000-0000-000079050000}"/>
    <cellStyle name="경고문 2" xfId="1040" xr:uid="{00000000-0005-0000-0000-00007A050000}"/>
    <cellStyle name="경고문 2 2" xfId="1041" xr:uid="{00000000-0005-0000-0000-00007B050000}"/>
    <cellStyle name="경고문 2 2 2" xfId="1873" xr:uid="{00000000-0005-0000-0000-00007C050000}"/>
    <cellStyle name="경고문 3" xfId="1042" xr:uid="{00000000-0005-0000-0000-00007D050000}"/>
    <cellStyle name="경고문 4" xfId="1043" xr:uid="{00000000-0005-0000-0000-00007E050000}"/>
    <cellStyle name="계산 2" xfId="1044" xr:uid="{00000000-0005-0000-0000-00007F050000}"/>
    <cellStyle name="계산 2 2" xfId="1045" xr:uid="{00000000-0005-0000-0000-000080050000}"/>
    <cellStyle name="계산 2 2 2" xfId="1713" xr:uid="{00000000-0005-0000-0000-000081050000}"/>
    <cellStyle name="계산 2 2 3" xfId="1872" xr:uid="{00000000-0005-0000-0000-000082050000}"/>
    <cellStyle name="계산 2 3" xfId="1668" xr:uid="{00000000-0005-0000-0000-000083050000}"/>
    <cellStyle name="계산 2 3 2" xfId="1714" xr:uid="{00000000-0005-0000-0000-000084050000}"/>
    <cellStyle name="계산 3" xfId="1046" xr:uid="{00000000-0005-0000-0000-000085050000}"/>
    <cellStyle name="계산 3 2" xfId="1712" xr:uid="{00000000-0005-0000-0000-000086050000}"/>
    <cellStyle name="계산 3 3" xfId="1871" xr:uid="{00000000-0005-0000-0000-000087050000}"/>
    <cellStyle name="계산 4" xfId="1047" xr:uid="{00000000-0005-0000-0000-000088050000}"/>
    <cellStyle name="계산 4 2" xfId="1711" xr:uid="{00000000-0005-0000-0000-000089050000}"/>
    <cellStyle name="계산 4 3" xfId="1870" xr:uid="{00000000-0005-0000-0000-00008A050000}"/>
    <cellStyle name="나쁨 2" xfId="1048" xr:uid="{00000000-0005-0000-0000-00008B050000}"/>
    <cellStyle name="나쁨 2 2" xfId="1049" xr:uid="{00000000-0005-0000-0000-00008C050000}"/>
    <cellStyle name="나쁨 2 2 2" xfId="1869" xr:uid="{00000000-0005-0000-0000-00008D050000}"/>
    <cellStyle name="나쁨 2 3" xfId="1669" xr:uid="{00000000-0005-0000-0000-00008E050000}"/>
    <cellStyle name="나쁨 3" xfId="1050" xr:uid="{00000000-0005-0000-0000-00008F050000}"/>
    <cellStyle name="나쁨 3 2" xfId="1868" xr:uid="{00000000-0005-0000-0000-000090050000}"/>
    <cellStyle name="나쁨 4" xfId="1051" xr:uid="{00000000-0005-0000-0000-000091050000}"/>
    <cellStyle name="나쁨 4 2" xfId="1867" xr:uid="{00000000-0005-0000-0000-000092050000}"/>
    <cellStyle name="똿뗦먛귟 [0.00]_laroux" xfId="1052" xr:uid="{00000000-0005-0000-0000-000093050000}"/>
    <cellStyle name="똿뗦먛귟_laroux" xfId="1053" xr:uid="{00000000-0005-0000-0000-000094050000}"/>
    <cellStyle name="메모 2" xfId="1054" xr:uid="{00000000-0005-0000-0000-000095050000}"/>
    <cellStyle name="메모 2 2" xfId="1055" xr:uid="{00000000-0005-0000-0000-000096050000}"/>
    <cellStyle name="메모 2 3" xfId="1670" xr:uid="{00000000-0005-0000-0000-000097050000}"/>
    <cellStyle name="메모 3" xfId="1056" xr:uid="{00000000-0005-0000-0000-000098050000}"/>
    <cellStyle name="메모 3 2" xfId="1866" xr:uid="{00000000-0005-0000-0000-000099050000}"/>
    <cellStyle name="메모 4" xfId="1057" xr:uid="{00000000-0005-0000-0000-00009A050000}"/>
    <cellStyle name="메모 5" xfId="1058" xr:uid="{00000000-0005-0000-0000-00009B050000}"/>
    <cellStyle name="메모 6" xfId="1059" xr:uid="{00000000-0005-0000-0000-00009C050000}"/>
    <cellStyle name="메모 7" xfId="1060" xr:uid="{00000000-0005-0000-0000-00009D050000}"/>
    <cellStyle name="메모 8" xfId="1645" xr:uid="{00000000-0005-0000-0000-00009E050000}"/>
    <cellStyle name="믅됞 [0.00]_laroux" xfId="1061" xr:uid="{00000000-0005-0000-0000-00009F050000}"/>
    <cellStyle name="믅됞_laroux" xfId="1062" xr:uid="{00000000-0005-0000-0000-0000A0050000}"/>
    <cellStyle name="백분율" xfId="1063" builtinId="5" hidden="1"/>
    <cellStyle name="백분율 10" xfId="1064" xr:uid="{00000000-0005-0000-0000-0000A2050000}"/>
    <cellStyle name="백분율 2" xfId="1065" xr:uid="{00000000-0005-0000-0000-0000A3050000}"/>
    <cellStyle name="백분율 2 10" xfId="1066" xr:uid="{00000000-0005-0000-0000-0000A4050000}"/>
    <cellStyle name="백분율 2 10 2" xfId="1067" xr:uid="{00000000-0005-0000-0000-0000A5050000}"/>
    <cellStyle name="백분율 2 11" xfId="1068" xr:uid="{00000000-0005-0000-0000-0000A6050000}"/>
    <cellStyle name="백분율 2 12" xfId="1069" xr:uid="{00000000-0005-0000-0000-0000A7050000}"/>
    <cellStyle name="백분율 2 13" xfId="1070" xr:uid="{00000000-0005-0000-0000-0000A8050000}"/>
    <cellStyle name="백분율 2 14" xfId="1071" xr:uid="{00000000-0005-0000-0000-0000A9050000}"/>
    <cellStyle name="백분율 2 15" xfId="1072" xr:uid="{00000000-0005-0000-0000-0000AA050000}"/>
    <cellStyle name="백분율 2 16" xfId="1073" xr:uid="{00000000-0005-0000-0000-0000AB050000}"/>
    <cellStyle name="백분율 2 17" xfId="1074" xr:uid="{00000000-0005-0000-0000-0000AC050000}"/>
    <cellStyle name="백분율 2 18" xfId="1075" xr:uid="{00000000-0005-0000-0000-0000AD050000}"/>
    <cellStyle name="백분율 2 19" xfId="1076" xr:uid="{00000000-0005-0000-0000-0000AE050000}"/>
    <cellStyle name="백분율 2 2" xfId="1077" xr:uid="{00000000-0005-0000-0000-0000AF050000}"/>
    <cellStyle name="백분율 2 2 2" xfId="1078" xr:uid="{00000000-0005-0000-0000-0000B0050000}"/>
    <cellStyle name="백분율 2 2 2 2" xfId="1079" xr:uid="{00000000-0005-0000-0000-0000B1050000}"/>
    <cellStyle name="백분율 2 2 2 3" xfId="1080" xr:uid="{00000000-0005-0000-0000-0000B2050000}"/>
    <cellStyle name="백분율 2 2 2 4" xfId="1865" xr:uid="{00000000-0005-0000-0000-0000B3050000}"/>
    <cellStyle name="백분율 2 2 3" xfId="1081" xr:uid="{00000000-0005-0000-0000-0000B4050000}"/>
    <cellStyle name="백분율 2 2 4" xfId="1082" xr:uid="{00000000-0005-0000-0000-0000B5050000}"/>
    <cellStyle name="백분율 2 2 5" xfId="1671" xr:uid="{00000000-0005-0000-0000-0000B6050000}"/>
    <cellStyle name="백분율 2 20" xfId="1083" xr:uid="{00000000-0005-0000-0000-0000B7050000}"/>
    <cellStyle name="백분율 2 21" xfId="1084" xr:uid="{00000000-0005-0000-0000-0000B8050000}"/>
    <cellStyle name="백분율 2 22" xfId="1085" xr:uid="{00000000-0005-0000-0000-0000B9050000}"/>
    <cellStyle name="백분율 2 23" xfId="1086" xr:uid="{00000000-0005-0000-0000-0000BA050000}"/>
    <cellStyle name="백분율 2 24" xfId="1087" xr:uid="{00000000-0005-0000-0000-0000BB050000}"/>
    <cellStyle name="백분율 2 25" xfId="1088" xr:uid="{00000000-0005-0000-0000-0000BC050000}"/>
    <cellStyle name="백분율 2 26" xfId="1089" xr:uid="{00000000-0005-0000-0000-0000BD050000}"/>
    <cellStyle name="백분율 2 27" xfId="1090" xr:uid="{00000000-0005-0000-0000-0000BE050000}"/>
    <cellStyle name="백분율 2 28" xfId="1091" xr:uid="{00000000-0005-0000-0000-0000BF050000}"/>
    <cellStyle name="백분율 2 29" xfId="1092" xr:uid="{00000000-0005-0000-0000-0000C0050000}"/>
    <cellStyle name="백분율 2 3" xfId="1093" xr:uid="{00000000-0005-0000-0000-0000C1050000}"/>
    <cellStyle name="백분율 2 3 2" xfId="1094" xr:uid="{00000000-0005-0000-0000-0000C2050000}"/>
    <cellStyle name="백분율 2 3 3" xfId="1095" xr:uid="{00000000-0005-0000-0000-0000C3050000}"/>
    <cellStyle name="백분율 2 3 4" xfId="1096" xr:uid="{00000000-0005-0000-0000-0000C4050000}"/>
    <cellStyle name="백분율 2 30" xfId="1097" xr:uid="{00000000-0005-0000-0000-0000C5050000}"/>
    <cellStyle name="백분율 2 4" xfId="1098" xr:uid="{00000000-0005-0000-0000-0000C6050000}"/>
    <cellStyle name="백분율 2 4 2" xfId="1099" xr:uid="{00000000-0005-0000-0000-0000C7050000}"/>
    <cellStyle name="백분율 2 4 3" xfId="1100" xr:uid="{00000000-0005-0000-0000-0000C8050000}"/>
    <cellStyle name="백분율 2 4 4" xfId="1864" xr:uid="{00000000-0005-0000-0000-0000C9050000}"/>
    <cellStyle name="백분율 2 5" xfId="1101" xr:uid="{00000000-0005-0000-0000-0000CA050000}"/>
    <cellStyle name="백분율 2 5 2" xfId="1102" xr:uid="{00000000-0005-0000-0000-0000CB050000}"/>
    <cellStyle name="백분율 2 5 3" xfId="1863" xr:uid="{00000000-0005-0000-0000-0000CC050000}"/>
    <cellStyle name="백분율 2 6" xfId="1103" xr:uid="{00000000-0005-0000-0000-0000CD050000}"/>
    <cellStyle name="백분율 2 7" xfId="1104" xr:uid="{00000000-0005-0000-0000-0000CE050000}"/>
    <cellStyle name="백분율 2 8" xfId="1105" xr:uid="{00000000-0005-0000-0000-0000CF050000}"/>
    <cellStyle name="백분율 2 9" xfId="1106" xr:uid="{00000000-0005-0000-0000-0000D0050000}"/>
    <cellStyle name="백분율 3" xfId="1107" xr:uid="{00000000-0005-0000-0000-0000D1050000}"/>
    <cellStyle name="백분율 3 10" xfId="1108" xr:uid="{00000000-0005-0000-0000-0000D2050000}"/>
    <cellStyle name="백분율 3 2" xfId="1109" xr:uid="{00000000-0005-0000-0000-0000D3050000}"/>
    <cellStyle name="백분율 3 2 2" xfId="1110" xr:uid="{00000000-0005-0000-0000-0000D4050000}"/>
    <cellStyle name="백분율 3 2 3" xfId="1111" xr:uid="{00000000-0005-0000-0000-0000D5050000}"/>
    <cellStyle name="백분율 3 2 4" xfId="1112" xr:uid="{00000000-0005-0000-0000-0000D6050000}"/>
    <cellStyle name="백분율 3 3" xfId="1113" xr:uid="{00000000-0005-0000-0000-0000D7050000}"/>
    <cellStyle name="백분율 3 3 2" xfId="1114" xr:uid="{00000000-0005-0000-0000-0000D8050000}"/>
    <cellStyle name="백분율 3 3 3" xfId="1115" xr:uid="{00000000-0005-0000-0000-0000D9050000}"/>
    <cellStyle name="백분율 3 3 4" xfId="1862" xr:uid="{00000000-0005-0000-0000-0000DA050000}"/>
    <cellStyle name="백분율 3 4" xfId="1116" xr:uid="{00000000-0005-0000-0000-0000DB050000}"/>
    <cellStyle name="백분율 3 4 2" xfId="1117" xr:uid="{00000000-0005-0000-0000-0000DC050000}"/>
    <cellStyle name="백분율 3 4 3" xfId="1861" xr:uid="{00000000-0005-0000-0000-0000DD050000}"/>
    <cellStyle name="백분율 3 5" xfId="1118" xr:uid="{00000000-0005-0000-0000-0000DE050000}"/>
    <cellStyle name="백분율 3 5 2" xfId="1860" xr:uid="{00000000-0005-0000-0000-0000DF050000}"/>
    <cellStyle name="백분율 3 6" xfId="1119" xr:uid="{00000000-0005-0000-0000-0000E0050000}"/>
    <cellStyle name="백분율 3 6 2" xfId="1859" xr:uid="{00000000-0005-0000-0000-0000E1050000}"/>
    <cellStyle name="백분율 3 7" xfId="1120" xr:uid="{00000000-0005-0000-0000-0000E2050000}"/>
    <cellStyle name="백분율 3 8" xfId="1121" xr:uid="{00000000-0005-0000-0000-0000E3050000}"/>
    <cellStyle name="백분율 3 9" xfId="1122" xr:uid="{00000000-0005-0000-0000-0000E4050000}"/>
    <cellStyle name="백분율 4" xfId="1123" xr:uid="{00000000-0005-0000-0000-0000E5050000}"/>
    <cellStyle name="백분율 4 2" xfId="1124" xr:uid="{00000000-0005-0000-0000-0000E6050000}"/>
    <cellStyle name="백분율 4 2 2" xfId="1125" xr:uid="{00000000-0005-0000-0000-0000E7050000}"/>
    <cellStyle name="백분율 4 3" xfId="1126" xr:uid="{00000000-0005-0000-0000-0000E8050000}"/>
    <cellStyle name="백분율 4 4" xfId="1127" xr:uid="{00000000-0005-0000-0000-0000E9050000}"/>
    <cellStyle name="백분율 4 5" xfId="1128" xr:uid="{00000000-0005-0000-0000-0000EA050000}"/>
    <cellStyle name="백분율 5" xfId="1129" xr:uid="{00000000-0005-0000-0000-0000EB050000}"/>
    <cellStyle name="백분율 5 2" xfId="1130" xr:uid="{00000000-0005-0000-0000-0000EC050000}"/>
    <cellStyle name="백분율 5 2 2" xfId="1858" xr:uid="{00000000-0005-0000-0000-0000ED050000}"/>
    <cellStyle name="백분율 5 3" xfId="1131" xr:uid="{00000000-0005-0000-0000-0000EE050000}"/>
    <cellStyle name="백분율 5 3 2" xfId="1857" xr:uid="{00000000-0005-0000-0000-0000EF050000}"/>
    <cellStyle name="백분율 5 4" xfId="1132" xr:uid="{00000000-0005-0000-0000-0000F0050000}"/>
    <cellStyle name="백분율 5 5" xfId="1619" xr:uid="{00000000-0005-0000-0000-0000F1050000}"/>
    <cellStyle name="백분율 6" xfId="1133" xr:uid="{00000000-0005-0000-0000-0000F2050000}"/>
    <cellStyle name="백분율 6 2" xfId="1134" xr:uid="{00000000-0005-0000-0000-0000F3050000}"/>
    <cellStyle name="백분율 6 2 2" xfId="1856" xr:uid="{00000000-0005-0000-0000-0000F4050000}"/>
    <cellStyle name="백분율 6 3" xfId="1135" xr:uid="{00000000-0005-0000-0000-0000F5050000}"/>
    <cellStyle name="백분율 6 4" xfId="1633" xr:uid="{00000000-0005-0000-0000-0000F6050000}"/>
    <cellStyle name="백분율 7" xfId="1136" xr:uid="{00000000-0005-0000-0000-0000F7050000}"/>
    <cellStyle name="백분율 7 2" xfId="1137" xr:uid="{00000000-0005-0000-0000-0000F8050000}"/>
    <cellStyle name="백분율 7 3" xfId="1138" xr:uid="{00000000-0005-0000-0000-0000F9050000}"/>
    <cellStyle name="백분율 8" xfId="1139" xr:uid="{00000000-0005-0000-0000-0000FA050000}"/>
    <cellStyle name="백분율 8 2" xfId="1140" xr:uid="{00000000-0005-0000-0000-0000FB050000}"/>
    <cellStyle name="백분율 8 2 2" xfId="1855" xr:uid="{00000000-0005-0000-0000-0000FC050000}"/>
    <cellStyle name="백분율 8 3" xfId="1141" xr:uid="{00000000-0005-0000-0000-0000FD050000}"/>
    <cellStyle name="백분율 9" xfId="1627" xr:uid="{00000000-0005-0000-0000-0000FE050000}"/>
    <cellStyle name="백분율 9 2" xfId="1854" xr:uid="{00000000-0005-0000-0000-0000FF050000}"/>
    <cellStyle name="보통 2" xfId="1142" xr:uid="{00000000-0005-0000-0000-000000060000}"/>
    <cellStyle name="보통 2 2" xfId="1143" xr:uid="{00000000-0005-0000-0000-000001060000}"/>
    <cellStyle name="보통 2 2 2" xfId="1853" xr:uid="{00000000-0005-0000-0000-000002060000}"/>
    <cellStyle name="보통 2 3" xfId="1672" xr:uid="{00000000-0005-0000-0000-000003060000}"/>
    <cellStyle name="보통 3" xfId="1144" xr:uid="{00000000-0005-0000-0000-000004060000}"/>
    <cellStyle name="보통 3 2" xfId="1852" xr:uid="{00000000-0005-0000-0000-000005060000}"/>
    <cellStyle name="보통 4" xfId="1145" xr:uid="{00000000-0005-0000-0000-000006060000}"/>
    <cellStyle name="보통 4 2" xfId="1851" xr:uid="{00000000-0005-0000-0000-000007060000}"/>
    <cellStyle name="뷭?_BOOKSHIP" xfId="1146" xr:uid="{00000000-0005-0000-0000-000008060000}"/>
    <cellStyle name="常规_OPTION_9910" xfId="1147" xr:uid="{00000000-0005-0000-0000-000009060000}"/>
    <cellStyle name="설명 텍스트 2" xfId="1148" xr:uid="{00000000-0005-0000-0000-00000A060000}"/>
    <cellStyle name="설명 텍스트 2 2" xfId="1149" xr:uid="{00000000-0005-0000-0000-00000B060000}"/>
    <cellStyle name="설명 텍스트 2 2 2" xfId="1850" xr:uid="{00000000-0005-0000-0000-00000C060000}"/>
    <cellStyle name="설명 텍스트 3" xfId="1150" xr:uid="{00000000-0005-0000-0000-00000D060000}"/>
    <cellStyle name="설명 텍스트 4" xfId="1151" xr:uid="{00000000-0005-0000-0000-00000E060000}"/>
    <cellStyle name="셀 확인 2" xfId="1152" xr:uid="{00000000-0005-0000-0000-00000F060000}"/>
    <cellStyle name="셀 확인 2 2" xfId="1153" xr:uid="{00000000-0005-0000-0000-000010060000}"/>
    <cellStyle name="셀 확인 2 2 2" xfId="1849" xr:uid="{00000000-0005-0000-0000-000011060000}"/>
    <cellStyle name="셀 확인 3" xfId="1154" xr:uid="{00000000-0005-0000-0000-000012060000}"/>
    <cellStyle name="셀 확인 4" xfId="1155" xr:uid="{00000000-0005-0000-0000-000013060000}"/>
    <cellStyle name="쉼표" xfId="1703" builtinId="3" hidden="1"/>
    <cellStyle name="쉼표 [0]" xfId="1156" builtinId="6"/>
    <cellStyle name="쉼표 [0] 10" xfId="1157" xr:uid="{00000000-0005-0000-0000-000016060000}"/>
    <cellStyle name="쉼표 [0] 10 2" xfId="1848" xr:uid="{00000000-0005-0000-0000-000017060000}"/>
    <cellStyle name="쉼표 [0] 11" xfId="1626" xr:uid="{00000000-0005-0000-0000-000018060000}"/>
    <cellStyle name="쉼표 [0] 11 2" xfId="1847" xr:uid="{00000000-0005-0000-0000-000019060000}"/>
    <cellStyle name="쉼표 [0] 12" xfId="1158" xr:uid="{00000000-0005-0000-0000-00001A060000}"/>
    <cellStyle name="쉼표 [0] 12 2" xfId="1846" xr:uid="{00000000-0005-0000-0000-00001B060000}"/>
    <cellStyle name="쉼표 [0] 13" xfId="1845" xr:uid="{00000000-0005-0000-0000-00001C060000}"/>
    <cellStyle name="쉼표 [0] 14" xfId="1844" xr:uid="{00000000-0005-0000-0000-00001D060000}"/>
    <cellStyle name="쉼표 [0] 15" xfId="1843" xr:uid="{00000000-0005-0000-0000-00001E060000}"/>
    <cellStyle name="쉼표 [0] 16" xfId="2204" xr:uid="{00000000-0005-0000-0000-00001F060000}"/>
    <cellStyle name="쉼표 [0] 2" xfId="1159" xr:uid="{00000000-0005-0000-0000-000020060000}"/>
    <cellStyle name="쉼표 [0] 2 2" xfId="1160" xr:uid="{00000000-0005-0000-0000-000021060000}"/>
    <cellStyle name="쉼표 [0] 2 2 2" xfId="1161" xr:uid="{00000000-0005-0000-0000-000022060000}"/>
    <cellStyle name="쉼표 [0] 2 2 2 2" xfId="1162" xr:uid="{00000000-0005-0000-0000-000023060000}"/>
    <cellStyle name="쉼표 [0] 2 2 2 2 2" xfId="1840" xr:uid="{00000000-0005-0000-0000-000024060000}"/>
    <cellStyle name="쉼표 [0] 2 2 2 2 3" xfId="1841" xr:uid="{00000000-0005-0000-0000-000025060000}"/>
    <cellStyle name="쉼표 [0] 2 2 2 3" xfId="1163" xr:uid="{00000000-0005-0000-0000-000026060000}"/>
    <cellStyle name="쉼표 [0] 2 2 2 4" xfId="1164" xr:uid="{00000000-0005-0000-0000-000027060000}"/>
    <cellStyle name="쉼표 [0] 2 2 2 5" xfId="1165" xr:uid="{00000000-0005-0000-0000-000028060000}"/>
    <cellStyle name="쉼표 [0] 2 2 2 6" xfId="1166" xr:uid="{00000000-0005-0000-0000-000029060000}"/>
    <cellStyle name="쉼표 [0] 2 2 2 7" xfId="1167" xr:uid="{00000000-0005-0000-0000-00002A060000}"/>
    <cellStyle name="쉼표 [0] 2 2 3" xfId="1168" xr:uid="{00000000-0005-0000-0000-00002B060000}"/>
    <cellStyle name="쉼표 [0] 2 2 3 2" xfId="1839" xr:uid="{00000000-0005-0000-0000-00002C060000}"/>
    <cellStyle name="쉼표 [0] 2 2 4" xfId="1169" xr:uid="{00000000-0005-0000-0000-00002D060000}"/>
    <cellStyle name="쉼표 [0] 2 2 4 2" xfId="1170" xr:uid="{00000000-0005-0000-0000-00002E060000}"/>
    <cellStyle name="쉼표 [0] 2 2 4 3" xfId="1171" xr:uid="{00000000-0005-0000-0000-00002F060000}"/>
    <cellStyle name="쉼표 [0] 2 2 4 4" xfId="1172" xr:uid="{00000000-0005-0000-0000-000030060000}"/>
    <cellStyle name="쉼표 [0] 2 2 42" xfId="1173" xr:uid="{00000000-0005-0000-0000-000031060000}"/>
    <cellStyle name="쉼표 [0] 2 2 5" xfId="1174" xr:uid="{00000000-0005-0000-0000-000032060000}"/>
    <cellStyle name="쉼표 [0] 2 2 5 2" xfId="1838" xr:uid="{00000000-0005-0000-0000-000033060000}"/>
    <cellStyle name="쉼표 [0] 2 2 6" xfId="1175" xr:uid="{00000000-0005-0000-0000-000034060000}"/>
    <cellStyle name="쉼표 [0] 2 3" xfId="1176" xr:uid="{00000000-0005-0000-0000-000035060000}"/>
    <cellStyle name="쉼표 [0] 2 3 2" xfId="1177" xr:uid="{00000000-0005-0000-0000-000036060000}"/>
    <cellStyle name="쉼표 [0] 2 3 2 2" xfId="1178" xr:uid="{00000000-0005-0000-0000-000037060000}"/>
    <cellStyle name="쉼표 [0] 2 3 2 3" xfId="1837" xr:uid="{00000000-0005-0000-0000-000038060000}"/>
    <cellStyle name="쉼표 [0] 2 3 3" xfId="1179" xr:uid="{00000000-0005-0000-0000-000039060000}"/>
    <cellStyle name="쉼표 [0] 2 3 3 2" xfId="1835" xr:uid="{00000000-0005-0000-0000-00003A060000}"/>
    <cellStyle name="쉼표 [0] 2 3 3 3" xfId="1836" xr:uid="{00000000-0005-0000-0000-00003B060000}"/>
    <cellStyle name="쉼표 [0] 2 3 4" xfId="1180" xr:uid="{00000000-0005-0000-0000-00003C060000}"/>
    <cellStyle name="쉼표 [0] 2 3 4 2" xfId="1181" xr:uid="{00000000-0005-0000-0000-00003D060000}"/>
    <cellStyle name="쉼표 [0] 2 3 5" xfId="1182" xr:uid="{00000000-0005-0000-0000-00003E060000}"/>
    <cellStyle name="쉼표 [0] 2 3 5 2" xfId="1183" xr:uid="{00000000-0005-0000-0000-00003F060000}"/>
    <cellStyle name="쉼표 [0] 2 3 6" xfId="1184" xr:uid="{00000000-0005-0000-0000-000040060000}"/>
    <cellStyle name="쉼표 [0] 2 3 7" xfId="1185" xr:uid="{00000000-0005-0000-0000-000041060000}"/>
    <cellStyle name="쉼표 [0] 2 3 8" xfId="1621" xr:uid="{00000000-0005-0000-0000-000042060000}"/>
    <cellStyle name="쉼표 [0] 2 4" xfId="1186" xr:uid="{00000000-0005-0000-0000-000043060000}"/>
    <cellStyle name="쉼표 [0] 2 4 2" xfId="1187" xr:uid="{00000000-0005-0000-0000-000044060000}"/>
    <cellStyle name="쉼표 [0] 2 4 2 2" xfId="1832" xr:uid="{00000000-0005-0000-0000-000045060000}"/>
    <cellStyle name="쉼표 [0] 2 4 2 3" xfId="1833" xr:uid="{00000000-0005-0000-0000-000046060000}"/>
    <cellStyle name="쉼표 [0] 2 4 3" xfId="1188" xr:uid="{00000000-0005-0000-0000-000047060000}"/>
    <cellStyle name="쉼표 [0] 2 4 3 2" xfId="1189" xr:uid="{00000000-0005-0000-0000-000048060000}"/>
    <cellStyle name="쉼표 [0] 2 5" xfId="1190" xr:uid="{00000000-0005-0000-0000-000049060000}"/>
    <cellStyle name="쉼표 [0] 2 5 2" xfId="1191" xr:uid="{00000000-0005-0000-0000-00004A060000}"/>
    <cellStyle name="쉼표 [0] 2 6" xfId="1831" xr:uid="{00000000-0005-0000-0000-00004B060000}"/>
    <cellStyle name="쉼표 [0] 2 7" xfId="1842" xr:uid="{00000000-0005-0000-0000-00004C060000}"/>
    <cellStyle name="쉼표 [0] 3" xfId="1192" xr:uid="{00000000-0005-0000-0000-00004D060000}"/>
    <cellStyle name="쉼표 [0] 3 2" xfId="1193" xr:uid="{00000000-0005-0000-0000-00004E060000}"/>
    <cellStyle name="쉼표 [0] 3 2 2" xfId="1194" xr:uid="{00000000-0005-0000-0000-00004F060000}"/>
    <cellStyle name="쉼표 [0] 3 2 2 2" xfId="1828" xr:uid="{00000000-0005-0000-0000-000050060000}"/>
    <cellStyle name="쉼표 [0] 3 2 2 3" xfId="1827" xr:uid="{00000000-0005-0000-0000-000051060000}"/>
    <cellStyle name="쉼표 [0] 3 2 2 4" xfId="1829" xr:uid="{00000000-0005-0000-0000-000052060000}"/>
    <cellStyle name="쉼표 [0] 3 2 3" xfId="1195" xr:uid="{00000000-0005-0000-0000-000053060000}"/>
    <cellStyle name="쉼표 [0] 3 2 3 2" xfId="1196" xr:uid="{00000000-0005-0000-0000-000054060000}"/>
    <cellStyle name="쉼표 [0] 3 2 4" xfId="1197" xr:uid="{00000000-0005-0000-0000-000055060000}"/>
    <cellStyle name="쉼표 [0] 3 2 4 2" xfId="1826" xr:uid="{00000000-0005-0000-0000-000056060000}"/>
    <cellStyle name="쉼표 [0] 3 2 5" xfId="1198" xr:uid="{00000000-0005-0000-0000-000057060000}"/>
    <cellStyle name="쉼표 [0] 3 3" xfId="1199" xr:uid="{00000000-0005-0000-0000-000058060000}"/>
    <cellStyle name="쉼표 [0] 3 3 2" xfId="1200" xr:uid="{00000000-0005-0000-0000-000059060000}"/>
    <cellStyle name="쉼표 [0] 3 3 2 2" xfId="1825" xr:uid="{00000000-0005-0000-0000-00005A060000}"/>
    <cellStyle name="쉼표 [0] 3 3 3" xfId="1201" xr:uid="{00000000-0005-0000-0000-00005B060000}"/>
    <cellStyle name="쉼표 [0] 3 3 3 2" xfId="1824" xr:uid="{00000000-0005-0000-0000-00005C060000}"/>
    <cellStyle name="쉼표 [0] 3 3 4" xfId="1202" xr:uid="{00000000-0005-0000-0000-00005D060000}"/>
    <cellStyle name="쉼표 [0] 3 4" xfId="1203" xr:uid="{00000000-0005-0000-0000-00005E060000}"/>
    <cellStyle name="쉼표 [0] 3 4 2" xfId="1823" xr:uid="{00000000-0005-0000-0000-00005F060000}"/>
    <cellStyle name="쉼표 [0] 3 5" xfId="1204" xr:uid="{00000000-0005-0000-0000-000060060000}"/>
    <cellStyle name="쉼표 [0] 3 5 2" xfId="1205" xr:uid="{00000000-0005-0000-0000-000061060000}"/>
    <cellStyle name="쉼표 [0] 3 5 3" xfId="1206" xr:uid="{00000000-0005-0000-0000-000062060000}"/>
    <cellStyle name="쉼표 [0] 3 5 4" xfId="1207" xr:uid="{00000000-0005-0000-0000-000063060000}"/>
    <cellStyle name="쉼표 [0] 3 6" xfId="1208" xr:uid="{00000000-0005-0000-0000-000064060000}"/>
    <cellStyle name="쉼표 [0] 3 6 2" xfId="1209" xr:uid="{00000000-0005-0000-0000-000065060000}"/>
    <cellStyle name="쉼표 [0] 3 7" xfId="1210" xr:uid="{00000000-0005-0000-0000-000066060000}"/>
    <cellStyle name="쉼표 [0] 3 7 2" xfId="1211" xr:uid="{00000000-0005-0000-0000-000067060000}"/>
    <cellStyle name="쉼표 [0] 3 8" xfId="1212" xr:uid="{00000000-0005-0000-0000-000068060000}"/>
    <cellStyle name="쉼표 [0] 3 8 2" xfId="1822" xr:uid="{00000000-0005-0000-0000-000069060000}"/>
    <cellStyle name="쉼표 [0] 3 9" xfId="1634" xr:uid="{00000000-0005-0000-0000-00006A060000}"/>
    <cellStyle name="쉼표 [0] 3 9 2" xfId="1830" xr:uid="{00000000-0005-0000-0000-00006B060000}"/>
    <cellStyle name="쉼표 [0] 4" xfId="1213" xr:uid="{00000000-0005-0000-0000-00006C060000}"/>
    <cellStyle name="쉼표 [0] 4 2" xfId="1214" xr:uid="{00000000-0005-0000-0000-00006D060000}"/>
    <cellStyle name="쉼표 [0] 4 2 2" xfId="1215" xr:uid="{00000000-0005-0000-0000-00006E060000}"/>
    <cellStyle name="쉼표 [0] 4 2 2 2" xfId="1820" xr:uid="{00000000-0005-0000-0000-00006F060000}"/>
    <cellStyle name="쉼표 [0] 4 2 2 3" xfId="1821" xr:uid="{00000000-0005-0000-0000-000070060000}"/>
    <cellStyle name="쉼표 [0] 4 2 3" xfId="1216" xr:uid="{00000000-0005-0000-0000-000071060000}"/>
    <cellStyle name="쉼표 [0] 4 2 3 2" xfId="1217" xr:uid="{00000000-0005-0000-0000-000072060000}"/>
    <cellStyle name="쉼표 [0] 4 2 4" xfId="1218" xr:uid="{00000000-0005-0000-0000-000073060000}"/>
    <cellStyle name="쉼표 [0] 4 2 5" xfId="1219" xr:uid="{00000000-0005-0000-0000-000074060000}"/>
    <cellStyle name="쉼표 [0] 4 2 6" xfId="1220" xr:uid="{00000000-0005-0000-0000-000075060000}"/>
    <cellStyle name="쉼표 [0] 4 2 7" xfId="1221" xr:uid="{00000000-0005-0000-0000-000076060000}"/>
    <cellStyle name="쉼표 [0] 4 2 8" xfId="1222" xr:uid="{00000000-0005-0000-0000-000077060000}"/>
    <cellStyle name="쉼표 [0] 4 3" xfId="1223" xr:uid="{00000000-0005-0000-0000-000078060000}"/>
    <cellStyle name="쉼표 [0] 4 3 2" xfId="1224" xr:uid="{00000000-0005-0000-0000-000079060000}"/>
    <cellStyle name="쉼표 [0] 4 3 2 2" xfId="1818" xr:uid="{00000000-0005-0000-0000-00007A060000}"/>
    <cellStyle name="쉼표 [0] 4 3 2 3" xfId="1819" xr:uid="{00000000-0005-0000-0000-00007B060000}"/>
    <cellStyle name="쉼표 [0] 4 3 3" xfId="1225" xr:uid="{00000000-0005-0000-0000-00007C060000}"/>
    <cellStyle name="쉼표 [0] 4 3 4" xfId="1226" xr:uid="{00000000-0005-0000-0000-00007D060000}"/>
    <cellStyle name="쉼표 [0] 4 3 4 2" xfId="1817" xr:uid="{00000000-0005-0000-0000-00007E060000}"/>
    <cellStyle name="쉼표 [0] 4 3 5" xfId="1227" xr:uid="{00000000-0005-0000-0000-00007F060000}"/>
    <cellStyle name="쉼표 [0] 4 4" xfId="1228" xr:uid="{00000000-0005-0000-0000-000080060000}"/>
    <cellStyle name="쉼표 [0] 4 4 2" xfId="1815" xr:uid="{00000000-0005-0000-0000-000081060000}"/>
    <cellStyle name="쉼표 [0] 4 4 3" xfId="1816" xr:uid="{00000000-0005-0000-0000-000082060000}"/>
    <cellStyle name="쉼표 [0] 4 5" xfId="1229" xr:uid="{00000000-0005-0000-0000-000083060000}"/>
    <cellStyle name="쉼표 [0] 4 5 2" xfId="1813" xr:uid="{00000000-0005-0000-0000-000084060000}"/>
    <cellStyle name="쉼표 [0] 4 5 3" xfId="1814" xr:uid="{00000000-0005-0000-0000-000085060000}"/>
    <cellStyle name="쉼표 [0] 4 6" xfId="1230" xr:uid="{00000000-0005-0000-0000-000086060000}"/>
    <cellStyle name="쉼표 [0] 4 6 2" xfId="1812" xr:uid="{00000000-0005-0000-0000-000087060000}"/>
    <cellStyle name="쉼표 [0] 4 7" xfId="1231" xr:uid="{00000000-0005-0000-0000-000088060000}"/>
    <cellStyle name="쉼표 [0] 4 8" xfId="1232" xr:uid="{00000000-0005-0000-0000-000089060000}"/>
    <cellStyle name="쉼표 [0] 5" xfId="1233" xr:uid="{00000000-0005-0000-0000-00008A060000}"/>
    <cellStyle name="쉼표 [0] 5 2" xfId="1234" xr:uid="{00000000-0005-0000-0000-00008B060000}"/>
    <cellStyle name="쉼표 [0] 5 2 2" xfId="1235" xr:uid="{00000000-0005-0000-0000-00008C060000}"/>
    <cellStyle name="쉼표 [0] 5 2 2 2" xfId="1809" xr:uid="{00000000-0005-0000-0000-00008D060000}"/>
    <cellStyle name="쉼표 [0] 5 2 3" xfId="1236" xr:uid="{00000000-0005-0000-0000-00008E060000}"/>
    <cellStyle name="쉼표 [0] 5 2 3 2" xfId="1808" xr:uid="{00000000-0005-0000-0000-00008F060000}"/>
    <cellStyle name="쉼표 [0] 5 2 4" xfId="1810" xr:uid="{00000000-0005-0000-0000-000090060000}"/>
    <cellStyle name="쉼표 [0] 5 3" xfId="1237" xr:uid="{00000000-0005-0000-0000-000091060000}"/>
    <cellStyle name="쉼표 [0] 5 3 2" xfId="1238" xr:uid="{00000000-0005-0000-0000-000092060000}"/>
    <cellStyle name="쉼표 [0] 5 4" xfId="1239" xr:uid="{00000000-0005-0000-0000-000093060000}"/>
    <cellStyle name="쉼표 [0] 5 5" xfId="1240" xr:uid="{00000000-0005-0000-0000-000094060000}"/>
    <cellStyle name="쉼표 [0] 5 6" xfId="1241" xr:uid="{00000000-0005-0000-0000-000095060000}"/>
    <cellStyle name="쉼표 [0] 5 7" xfId="1622" xr:uid="{00000000-0005-0000-0000-000096060000}"/>
    <cellStyle name="쉼표 [0] 5 8" xfId="1811" xr:uid="{00000000-0005-0000-0000-000097060000}"/>
    <cellStyle name="쉼표 [0] 6" xfId="1242" xr:uid="{00000000-0005-0000-0000-000098060000}"/>
    <cellStyle name="쉼표 [0] 6 2" xfId="1243" xr:uid="{00000000-0005-0000-0000-000099060000}"/>
    <cellStyle name="쉼표 [0] 6 2 2" xfId="1244" xr:uid="{00000000-0005-0000-0000-00009A060000}"/>
    <cellStyle name="쉼표 [0] 6 2 3" xfId="1245" xr:uid="{00000000-0005-0000-0000-00009B060000}"/>
    <cellStyle name="쉼표 [0] 6 2 4" xfId="1807" xr:uid="{00000000-0005-0000-0000-00009C060000}"/>
    <cellStyle name="쉼표 [0] 6 3" xfId="1246" xr:uid="{00000000-0005-0000-0000-00009D060000}"/>
    <cellStyle name="쉼표 [0] 6 3 2" xfId="1805" xr:uid="{00000000-0005-0000-0000-00009E060000}"/>
    <cellStyle name="쉼표 [0] 6 3 3" xfId="1806" xr:uid="{00000000-0005-0000-0000-00009F060000}"/>
    <cellStyle name="쉼표 [0] 6 4" xfId="1247" xr:uid="{00000000-0005-0000-0000-0000A0060000}"/>
    <cellStyle name="쉼표 [0] 6 4 2" xfId="1804" xr:uid="{00000000-0005-0000-0000-0000A1060000}"/>
    <cellStyle name="쉼표 [0] 6 5" xfId="1248" xr:uid="{00000000-0005-0000-0000-0000A2060000}"/>
    <cellStyle name="쉼표 [0] 6 5 2" xfId="1803" xr:uid="{00000000-0005-0000-0000-0000A3060000}"/>
    <cellStyle name="쉼표 [0] 6 6" xfId="1802" xr:uid="{00000000-0005-0000-0000-0000A4060000}"/>
    <cellStyle name="쉼표 [0] 7" xfId="1249" xr:uid="{00000000-0005-0000-0000-0000A5060000}"/>
    <cellStyle name="쉼표 [0] 7 2" xfId="1250" xr:uid="{00000000-0005-0000-0000-0000A6060000}"/>
    <cellStyle name="쉼표 [0] 7 3" xfId="1251" xr:uid="{00000000-0005-0000-0000-0000A7060000}"/>
    <cellStyle name="쉼표 [0] 7 4" xfId="1252" xr:uid="{00000000-0005-0000-0000-0000A8060000}"/>
    <cellStyle name="쉼표 [0] 7 5" xfId="1620" xr:uid="{00000000-0005-0000-0000-0000A9060000}"/>
    <cellStyle name="쉼표 [0] 8" xfId="1253" xr:uid="{00000000-0005-0000-0000-0000AA060000}"/>
    <cellStyle name="쉼표 [0] 8 2" xfId="1254" xr:uid="{00000000-0005-0000-0000-0000AB060000}"/>
    <cellStyle name="쉼표 [0] 8 2 2" xfId="1801" xr:uid="{00000000-0005-0000-0000-0000AC060000}"/>
    <cellStyle name="쉼표 [0] 8 3" xfId="1255" xr:uid="{00000000-0005-0000-0000-0000AD060000}"/>
    <cellStyle name="쉼표 [0] 8 3 2" xfId="1800" xr:uid="{00000000-0005-0000-0000-0000AE060000}"/>
    <cellStyle name="쉼표 [0] 8 4" xfId="1256" xr:uid="{00000000-0005-0000-0000-0000AF060000}"/>
    <cellStyle name="쉼표 [0] 8 5" xfId="1635" xr:uid="{00000000-0005-0000-0000-0000B0060000}"/>
    <cellStyle name="쉼표 [0] 9" xfId="1257" xr:uid="{00000000-0005-0000-0000-0000B1060000}"/>
    <cellStyle name="쉼표 [0] 9 2" xfId="1799" xr:uid="{00000000-0005-0000-0000-0000B2060000}"/>
    <cellStyle name="쉼표 2" xfId="1258" xr:uid="{00000000-0005-0000-0000-0000B3060000}"/>
    <cellStyle name="쉼표 2 10" xfId="1259" xr:uid="{00000000-0005-0000-0000-0000B4060000}"/>
    <cellStyle name="쉼표 2 10 2" xfId="1260" xr:uid="{00000000-0005-0000-0000-0000B5060000}"/>
    <cellStyle name="쉼표 2 10 2 2" xfId="1261" xr:uid="{00000000-0005-0000-0000-0000B6060000}"/>
    <cellStyle name="쉼표 2 11" xfId="1262" xr:uid="{00000000-0005-0000-0000-0000B7060000}"/>
    <cellStyle name="쉼표 2 12" xfId="1263" xr:uid="{00000000-0005-0000-0000-0000B8060000}"/>
    <cellStyle name="쉼표 2 13" xfId="1264" xr:uid="{00000000-0005-0000-0000-0000B9060000}"/>
    <cellStyle name="쉼표 2 14" xfId="1265" xr:uid="{00000000-0005-0000-0000-0000BA060000}"/>
    <cellStyle name="쉼표 2 15" xfId="1266" xr:uid="{00000000-0005-0000-0000-0000BB060000}"/>
    <cellStyle name="쉼표 2 16" xfId="1267" xr:uid="{00000000-0005-0000-0000-0000BC060000}"/>
    <cellStyle name="쉼표 2 17" xfId="1268" xr:uid="{00000000-0005-0000-0000-0000BD060000}"/>
    <cellStyle name="쉼표 2 18" xfId="1269" xr:uid="{00000000-0005-0000-0000-0000BE060000}"/>
    <cellStyle name="쉼표 2 19" xfId="1270" xr:uid="{00000000-0005-0000-0000-0000BF060000}"/>
    <cellStyle name="쉼표 2 2" xfId="1271" xr:uid="{00000000-0005-0000-0000-0000C0060000}"/>
    <cellStyle name="쉼표 2 2 2" xfId="1272" xr:uid="{00000000-0005-0000-0000-0000C1060000}"/>
    <cellStyle name="쉼표 2 2 3" xfId="1273" xr:uid="{00000000-0005-0000-0000-0000C2060000}"/>
    <cellStyle name="쉼표 2 2 4" xfId="1274" xr:uid="{00000000-0005-0000-0000-0000C3060000}"/>
    <cellStyle name="쉼표 2 20" xfId="1275" xr:uid="{00000000-0005-0000-0000-0000C4060000}"/>
    <cellStyle name="쉼표 2 21" xfId="1276" xr:uid="{00000000-0005-0000-0000-0000C5060000}"/>
    <cellStyle name="쉼표 2 22" xfId="1277" xr:uid="{00000000-0005-0000-0000-0000C6060000}"/>
    <cellStyle name="쉼표 2 23" xfId="1278" xr:uid="{00000000-0005-0000-0000-0000C7060000}"/>
    <cellStyle name="쉼표 2 24" xfId="1279" xr:uid="{00000000-0005-0000-0000-0000C8060000}"/>
    <cellStyle name="쉼표 2 25" xfId="1280" xr:uid="{00000000-0005-0000-0000-0000C9060000}"/>
    <cellStyle name="쉼표 2 26" xfId="1281" xr:uid="{00000000-0005-0000-0000-0000CA060000}"/>
    <cellStyle name="쉼표 2 27" xfId="1282" xr:uid="{00000000-0005-0000-0000-0000CB060000}"/>
    <cellStyle name="쉼표 2 29" xfId="1283" xr:uid="{00000000-0005-0000-0000-0000CC060000}"/>
    <cellStyle name="쉼표 2 3" xfId="1284" xr:uid="{00000000-0005-0000-0000-0000CD060000}"/>
    <cellStyle name="쉼표 2 3 2" xfId="1285" xr:uid="{00000000-0005-0000-0000-0000CE060000}"/>
    <cellStyle name="쉼표 2 3 3" xfId="1286" xr:uid="{00000000-0005-0000-0000-0000CF060000}"/>
    <cellStyle name="쉼표 2 4" xfId="1287" xr:uid="{00000000-0005-0000-0000-0000D0060000}"/>
    <cellStyle name="쉼표 2 4 2" xfId="1288" xr:uid="{00000000-0005-0000-0000-0000D1060000}"/>
    <cellStyle name="쉼표 2 5" xfId="1289" xr:uid="{00000000-0005-0000-0000-0000D2060000}"/>
    <cellStyle name="쉼표 2 5 2" xfId="1290" xr:uid="{00000000-0005-0000-0000-0000D3060000}"/>
    <cellStyle name="쉼표 2 5 3" xfId="1798" xr:uid="{00000000-0005-0000-0000-0000D4060000}"/>
    <cellStyle name="쉼표 2 6" xfId="1291" xr:uid="{00000000-0005-0000-0000-0000D5060000}"/>
    <cellStyle name="쉼표 2 6 2" xfId="1797" xr:uid="{00000000-0005-0000-0000-0000D6060000}"/>
    <cellStyle name="쉼표 2 7" xfId="1292" xr:uid="{00000000-0005-0000-0000-0000D7060000}"/>
    <cellStyle name="쉼표 2 8" xfId="1293" xr:uid="{00000000-0005-0000-0000-0000D8060000}"/>
    <cellStyle name="쉼표 2 9" xfId="1294" xr:uid="{00000000-0005-0000-0000-0000D9060000}"/>
    <cellStyle name="쉼표 3" xfId="1295" xr:uid="{00000000-0005-0000-0000-0000DA060000}"/>
    <cellStyle name="쉼표 3 2" xfId="1296" xr:uid="{00000000-0005-0000-0000-0000DB060000}"/>
    <cellStyle name="쉼표 3 3" xfId="1297" xr:uid="{00000000-0005-0000-0000-0000DC060000}"/>
    <cellStyle name="쉼표 3 4" xfId="1298" xr:uid="{00000000-0005-0000-0000-0000DD060000}"/>
    <cellStyle name="쉼표 3 5" xfId="1299" xr:uid="{00000000-0005-0000-0000-0000DE060000}"/>
    <cellStyle name="쉼표 3 6" xfId="1300" xr:uid="{00000000-0005-0000-0000-0000DF060000}"/>
    <cellStyle name="쉼표 4" xfId="1301" xr:uid="{00000000-0005-0000-0000-0000E0060000}"/>
    <cellStyle name="쉼표 5" xfId="1302" xr:uid="{00000000-0005-0000-0000-0000E1060000}"/>
    <cellStyle name="쉼표 5 2" xfId="1303" xr:uid="{00000000-0005-0000-0000-0000E2060000}"/>
    <cellStyle name="쉼표 6" xfId="1304" xr:uid="{00000000-0005-0000-0000-0000E3060000}"/>
    <cellStyle name="쉼표 6 2" xfId="1305" xr:uid="{00000000-0005-0000-0000-0000E4060000}"/>
    <cellStyle name="쉼표 6 3" xfId="1306" xr:uid="{00000000-0005-0000-0000-0000E5060000}"/>
    <cellStyle name="쉼표 6 4" xfId="1307" xr:uid="{00000000-0005-0000-0000-0000E6060000}"/>
    <cellStyle name="쉼표 6 5" xfId="1308" xr:uid="{00000000-0005-0000-0000-0000E7060000}"/>
    <cellStyle name="쉼표 6 6" xfId="1309" xr:uid="{00000000-0005-0000-0000-0000E8060000}"/>
    <cellStyle name="쉼표 7" xfId="1310" xr:uid="{00000000-0005-0000-0000-0000E9060000}"/>
    <cellStyle name="쉼표 7 2" xfId="1311" xr:uid="{00000000-0005-0000-0000-0000EA060000}"/>
    <cellStyle name="쉼표 7 3" xfId="1312" xr:uid="{00000000-0005-0000-0000-0000EB060000}"/>
    <cellStyle name="스타일 1" xfId="1313" xr:uid="{00000000-0005-0000-0000-0000EC060000}"/>
    <cellStyle name="스타일 1 2" xfId="1314" xr:uid="{00000000-0005-0000-0000-0000ED060000}"/>
    <cellStyle name="스타일 1 2 2" xfId="1315" xr:uid="{00000000-0005-0000-0000-0000EE060000}"/>
    <cellStyle name="스타일 1 2 2 2" xfId="1795" xr:uid="{00000000-0005-0000-0000-0000EF060000}"/>
    <cellStyle name="스타일 1 2 2 3" xfId="1796" xr:uid="{00000000-0005-0000-0000-0000F0060000}"/>
    <cellStyle name="스타일 1 2 3" xfId="1316" xr:uid="{00000000-0005-0000-0000-0000F1060000}"/>
    <cellStyle name="스타일 1 2 4" xfId="1636" xr:uid="{00000000-0005-0000-0000-0000F2060000}"/>
    <cellStyle name="스타일 1 3" xfId="1673" xr:uid="{00000000-0005-0000-0000-0000F3060000}"/>
    <cellStyle name="스타일 2" xfId="1317" xr:uid="{00000000-0005-0000-0000-0000F4060000}"/>
    <cellStyle name="안건회계법인" xfId="1318" xr:uid="{00000000-0005-0000-0000-0000F5060000}"/>
    <cellStyle name="연결된 셀 2" xfId="1319" xr:uid="{00000000-0005-0000-0000-0000F6060000}"/>
    <cellStyle name="연결된 셀 2 2" xfId="1320" xr:uid="{00000000-0005-0000-0000-0000F7060000}"/>
    <cellStyle name="연결된 셀 2 2 2" xfId="1794" xr:uid="{00000000-0005-0000-0000-0000F8060000}"/>
    <cellStyle name="연결된 셀 2 3" xfId="1674" xr:uid="{00000000-0005-0000-0000-0000F9060000}"/>
    <cellStyle name="연결된 셀 3" xfId="1321" xr:uid="{00000000-0005-0000-0000-0000FA060000}"/>
    <cellStyle name="연결된 셀 3 2" xfId="1793" xr:uid="{00000000-0005-0000-0000-0000FB060000}"/>
    <cellStyle name="연결된 셀 4" xfId="1322" xr:uid="{00000000-0005-0000-0000-0000FC060000}"/>
    <cellStyle name="연결된 셀 4 2" xfId="1792" xr:uid="{00000000-0005-0000-0000-0000FD060000}"/>
    <cellStyle name="열어본 하이퍼링크" xfId="1791" xr:uid="{00000000-0005-0000-0000-0000FE060000}"/>
    <cellStyle name="요약 2" xfId="1323" xr:uid="{00000000-0005-0000-0000-0000FF060000}"/>
    <cellStyle name="요약 2 2" xfId="1324" xr:uid="{00000000-0005-0000-0000-000000070000}"/>
    <cellStyle name="요약 2 2 2" xfId="1790" xr:uid="{00000000-0005-0000-0000-000001070000}"/>
    <cellStyle name="요약 2 3" xfId="1675" xr:uid="{00000000-0005-0000-0000-000002070000}"/>
    <cellStyle name="요약 3" xfId="1325" xr:uid="{00000000-0005-0000-0000-000003070000}"/>
    <cellStyle name="요약 3 2" xfId="1789" xr:uid="{00000000-0005-0000-0000-000004070000}"/>
    <cellStyle name="요약 4" xfId="1326" xr:uid="{00000000-0005-0000-0000-000005070000}"/>
    <cellStyle name="요약 4 2" xfId="1788" xr:uid="{00000000-0005-0000-0000-000006070000}"/>
    <cellStyle name="一般_FY04 Taiwan Enterprise Sales Forecast - 0304" xfId="1327" xr:uid="{00000000-0005-0000-0000-000007070000}"/>
    <cellStyle name="입력 2" xfId="1328" xr:uid="{00000000-0005-0000-0000-000008070000}"/>
    <cellStyle name="입력 2 2" xfId="1329" xr:uid="{00000000-0005-0000-0000-000009070000}"/>
    <cellStyle name="입력 2 2 2" xfId="1709" xr:uid="{00000000-0005-0000-0000-00000A070000}"/>
    <cellStyle name="입력 2 2 3" xfId="1787" xr:uid="{00000000-0005-0000-0000-00000B070000}"/>
    <cellStyle name="입력 2 3" xfId="1676" xr:uid="{00000000-0005-0000-0000-00000C070000}"/>
    <cellStyle name="입력 2 3 2" xfId="1710" xr:uid="{00000000-0005-0000-0000-00000D070000}"/>
    <cellStyle name="입력 3" xfId="1330" xr:uid="{00000000-0005-0000-0000-00000E070000}"/>
    <cellStyle name="입력 3 2" xfId="1708" xr:uid="{00000000-0005-0000-0000-00000F070000}"/>
    <cellStyle name="입력 3 3" xfId="1786" xr:uid="{00000000-0005-0000-0000-000010070000}"/>
    <cellStyle name="입력 4" xfId="1331" xr:uid="{00000000-0005-0000-0000-000011070000}"/>
    <cellStyle name="입력 4 2" xfId="1707" xr:uid="{00000000-0005-0000-0000-000012070000}"/>
    <cellStyle name="입력 4 3" xfId="1785" xr:uid="{00000000-0005-0000-0000-000013070000}"/>
    <cellStyle name="제목 1 2" xfId="1332" xr:uid="{00000000-0005-0000-0000-000014070000}"/>
    <cellStyle name="제목 1 2 2" xfId="1333" xr:uid="{00000000-0005-0000-0000-000015070000}"/>
    <cellStyle name="제목 1 2 2 2" xfId="1784" xr:uid="{00000000-0005-0000-0000-000016070000}"/>
    <cellStyle name="제목 1 2 3" xfId="1677" xr:uid="{00000000-0005-0000-0000-000017070000}"/>
    <cellStyle name="제목 1 3" xfId="1334" xr:uid="{00000000-0005-0000-0000-000018070000}"/>
    <cellStyle name="제목 1 3 2" xfId="1783" xr:uid="{00000000-0005-0000-0000-000019070000}"/>
    <cellStyle name="제목 1 4" xfId="1335" xr:uid="{00000000-0005-0000-0000-00001A070000}"/>
    <cellStyle name="제목 2 2" xfId="1336" xr:uid="{00000000-0005-0000-0000-00001B070000}"/>
    <cellStyle name="제목 2 2 2" xfId="1337" xr:uid="{00000000-0005-0000-0000-00001C070000}"/>
    <cellStyle name="제목 2 2 2 2" xfId="1782" xr:uid="{00000000-0005-0000-0000-00001D070000}"/>
    <cellStyle name="제목 2 2 3" xfId="1678" xr:uid="{00000000-0005-0000-0000-00001E070000}"/>
    <cellStyle name="제목 2 3" xfId="1338" xr:uid="{00000000-0005-0000-0000-00001F070000}"/>
    <cellStyle name="제목 2 3 2" xfId="1781" xr:uid="{00000000-0005-0000-0000-000020070000}"/>
    <cellStyle name="제목 2 4" xfId="1339" xr:uid="{00000000-0005-0000-0000-000021070000}"/>
    <cellStyle name="제목 3 2" xfId="1340" xr:uid="{00000000-0005-0000-0000-000022070000}"/>
    <cellStyle name="제목 3 2 2" xfId="1341" xr:uid="{00000000-0005-0000-0000-000023070000}"/>
    <cellStyle name="제목 3 2 2 2" xfId="1780" xr:uid="{00000000-0005-0000-0000-000024070000}"/>
    <cellStyle name="제목 3 2 3" xfId="1679" xr:uid="{00000000-0005-0000-0000-000025070000}"/>
    <cellStyle name="제목 3 3" xfId="1342" xr:uid="{00000000-0005-0000-0000-000026070000}"/>
    <cellStyle name="제목 3 3 2" xfId="1779" xr:uid="{00000000-0005-0000-0000-000027070000}"/>
    <cellStyle name="제목 3 4" xfId="1343" xr:uid="{00000000-0005-0000-0000-000028070000}"/>
    <cellStyle name="제목 4 2" xfId="1344" xr:uid="{00000000-0005-0000-0000-000029070000}"/>
    <cellStyle name="제목 4 2 2" xfId="1345" xr:uid="{00000000-0005-0000-0000-00002A070000}"/>
    <cellStyle name="제목 4 2 2 2" xfId="1778" xr:uid="{00000000-0005-0000-0000-00002B070000}"/>
    <cellStyle name="제목 4 2 3" xfId="1680" xr:uid="{00000000-0005-0000-0000-00002C070000}"/>
    <cellStyle name="제목 4 3" xfId="1346" xr:uid="{00000000-0005-0000-0000-00002D070000}"/>
    <cellStyle name="제목 4 3 2" xfId="1777" xr:uid="{00000000-0005-0000-0000-00002E070000}"/>
    <cellStyle name="제목 4 4" xfId="1347" xr:uid="{00000000-0005-0000-0000-00002F070000}"/>
    <cellStyle name="제목 5" xfId="1348" xr:uid="{00000000-0005-0000-0000-000030070000}"/>
    <cellStyle name="제목 5 2" xfId="1349" xr:uid="{00000000-0005-0000-0000-000031070000}"/>
    <cellStyle name="제목 5 2 2" xfId="1776" xr:uid="{00000000-0005-0000-0000-000032070000}"/>
    <cellStyle name="제목 5 3" xfId="1681" xr:uid="{00000000-0005-0000-0000-000033070000}"/>
    <cellStyle name="제목 6" xfId="1350" xr:uid="{00000000-0005-0000-0000-000034070000}"/>
    <cellStyle name="제목 6 2" xfId="1775" xr:uid="{00000000-0005-0000-0000-000035070000}"/>
    <cellStyle name="제목 7" xfId="1351" xr:uid="{00000000-0005-0000-0000-000036070000}"/>
    <cellStyle name="좋음 2" xfId="1352" xr:uid="{00000000-0005-0000-0000-000037070000}"/>
    <cellStyle name="좋음 2 2" xfId="1353" xr:uid="{00000000-0005-0000-0000-000038070000}"/>
    <cellStyle name="좋음 2 2 2" xfId="1774" xr:uid="{00000000-0005-0000-0000-000039070000}"/>
    <cellStyle name="좋음 2 3" xfId="1682" xr:uid="{00000000-0005-0000-0000-00003A070000}"/>
    <cellStyle name="좋음 3" xfId="1354" xr:uid="{00000000-0005-0000-0000-00003B070000}"/>
    <cellStyle name="좋음 3 2" xfId="1773" xr:uid="{00000000-0005-0000-0000-00003C070000}"/>
    <cellStyle name="좋음 4" xfId="1355" xr:uid="{00000000-0005-0000-0000-00003D070000}"/>
    <cellStyle name="좋음 4 2" xfId="1772" xr:uid="{00000000-0005-0000-0000-00003E070000}"/>
    <cellStyle name="지정되지 않음" xfId="1356" xr:uid="{00000000-0005-0000-0000-00003F070000}"/>
    <cellStyle name="출력 2" xfId="1357" xr:uid="{00000000-0005-0000-0000-000040070000}"/>
    <cellStyle name="출력 2 2" xfId="1358" xr:uid="{00000000-0005-0000-0000-000041070000}"/>
    <cellStyle name="출력 2 2 2" xfId="1771" xr:uid="{00000000-0005-0000-0000-000042070000}"/>
    <cellStyle name="출력 2 3" xfId="1683" xr:uid="{00000000-0005-0000-0000-000043070000}"/>
    <cellStyle name="출력 3" xfId="1359" xr:uid="{00000000-0005-0000-0000-000044070000}"/>
    <cellStyle name="출력 3 2" xfId="1770" xr:uid="{00000000-0005-0000-0000-000045070000}"/>
    <cellStyle name="출력 4" xfId="1360" xr:uid="{00000000-0005-0000-0000-000046070000}"/>
    <cellStyle name="출력 4 2" xfId="1769" xr:uid="{00000000-0005-0000-0000-000047070000}"/>
    <cellStyle name="콤마 [0]_  종  합  " xfId="1768" xr:uid="{00000000-0005-0000-0000-000048070000}"/>
    <cellStyle name="콤마_  종  합  " xfId="1767" xr:uid="{00000000-0005-0000-0000-000049070000}"/>
    <cellStyle name="통화" xfId="1704" builtinId="4" hidden="1"/>
    <cellStyle name="通貨 [0.00]_PERSONAL" xfId="1361" xr:uid="{00000000-0005-0000-0000-00004B070000}"/>
    <cellStyle name="통화 [0] 2" xfId="1362" xr:uid="{00000000-0005-0000-0000-00004C070000}"/>
    <cellStyle name="통화 [0] 2 2" xfId="1363" xr:uid="{00000000-0005-0000-0000-00004D070000}"/>
    <cellStyle name="통화 [0] 2 2 2" xfId="1364" xr:uid="{00000000-0005-0000-0000-00004E070000}"/>
    <cellStyle name="통화 [0] 2 2 2 2" xfId="1766" xr:uid="{00000000-0005-0000-0000-00004F070000}"/>
    <cellStyle name="통화 [0] 3" xfId="1365" xr:uid="{00000000-0005-0000-0000-000050070000}"/>
    <cellStyle name="통화 [0] 3 2" xfId="1366" xr:uid="{00000000-0005-0000-0000-000051070000}"/>
    <cellStyle name="통화 [0] 3 3" xfId="1367" xr:uid="{00000000-0005-0000-0000-000052070000}"/>
    <cellStyle name="통화 [0] 3 4" xfId="1368" xr:uid="{00000000-0005-0000-0000-000053070000}"/>
    <cellStyle name="통화 [0] 3 5" xfId="1369" xr:uid="{00000000-0005-0000-0000-000054070000}"/>
    <cellStyle name="통화 [0] 4" xfId="1370" xr:uid="{00000000-0005-0000-0000-000055070000}"/>
    <cellStyle name="통화 2" xfId="1371" xr:uid="{00000000-0005-0000-0000-000056070000}"/>
    <cellStyle name="通貨_PERSONAL" xfId="1372" xr:uid="{00000000-0005-0000-0000-000057070000}"/>
    <cellStyle name="표준" xfId="0" builtinId="0"/>
    <cellStyle name="표준 10" xfId="1373" xr:uid="{00000000-0005-0000-0000-000059070000}"/>
    <cellStyle name="표준 10 2" xfId="1374" xr:uid="{00000000-0005-0000-0000-00005A070000}"/>
    <cellStyle name="표준 10 2 2" xfId="1375" xr:uid="{00000000-0005-0000-0000-00005B070000}"/>
    <cellStyle name="표준 10 2 3" xfId="1376" xr:uid="{00000000-0005-0000-0000-00005C070000}"/>
    <cellStyle name="표준 10 3" xfId="1377" xr:uid="{00000000-0005-0000-0000-00005D070000}"/>
    <cellStyle name="표준 10 3 2" xfId="1378" xr:uid="{00000000-0005-0000-0000-00005E070000}"/>
    <cellStyle name="표준 11" xfId="1379" xr:uid="{00000000-0005-0000-0000-00005F070000}"/>
    <cellStyle name="표준 11 2" xfId="1380" xr:uid="{00000000-0005-0000-0000-000060070000}"/>
    <cellStyle name="표준 11 2 2" xfId="1381" xr:uid="{00000000-0005-0000-0000-000061070000}"/>
    <cellStyle name="표준 11 2 3" xfId="1382" xr:uid="{00000000-0005-0000-0000-000062070000}"/>
    <cellStyle name="표준 11 2 3 2" xfId="1764" xr:uid="{00000000-0005-0000-0000-000063070000}"/>
    <cellStyle name="표준 11 2 4" xfId="1765" xr:uid="{00000000-0005-0000-0000-000064070000}"/>
    <cellStyle name="표준 11 3" xfId="1383" xr:uid="{00000000-0005-0000-0000-000065070000}"/>
    <cellStyle name="표준 11 3 2" xfId="1384" xr:uid="{00000000-0005-0000-0000-000066070000}"/>
    <cellStyle name="표준 12" xfId="1385" xr:uid="{00000000-0005-0000-0000-000067070000}"/>
    <cellStyle name="표준 12 2" xfId="1386" xr:uid="{00000000-0005-0000-0000-000068070000}"/>
    <cellStyle name="표준 12 2 2" xfId="1387" xr:uid="{00000000-0005-0000-0000-000069070000}"/>
    <cellStyle name="표준 12 2 3" xfId="1388" xr:uid="{00000000-0005-0000-0000-00006A070000}"/>
    <cellStyle name="표준 12 3" xfId="1389" xr:uid="{00000000-0005-0000-0000-00006B070000}"/>
    <cellStyle name="표준 13" xfId="1390" xr:uid="{00000000-0005-0000-0000-00006C070000}"/>
    <cellStyle name="표준 13 2" xfId="1391" xr:uid="{00000000-0005-0000-0000-00006D070000}"/>
    <cellStyle name="표준 14" xfId="1392" xr:uid="{00000000-0005-0000-0000-00006E070000}"/>
    <cellStyle name="표준 14 2" xfId="1393" xr:uid="{00000000-0005-0000-0000-00006F070000}"/>
    <cellStyle name="표준 142" xfId="1394" xr:uid="{00000000-0005-0000-0000-000070070000}"/>
    <cellStyle name="표준 15" xfId="1395" xr:uid="{00000000-0005-0000-0000-000071070000}"/>
    <cellStyle name="표준 15 2" xfId="1396" xr:uid="{00000000-0005-0000-0000-000072070000}"/>
    <cellStyle name="표준 16" xfId="1397" xr:uid="{00000000-0005-0000-0000-000073070000}"/>
    <cellStyle name="표준 16 2" xfId="1398" xr:uid="{00000000-0005-0000-0000-000074070000}"/>
    <cellStyle name="표준 17" xfId="1399" xr:uid="{00000000-0005-0000-0000-000075070000}"/>
    <cellStyle name="표준 17 2" xfId="1400" xr:uid="{00000000-0005-0000-0000-000076070000}"/>
    <cellStyle name="표준 17 2 2" xfId="1401" xr:uid="{00000000-0005-0000-0000-000077070000}"/>
    <cellStyle name="표준 17 2 3" xfId="1402" xr:uid="{00000000-0005-0000-0000-000078070000}"/>
    <cellStyle name="표준 17 3" xfId="1403" xr:uid="{00000000-0005-0000-0000-000079070000}"/>
    <cellStyle name="표준 17 4" xfId="1404" xr:uid="{00000000-0005-0000-0000-00007A070000}"/>
    <cellStyle name="표준 17 5" xfId="1405" xr:uid="{00000000-0005-0000-0000-00007B070000}"/>
    <cellStyle name="표준 17 6" xfId="1406" xr:uid="{00000000-0005-0000-0000-00007C070000}"/>
    <cellStyle name="표준 18" xfId="1407" xr:uid="{00000000-0005-0000-0000-00007D070000}"/>
    <cellStyle name="표준 18 2" xfId="1408" xr:uid="{00000000-0005-0000-0000-00007E070000}"/>
    <cellStyle name="표준 18 2 2" xfId="1409" xr:uid="{00000000-0005-0000-0000-00007F070000}"/>
    <cellStyle name="표준 18 2 3" xfId="1410" xr:uid="{00000000-0005-0000-0000-000080070000}"/>
    <cellStyle name="표준 18 3" xfId="1411" xr:uid="{00000000-0005-0000-0000-000081070000}"/>
    <cellStyle name="표준 18 4" xfId="1412" xr:uid="{00000000-0005-0000-0000-000082070000}"/>
    <cellStyle name="표준 18 5" xfId="1684" xr:uid="{00000000-0005-0000-0000-000083070000}"/>
    <cellStyle name="표준 18 5 2" xfId="1763" xr:uid="{00000000-0005-0000-0000-000084070000}"/>
    <cellStyle name="표준 19" xfId="1413" xr:uid="{00000000-0005-0000-0000-000085070000}"/>
    <cellStyle name="표준 19 2" xfId="1414" xr:uid="{00000000-0005-0000-0000-000086070000}"/>
    <cellStyle name="표준 19 2 2" xfId="1415" xr:uid="{00000000-0005-0000-0000-000087070000}"/>
    <cellStyle name="표준 19 2 3" xfId="1762" xr:uid="{00000000-0005-0000-0000-000088070000}"/>
    <cellStyle name="표준 19 3" xfId="1416" xr:uid="{00000000-0005-0000-0000-000089070000}"/>
    <cellStyle name="표준 19 4" xfId="1417" xr:uid="{00000000-0005-0000-0000-00008A070000}"/>
    <cellStyle name="표준 19 5" xfId="1418" xr:uid="{00000000-0005-0000-0000-00008B070000}"/>
    <cellStyle name="표준 19 6" xfId="1419" xr:uid="{00000000-0005-0000-0000-00008C070000}"/>
    <cellStyle name="표준 19 7" xfId="1685" xr:uid="{00000000-0005-0000-0000-00008D070000}"/>
    <cellStyle name="표준 2" xfId="1420" xr:uid="{00000000-0005-0000-0000-00008E070000}"/>
    <cellStyle name="표준 2 10" xfId="1421" xr:uid="{00000000-0005-0000-0000-00008F070000}"/>
    <cellStyle name="표준 2 10 2" xfId="1422" xr:uid="{00000000-0005-0000-0000-000090070000}"/>
    <cellStyle name="표준 2 11" xfId="1423" xr:uid="{00000000-0005-0000-0000-000091070000}"/>
    <cellStyle name="표준 2 12" xfId="1424" xr:uid="{00000000-0005-0000-0000-000092070000}"/>
    <cellStyle name="표준 2 13" xfId="1425" xr:uid="{00000000-0005-0000-0000-000093070000}"/>
    <cellStyle name="표준 2 14" xfId="1426" xr:uid="{00000000-0005-0000-0000-000094070000}"/>
    <cellStyle name="표준 2 15" xfId="1427" xr:uid="{00000000-0005-0000-0000-000095070000}"/>
    <cellStyle name="표준 2 16" xfId="1428" xr:uid="{00000000-0005-0000-0000-000096070000}"/>
    <cellStyle name="표준 2 17" xfId="1429" xr:uid="{00000000-0005-0000-0000-000097070000}"/>
    <cellStyle name="표준 2 18" xfId="1430" xr:uid="{00000000-0005-0000-0000-000098070000}"/>
    <cellStyle name="표준 2 19" xfId="1431" xr:uid="{00000000-0005-0000-0000-000099070000}"/>
    <cellStyle name="표준 2 2" xfId="1432" xr:uid="{00000000-0005-0000-0000-00009A070000}"/>
    <cellStyle name="표준 2 2 2" xfId="1433" xr:uid="{00000000-0005-0000-0000-00009B070000}"/>
    <cellStyle name="표준 2 2 2 2" xfId="1434" xr:uid="{00000000-0005-0000-0000-00009C070000}"/>
    <cellStyle name="표준 2 2 2 2 2" xfId="1435" xr:uid="{00000000-0005-0000-0000-00009D070000}"/>
    <cellStyle name="표준 2 2 2 2 3" xfId="1436" xr:uid="{00000000-0005-0000-0000-00009E070000}"/>
    <cellStyle name="표준 2 2 2 3" xfId="1437" xr:uid="{00000000-0005-0000-0000-00009F070000}"/>
    <cellStyle name="표준 2 2 2 3 2" xfId="1760" xr:uid="{00000000-0005-0000-0000-0000A0070000}"/>
    <cellStyle name="표준 2 2 2 3 3" xfId="1761" xr:uid="{00000000-0005-0000-0000-0000A1070000}"/>
    <cellStyle name="표준 2 2 2 4" xfId="1438" xr:uid="{00000000-0005-0000-0000-0000A2070000}"/>
    <cellStyle name="표준 2 2 2 5" xfId="1439" xr:uid="{00000000-0005-0000-0000-0000A3070000}"/>
    <cellStyle name="표준 2 2 2 6" xfId="1440" xr:uid="{00000000-0005-0000-0000-0000A4070000}"/>
    <cellStyle name="표준 2 2 2 7" xfId="1686" xr:uid="{00000000-0005-0000-0000-0000A5070000}"/>
    <cellStyle name="표준 2 2 3" xfId="1441" xr:uid="{00000000-0005-0000-0000-0000A6070000}"/>
    <cellStyle name="표준 2 2 3 2" xfId="1442" xr:uid="{00000000-0005-0000-0000-0000A7070000}"/>
    <cellStyle name="표준 2 2 3 3" xfId="1443" xr:uid="{00000000-0005-0000-0000-0000A8070000}"/>
    <cellStyle name="표준 2 2 3 4" xfId="1759" xr:uid="{00000000-0005-0000-0000-0000A9070000}"/>
    <cellStyle name="표준 2 2 4" xfId="1444" xr:uid="{00000000-0005-0000-0000-0000AA070000}"/>
    <cellStyle name="표준 2 2 4 2" xfId="1758" xr:uid="{00000000-0005-0000-0000-0000AB070000}"/>
    <cellStyle name="표준 2 2 5" xfId="1757" xr:uid="{00000000-0005-0000-0000-0000AC070000}"/>
    <cellStyle name="표준 2 2 6" xfId="1756" xr:uid="{00000000-0005-0000-0000-0000AD070000}"/>
    <cellStyle name="표준 2 20" xfId="1445" xr:uid="{00000000-0005-0000-0000-0000AE070000}"/>
    <cellStyle name="표준 2 21" xfId="1446" xr:uid="{00000000-0005-0000-0000-0000AF070000}"/>
    <cellStyle name="표준 2 22" xfId="1447" xr:uid="{00000000-0005-0000-0000-0000B0070000}"/>
    <cellStyle name="표준 2 23" xfId="1448" xr:uid="{00000000-0005-0000-0000-0000B1070000}"/>
    <cellStyle name="표준 2 24" xfId="1449" xr:uid="{00000000-0005-0000-0000-0000B2070000}"/>
    <cellStyle name="표준 2 25" xfId="1450" xr:uid="{00000000-0005-0000-0000-0000B3070000}"/>
    <cellStyle name="표준 2 26" xfId="1451" xr:uid="{00000000-0005-0000-0000-0000B4070000}"/>
    <cellStyle name="표준 2 27" xfId="1452" xr:uid="{00000000-0005-0000-0000-0000B5070000}"/>
    <cellStyle name="표준 2 3" xfId="1453" xr:uid="{00000000-0005-0000-0000-0000B6070000}"/>
    <cellStyle name="표준 2 3 2" xfId="1454" xr:uid="{00000000-0005-0000-0000-0000B7070000}"/>
    <cellStyle name="표준 2 3 2 2" xfId="1455" xr:uid="{00000000-0005-0000-0000-0000B8070000}"/>
    <cellStyle name="표준 2 3 2 2 2" xfId="1754" xr:uid="{00000000-0005-0000-0000-0000B9070000}"/>
    <cellStyle name="표준 2 3 2 3" xfId="1456" xr:uid="{00000000-0005-0000-0000-0000BA070000}"/>
    <cellStyle name="표준 2 3 2 3 2" xfId="1753" xr:uid="{00000000-0005-0000-0000-0000BB070000}"/>
    <cellStyle name="표준 2 3 2 4" xfId="1457" xr:uid="{00000000-0005-0000-0000-0000BC070000}"/>
    <cellStyle name="표준 2 3 2 5" xfId="1458" xr:uid="{00000000-0005-0000-0000-0000BD070000}"/>
    <cellStyle name="표준 2 3 2 6" xfId="1755" xr:uid="{00000000-0005-0000-0000-0000BE070000}"/>
    <cellStyle name="표준 2 3 3" xfId="1459" xr:uid="{00000000-0005-0000-0000-0000BF070000}"/>
    <cellStyle name="표준 2 3 4" xfId="1460" xr:uid="{00000000-0005-0000-0000-0000C0070000}"/>
    <cellStyle name="표준 2 3 4 2" xfId="1751" xr:uid="{00000000-0005-0000-0000-0000C1070000}"/>
    <cellStyle name="표준 2 3 4 3" xfId="1752" xr:uid="{00000000-0005-0000-0000-0000C2070000}"/>
    <cellStyle name="표준 2 3 5" xfId="1461" xr:uid="{00000000-0005-0000-0000-0000C3070000}"/>
    <cellStyle name="표준 2 3 5 2" xfId="1462" xr:uid="{00000000-0005-0000-0000-0000C4070000}"/>
    <cellStyle name="표준 2 3 6" xfId="1463" xr:uid="{00000000-0005-0000-0000-0000C5070000}"/>
    <cellStyle name="표준 2 3 7" xfId="1623" xr:uid="{00000000-0005-0000-0000-0000C6070000}"/>
    <cellStyle name="표준 2 35" xfId="1464" xr:uid="{00000000-0005-0000-0000-0000C7070000}"/>
    <cellStyle name="표준 2 4" xfId="1465" xr:uid="{00000000-0005-0000-0000-0000C8070000}"/>
    <cellStyle name="표준 2 4 2" xfId="1466" xr:uid="{00000000-0005-0000-0000-0000C9070000}"/>
    <cellStyle name="표준 2 4 2 2" xfId="1467" xr:uid="{00000000-0005-0000-0000-0000CA070000}"/>
    <cellStyle name="표준 2 4 3" xfId="1468" xr:uid="{00000000-0005-0000-0000-0000CB070000}"/>
    <cellStyle name="표준 2 4 3 2" xfId="1748" xr:uid="{00000000-0005-0000-0000-0000CC070000}"/>
    <cellStyle name="표준 2 4 4" xfId="1469" xr:uid="{00000000-0005-0000-0000-0000CD070000}"/>
    <cellStyle name="표준 2 4 5" xfId="1687" xr:uid="{00000000-0005-0000-0000-0000CE070000}"/>
    <cellStyle name="표준 2 4 6" xfId="1749" xr:uid="{00000000-0005-0000-0000-0000CF070000}"/>
    <cellStyle name="표준 2 5" xfId="1470" xr:uid="{00000000-0005-0000-0000-0000D0070000}"/>
    <cellStyle name="표준 2 5 2" xfId="1471" xr:uid="{00000000-0005-0000-0000-0000D1070000}"/>
    <cellStyle name="표준 2 5 3" xfId="1472" xr:uid="{00000000-0005-0000-0000-0000D2070000}"/>
    <cellStyle name="표준 2 5 4" xfId="1473" xr:uid="{00000000-0005-0000-0000-0000D3070000}"/>
    <cellStyle name="표준 2 5 5" xfId="1688" xr:uid="{00000000-0005-0000-0000-0000D4070000}"/>
    <cellStyle name="표준 2 6" xfId="1474" xr:uid="{00000000-0005-0000-0000-0000D5070000}"/>
    <cellStyle name="표준 2 6 2" xfId="1475" xr:uid="{00000000-0005-0000-0000-0000D6070000}"/>
    <cellStyle name="표준 2 7" xfId="1476" xr:uid="{00000000-0005-0000-0000-0000D7070000}"/>
    <cellStyle name="표준 2 8" xfId="1477" xr:uid="{00000000-0005-0000-0000-0000D8070000}"/>
    <cellStyle name="표준 2 9" xfId="1478" xr:uid="{00000000-0005-0000-0000-0000D9070000}"/>
    <cellStyle name="표준 2_1" xfId="1479" xr:uid="{00000000-0005-0000-0000-0000DA070000}"/>
    <cellStyle name="표준 20" xfId="1480" xr:uid="{00000000-0005-0000-0000-0000DB070000}"/>
    <cellStyle name="표준 20 2" xfId="1481" xr:uid="{00000000-0005-0000-0000-0000DC070000}"/>
    <cellStyle name="표준 20 3" xfId="1482" xr:uid="{00000000-0005-0000-0000-0000DD070000}"/>
    <cellStyle name="표준 20 4" xfId="1483" xr:uid="{00000000-0005-0000-0000-0000DE070000}"/>
    <cellStyle name="표준 20 5" xfId="1484" xr:uid="{00000000-0005-0000-0000-0000DF070000}"/>
    <cellStyle name="표준 21" xfId="1485" xr:uid="{00000000-0005-0000-0000-0000E0070000}"/>
    <cellStyle name="표준 21 2" xfId="1486" xr:uid="{00000000-0005-0000-0000-0000E1070000}"/>
    <cellStyle name="표준 21 3" xfId="1487" xr:uid="{00000000-0005-0000-0000-0000E2070000}"/>
    <cellStyle name="표준 21 4" xfId="1488" xr:uid="{00000000-0005-0000-0000-0000E3070000}"/>
    <cellStyle name="표준 22" xfId="1489" xr:uid="{00000000-0005-0000-0000-0000E4070000}"/>
    <cellStyle name="표준 23" xfId="1490" xr:uid="{00000000-0005-0000-0000-0000E5070000}"/>
    <cellStyle name="표준 24" xfId="1491" xr:uid="{00000000-0005-0000-0000-0000E6070000}"/>
    <cellStyle name="표준 25" xfId="1492" xr:uid="{00000000-0005-0000-0000-0000E7070000}"/>
    <cellStyle name="표준 26" xfId="1493" xr:uid="{00000000-0005-0000-0000-0000E8070000}"/>
    <cellStyle name="표준 27" xfId="1494" xr:uid="{00000000-0005-0000-0000-0000E9070000}"/>
    <cellStyle name="표준 28" xfId="1495" xr:uid="{00000000-0005-0000-0000-0000EA070000}"/>
    <cellStyle name="표준 29" xfId="1496" xr:uid="{00000000-0005-0000-0000-0000EB070000}"/>
    <cellStyle name="표준 3" xfId="1497" xr:uid="{00000000-0005-0000-0000-0000EC070000}"/>
    <cellStyle name="표준 3 10 5" xfId="1498" xr:uid="{00000000-0005-0000-0000-0000ED070000}"/>
    <cellStyle name="표준 3 2" xfId="1499" xr:uid="{00000000-0005-0000-0000-0000EE070000}"/>
    <cellStyle name="표준 3 2 2" xfId="1500" xr:uid="{00000000-0005-0000-0000-0000EF070000}"/>
    <cellStyle name="표준 3 2 2 2" xfId="1745" xr:uid="{00000000-0005-0000-0000-0000F0070000}"/>
    <cellStyle name="표준 3 2 2 3" xfId="1746" xr:uid="{00000000-0005-0000-0000-0000F1070000}"/>
    <cellStyle name="표준 3 2 3" xfId="1501" xr:uid="{00000000-0005-0000-0000-0000F2070000}"/>
    <cellStyle name="표준 3 2 3 2" xfId="1502" xr:uid="{00000000-0005-0000-0000-0000F3070000}"/>
    <cellStyle name="표준 3 2 3 3" xfId="1744" xr:uid="{00000000-0005-0000-0000-0000F4070000}"/>
    <cellStyle name="표준 3 2 4" xfId="1503" xr:uid="{00000000-0005-0000-0000-0000F5070000}"/>
    <cellStyle name="표준 3 2 5" xfId="1504" xr:uid="{00000000-0005-0000-0000-0000F6070000}"/>
    <cellStyle name="표준 3 3" xfId="1505" xr:uid="{00000000-0005-0000-0000-0000F7070000}"/>
    <cellStyle name="표준 3 3 2" xfId="1506" xr:uid="{00000000-0005-0000-0000-0000F8070000}"/>
    <cellStyle name="표준 3 3 2 2" xfId="1507" xr:uid="{00000000-0005-0000-0000-0000F9070000}"/>
    <cellStyle name="표준 3 3 2 3" xfId="1508" xr:uid="{00000000-0005-0000-0000-0000FA070000}"/>
    <cellStyle name="표준 3 3 2 4" xfId="1509" xr:uid="{00000000-0005-0000-0000-0000FB070000}"/>
    <cellStyle name="표준 3 3 3" xfId="1510" xr:uid="{00000000-0005-0000-0000-0000FC070000}"/>
    <cellStyle name="표준 3 3 4" xfId="1511" xr:uid="{00000000-0005-0000-0000-0000FD070000}"/>
    <cellStyle name="표준 3 3 5" xfId="1512" xr:uid="{00000000-0005-0000-0000-0000FE070000}"/>
    <cellStyle name="표준 3 3 6" xfId="1624" xr:uid="{00000000-0005-0000-0000-0000FF070000}"/>
    <cellStyle name="표준 3 4" xfId="1513" xr:uid="{00000000-0005-0000-0000-000000080000}"/>
    <cellStyle name="표준 3 4 2" xfId="1514" xr:uid="{00000000-0005-0000-0000-000001080000}"/>
    <cellStyle name="표준 3 4 2 2" xfId="1742" xr:uid="{00000000-0005-0000-0000-000002080000}"/>
    <cellStyle name="표준 3 4 2 3" xfId="1743" xr:uid="{00000000-0005-0000-0000-000003080000}"/>
    <cellStyle name="표준 3 4 3" xfId="1515" xr:uid="{00000000-0005-0000-0000-000004080000}"/>
    <cellStyle name="표준 3 4 4" xfId="1516" xr:uid="{00000000-0005-0000-0000-000005080000}"/>
    <cellStyle name="표준 3 4 5" xfId="1517" xr:uid="{00000000-0005-0000-0000-000006080000}"/>
    <cellStyle name="표준 3 5" xfId="1518" xr:uid="{00000000-0005-0000-0000-000007080000}"/>
    <cellStyle name="표준 3 5 2" xfId="1519" xr:uid="{00000000-0005-0000-0000-000008080000}"/>
    <cellStyle name="표준 3 5 3" xfId="1520" xr:uid="{00000000-0005-0000-0000-000009080000}"/>
    <cellStyle name="표준 3 6" xfId="1521" xr:uid="{00000000-0005-0000-0000-00000A080000}"/>
    <cellStyle name="표준 3 6 2" xfId="1522" xr:uid="{00000000-0005-0000-0000-00000B080000}"/>
    <cellStyle name="표준 3 6 3" xfId="1523" xr:uid="{00000000-0005-0000-0000-00000C080000}"/>
    <cellStyle name="표준 3 7" xfId="1741" xr:uid="{00000000-0005-0000-0000-00000D080000}"/>
    <cellStyle name="표준 3 8" xfId="1747" xr:uid="{00000000-0005-0000-0000-00000E080000}"/>
    <cellStyle name="표준 30" xfId="1524" xr:uid="{00000000-0005-0000-0000-00000F080000}"/>
    <cellStyle name="표준 31" xfId="1525" xr:uid="{00000000-0005-0000-0000-000010080000}"/>
    <cellStyle name="표준 32" xfId="1526" xr:uid="{00000000-0005-0000-0000-000011080000}"/>
    <cellStyle name="표준 33" xfId="1527" xr:uid="{00000000-0005-0000-0000-000012080000}"/>
    <cellStyle name="표준 34" xfId="1528" xr:uid="{00000000-0005-0000-0000-000013080000}"/>
    <cellStyle name="표준 35" xfId="1529" xr:uid="{00000000-0005-0000-0000-000014080000}"/>
    <cellStyle name="표준 36" xfId="1530" xr:uid="{00000000-0005-0000-0000-000015080000}"/>
    <cellStyle name="표준 37" xfId="1531" xr:uid="{00000000-0005-0000-0000-000016080000}"/>
    <cellStyle name="표준 38" xfId="1532" xr:uid="{00000000-0005-0000-0000-000017080000}"/>
    <cellStyle name="표준 39" xfId="1533" xr:uid="{00000000-0005-0000-0000-000018080000}"/>
    <cellStyle name="표준 4" xfId="1534" xr:uid="{00000000-0005-0000-0000-000019080000}"/>
    <cellStyle name="표준 4 2" xfId="1535" xr:uid="{00000000-0005-0000-0000-00001A080000}"/>
    <cellStyle name="표준 4 2 2" xfId="1536" xr:uid="{00000000-0005-0000-0000-00001B080000}"/>
    <cellStyle name="표준 4 2 2 2" xfId="1537" xr:uid="{00000000-0005-0000-0000-00001C080000}"/>
    <cellStyle name="표준 4 2 2 3" xfId="1538" xr:uid="{00000000-0005-0000-0000-00001D080000}"/>
    <cellStyle name="표준 4 2 2 4" xfId="1740" xr:uid="{00000000-0005-0000-0000-00001E080000}"/>
    <cellStyle name="표준 4 2 3" xfId="1539" xr:uid="{00000000-0005-0000-0000-00001F080000}"/>
    <cellStyle name="표준 4 2 3 2" xfId="1540" xr:uid="{00000000-0005-0000-0000-000020080000}"/>
    <cellStyle name="표준 4 2 3 3" xfId="1541" xr:uid="{00000000-0005-0000-0000-000021080000}"/>
    <cellStyle name="표준 4 2 3 4" xfId="1739" xr:uid="{00000000-0005-0000-0000-000022080000}"/>
    <cellStyle name="표준 4 2 4" xfId="1542" xr:uid="{00000000-0005-0000-0000-000023080000}"/>
    <cellStyle name="표준 4 2 4 2" xfId="1543" xr:uid="{00000000-0005-0000-0000-000024080000}"/>
    <cellStyle name="표준 4 2 5" xfId="1544" xr:uid="{00000000-0005-0000-0000-000025080000}"/>
    <cellStyle name="표준 4 2 6" xfId="1690" xr:uid="{00000000-0005-0000-0000-000026080000}"/>
    <cellStyle name="표준 4 3" xfId="1545" xr:uid="{00000000-0005-0000-0000-000027080000}"/>
    <cellStyle name="표준 4 3 2" xfId="1546" xr:uid="{00000000-0005-0000-0000-000028080000}"/>
    <cellStyle name="표준 4 3 2 2" xfId="1737" xr:uid="{00000000-0005-0000-0000-000029080000}"/>
    <cellStyle name="표준 4 3 3" xfId="1547" xr:uid="{00000000-0005-0000-0000-00002A080000}"/>
    <cellStyle name="표준 4 3 4" xfId="1548" xr:uid="{00000000-0005-0000-0000-00002B080000}"/>
    <cellStyle name="표준 4 3 5" xfId="1738" xr:uid="{00000000-0005-0000-0000-00002C080000}"/>
    <cellStyle name="표준 4 4" xfId="1549" xr:uid="{00000000-0005-0000-0000-00002D080000}"/>
    <cellStyle name="표준 4 4 2" xfId="1550" xr:uid="{00000000-0005-0000-0000-00002E080000}"/>
    <cellStyle name="표준 4 4 2 2" xfId="1735" xr:uid="{00000000-0005-0000-0000-00002F080000}"/>
    <cellStyle name="표준 4 4 3" xfId="1736" xr:uid="{00000000-0005-0000-0000-000030080000}"/>
    <cellStyle name="표준 4 5" xfId="1551" xr:uid="{00000000-0005-0000-0000-000031080000}"/>
    <cellStyle name="표준 4 5 2" xfId="1734" xr:uid="{00000000-0005-0000-0000-000032080000}"/>
    <cellStyle name="표준 4 6" xfId="1552" xr:uid="{00000000-0005-0000-0000-000033080000}"/>
    <cellStyle name="표준 4 6 2" xfId="1733" xr:uid="{00000000-0005-0000-0000-000034080000}"/>
    <cellStyle name="표준 4 7" xfId="1553" xr:uid="{00000000-0005-0000-0000-000035080000}"/>
    <cellStyle name="표준 4 8" xfId="1554" xr:uid="{00000000-0005-0000-0000-000036080000}"/>
    <cellStyle name="표준 40" xfId="1555" xr:uid="{00000000-0005-0000-0000-000037080000}"/>
    <cellStyle name="표준 41" xfId="1556" xr:uid="{00000000-0005-0000-0000-000038080000}"/>
    <cellStyle name="표준 42" xfId="1557" xr:uid="{00000000-0005-0000-0000-000039080000}"/>
    <cellStyle name="표준 43" xfId="1558" xr:uid="{00000000-0005-0000-0000-00003A080000}"/>
    <cellStyle name="표준 44" xfId="1559" xr:uid="{00000000-0005-0000-0000-00003B080000}"/>
    <cellStyle name="표준 45" xfId="1560" xr:uid="{00000000-0005-0000-0000-00003C080000}"/>
    <cellStyle name="표준 46" xfId="1618" xr:uid="{00000000-0005-0000-0000-00003D080000}"/>
    <cellStyle name="표준 47" xfId="1625" xr:uid="{00000000-0005-0000-0000-00003E080000}"/>
    <cellStyle name="표준 48" xfId="1628" xr:uid="{00000000-0005-0000-0000-00003F080000}"/>
    <cellStyle name="표준 49" xfId="1629" xr:uid="{00000000-0005-0000-0000-000040080000}"/>
    <cellStyle name="표준 5" xfId="1561" xr:uid="{00000000-0005-0000-0000-000041080000}"/>
    <cellStyle name="표준 5 10" xfId="1562" xr:uid="{00000000-0005-0000-0000-000042080000}"/>
    <cellStyle name="표준 5 2" xfId="1563" xr:uid="{00000000-0005-0000-0000-000043080000}"/>
    <cellStyle name="표준 5 2 2" xfId="1564" xr:uid="{00000000-0005-0000-0000-000044080000}"/>
    <cellStyle name="표준 5 2 2 2" xfId="1732" xr:uid="{00000000-0005-0000-0000-000045080000}"/>
    <cellStyle name="표준 5 2 3" xfId="1565" xr:uid="{00000000-0005-0000-0000-000046080000}"/>
    <cellStyle name="표준 5 3" xfId="1566" xr:uid="{00000000-0005-0000-0000-000047080000}"/>
    <cellStyle name="표준 5 3 2" xfId="1567" xr:uid="{00000000-0005-0000-0000-000048080000}"/>
    <cellStyle name="표준 5 3 3" xfId="1568" xr:uid="{00000000-0005-0000-0000-000049080000}"/>
    <cellStyle name="표준 5 3 4" xfId="1569" xr:uid="{00000000-0005-0000-0000-00004A080000}"/>
    <cellStyle name="표준 5 4" xfId="1570" xr:uid="{00000000-0005-0000-0000-00004B080000}"/>
    <cellStyle name="표준 5 4 2" xfId="1571" xr:uid="{00000000-0005-0000-0000-00004C080000}"/>
    <cellStyle name="표준 5 5" xfId="1572" xr:uid="{00000000-0005-0000-0000-00004D080000}"/>
    <cellStyle name="표준 5 5 2" xfId="1731" xr:uid="{00000000-0005-0000-0000-00004E080000}"/>
    <cellStyle name="표준 5 6" xfId="1573" xr:uid="{00000000-0005-0000-0000-00004F080000}"/>
    <cellStyle name="표준 5 7" xfId="1574" xr:uid="{00000000-0005-0000-0000-000050080000}"/>
    <cellStyle name="표준 5 7 2" xfId="1575" xr:uid="{00000000-0005-0000-0000-000051080000}"/>
    <cellStyle name="표준 5 7 3" xfId="1576" xr:uid="{00000000-0005-0000-0000-000052080000}"/>
    <cellStyle name="표준 5 8" xfId="1577" xr:uid="{00000000-0005-0000-0000-000053080000}"/>
    <cellStyle name="표준 50" xfId="1630" xr:uid="{00000000-0005-0000-0000-000054080000}"/>
    <cellStyle name="표준 51" xfId="1631" xr:uid="{00000000-0005-0000-0000-000055080000}"/>
    <cellStyle name="표준 52" xfId="1638" xr:uid="{00000000-0005-0000-0000-000056080000}"/>
    <cellStyle name="표준 53" xfId="1656" xr:uid="{00000000-0005-0000-0000-000057080000}"/>
    <cellStyle name="표준 54" xfId="1657" xr:uid="{00000000-0005-0000-0000-000058080000}"/>
    <cellStyle name="표준 55" xfId="1658" xr:uid="{00000000-0005-0000-0000-000059080000}"/>
    <cellStyle name="표준 56" xfId="1659" xr:uid="{00000000-0005-0000-0000-00005A080000}"/>
    <cellStyle name="표준 57" xfId="1660" xr:uid="{00000000-0005-0000-0000-00005B080000}"/>
    <cellStyle name="표준 58" xfId="1661" xr:uid="{00000000-0005-0000-0000-00005C080000}"/>
    <cellStyle name="표준 59" xfId="1662" xr:uid="{00000000-0005-0000-0000-00005D080000}"/>
    <cellStyle name="표준 6" xfId="1578" xr:uid="{00000000-0005-0000-0000-00005E080000}"/>
    <cellStyle name="표준 6 2" xfId="1579" xr:uid="{00000000-0005-0000-0000-00005F080000}"/>
    <cellStyle name="표준 6 2 2" xfId="1730" xr:uid="{00000000-0005-0000-0000-000060080000}"/>
    <cellStyle name="표준 6 3" xfId="1580" xr:uid="{00000000-0005-0000-0000-000061080000}"/>
    <cellStyle name="표준 6 3 2" xfId="1581" xr:uid="{00000000-0005-0000-0000-000062080000}"/>
    <cellStyle name="표준 6 3 3" xfId="1582" xr:uid="{00000000-0005-0000-0000-000063080000}"/>
    <cellStyle name="표준 6 4" xfId="1583" xr:uid="{00000000-0005-0000-0000-000064080000}"/>
    <cellStyle name="표준 60" xfId="1689" xr:uid="{00000000-0005-0000-0000-000065080000}"/>
    <cellStyle name="표준 61" xfId="1691" xr:uid="{00000000-0005-0000-0000-000066080000}"/>
    <cellStyle name="표준 62" xfId="1692" xr:uid="{00000000-0005-0000-0000-000067080000}"/>
    <cellStyle name="표준 63" xfId="1693" xr:uid="{00000000-0005-0000-0000-000068080000}"/>
    <cellStyle name="표준 64" xfId="1694" xr:uid="{00000000-0005-0000-0000-000069080000}"/>
    <cellStyle name="표준 65" xfId="1695" xr:uid="{00000000-0005-0000-0000-00006A080000}"/>
    <cellStyle name="표준 66" xfId="1696" xr:uid="{00000000-0005-0000-0000-00006B080000}"/>
    <cellStyle name="표준 67" xfId="1697" xr:uid="{00000000-0005-0000-0000-00006C080000}"/>
    <cellStyle name="표준 68" xfId="1698" xr:uid="{00000000-0005-0000-0000-00006D080000}"/>
    <cellStyle name="표준 69" xfId="1699" xr:uid="{00000000-0005-0000-0000-00006E080000}"/>
    <cellStyle name="표준 7" xfId="1584" xr:uid="{00000000-0005-0000-0000-00006F080000}"/>
    <cellStyle name="표준 7 2" xfId="1585" xr:uid="{00000000-0005-0000-0000-000070080000}"/>
    <cellStyle name="표준 7 2 2" xfId="1586" xr:uid="{00000000-0005-0000-0000-000071080000}"/>
    <cellStyle name="표준 7 2 2 2" xfId="1587" xr:uid="{00000000-0005-0000-0000-000072080000}"/>
    <cellStyle name="표준 7 2 3" xfId="1588" xr:uid="{00000000-0005-0000-0000-000073080000}"/>
    <cellStyle name="표준 7 3" xfId="1589" xr:uid="{00000000-0005-0000-0000-000074080000}"/>
    <cellStyle name="표준 7 3 2" xfId="1590" xr:uid="{00000000-0005-0000-0000-000075080000}"/>
    <cellStyle name="표준 70" xfId="1700" xr:uid="{00000000-0005-0000-0000-000076080000}"/>
    <cellStyle name="표준 71" xfId="1701" xr:uid="{00000000-0005-0000-0000-000077080000}"/>
    <cellStyle name="표준 72" xfId="1702" xr:uid="{00000000-0005-0000-0000-000078080000}"/>
    <cellStyle name="표준 73" xfId="1729" xr:uid="{00000000-0005-0000-0000-000079080000}"/>
    <cellStyle name="표준 74" xfId="1750" xr:uid="{00000000-0005-0000-0000-00007A080000}"/>
    <cellStyle name="표준 75" xfId="1834" xr:uid="{00000000-0005-0000-0000-00007B080000}"/>
    <cellStyle name="표준 76" xfId="2203" xr:uid="{00000000-0005-0000-0000-00007C080000}"/>
    <cellStyle name="표준 77" xfId="2206" xr:uid="{00000000-0005-0000-0000-00007D080000}"/>
    <cellStyle name="표준 8" xfId="1591" xr:uid="{00000000-0005-0000-0000-00007E080000}"/>
    <cellStyle name="표준 8 2" xfId="1592" xr:uid="{00000000-0005-0000-0000-00007F080000}"/>
    <cellStyle name="표준 8 3" xfId="1593" xr:uid="{00000000-0005-0000-0000-000080080000}"/>
    <cellStyle name="표준 8 3 2" xfId="1594" xr:uid="{00000000-0005-0000-0000-000081080000}"/>
    <cellStyle name="표준 8 3 3" xfId="1595" xr:uid="{00000000-0005-0000-0000-000082080000}"/>
    <cellStyle name="표준 8 4" xfId="1596" xr:uid="{00000000-0005-0000-0000-000083080000}"/>
    <cellStyle name="표준 9" xfId="1597" xr:uid="{00000000-0005-0000-0000-000084080000}"/>
    <cellStyle name="표준 9 2" xfId="1598" xr:uid="{00000000-0005-0000-0000-000085080000}"/>
    <cellStyle name="표준 9 2 2" xfId="1599" xr:uid="{00000000-0005-0000-0000-000086080000}"/>
    <cellStyle name="표준 9 2 3" xfId="1600" xr:uid="{00000000-0005-0000-0000-000087080000}"/>
    <cellStyle name="표준 9 2 4" xfId="1601" xr:uid="{00000000-0005-0000-0000-000088080000}"/>
    <cellStyle name="표준 9 3" xfId="1602" xr:uid="{00000000-0005-0000-0000-000089080000}"/>
    <cellStyle name="標準_Akia(F）-8" xfId="1603" xr:uid="{00000000-0005-0000-0000-00008A080000}"/>
    <cellStyle name="하이퍼링크" xfId="1604" builtinId="8"/>
    <cellStyle name="하이퍼링크 2" xfId="1605" hidden="1" xr:uid="{00000000-0005-0000-0000-00008C080000}"/>
    <cellStyle name="하이퍼링크 2" xfId="1705" hidden="1" xr:uid="{00000000-0005-0000-0000-00008D080000}"/>
    <cellStyle name="하이퍼링크 2" xfId="1728" xr:uid="{00000000-0005-0000-0000-00008E080000}"/>
    <cellStyle name="하이퍼링크 2 2" xfId="1606" xr:uid="{00000000-0005-0000-0000-00008F080000}"/>
    <cellStyle name="하이퍼링크 2 2 2" xfId="1607" xr:uid="{00000000-0005-0000-0000-000090080000}"/>
    <cellStyle name="하이퍼링크 2 2 2 2" xfId="1727" xr:uid="{00000000-0005-0000-0000-000091080000}"/>
    <cellStyle name="하이퍼링크 2 3" xfId="1608" xr:uid="{00000000-0005-0000-0000-000092080000}"/>
    <cellStyle name="하이퍼링크 3" xfId="1609" xr:uid="{00000000-0005-0000-0000-000093080000}"/>
    <cellStyle name="하이퍼링크 3 2" xfId="1610" xr:uid="{00000000-0005-0000-0000-000094080000}"/>
    <cellStyle name="하이퍼링크 3 2 2" xfId="1611" xr:uid="{00000000-0005-0000-0000-000095080000}"/>
    <cellStyle name="하이퍼링크 3 2 3" xfId="1612" xr:uid="{00000000-0005-0000-0000-000096080000}"/>
    <cellStyle name="하이퍼링크 3 2 4" xfId="1726" xr:uid="{00000000-0005-0000-0000-000097080000}"/>
    <cellStyle name="하이퍼링크 3 3" xfId="1613" xr:uid="{00000000-0005-0000-0000-000098080000}"/>
    <cellStyle name="하이퍼링크 3 4" xfId="1614" xr:uid="{00000000-0005-0000-0000-000099080000}"/>
    <cellStyle name="하이퍼링크 3 5" xfId="1615" xr:uid="{00000000-0005-0000-0000-00009A080000}"/>
    <cellStyle name="하이퍼링크 4" xfId="1637" xr:uid="{00000000-0005-0000-0000-00009B080000}"/>
    <cellStyle name="하이퍼링크 5" xfId="2205" xr:uid="{00000000-0005-0000-0000-00009C080000}"/>
    <cellStyle name="桁区切り [0.00]_PERSONAL" xfId="1616" xr:uid="{00000000-0005-0000-0000-00009D080000}"/>
    <cellStyle name="桁区切り_PERSONAL" xfId="1617" xr:uid="{00000000-0005-0000-0000-00009E0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1</xdr:col>
      <xdr:colOff>209550</xdr:colOff>
      <xdr:row>5</xdr:row>
      <xdr:rowOff>9525</xdr:rowOff>
    </xdr:to>
    <xdr:pic>
      <xdr:nvPicPr>
        <xdr:cNvPr id="2" name="Picture 1" descr="TNU로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16287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657225</xdr:colOff>
      <xdr:row>23</xdr:row>
      <xdr:rowOff>124680</xdr:rowOff>
    </xdr:from>
    <xdr:to>
      <xdr:col>5</xdr:col>
      <xdr:colOff>276225</xdr:colOff>
      <xdr:row>28</xdr:row>
      <xdr:rowOff>285751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5792055"/>
          <a:ext cx="2324100" cy="220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cmin@tnuda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zoomScale="90" zoomScaleNormal="90" workbookViewId="0">
      <selection activeCell="B1" sqref="B1"/>
    </sheetView>
  </sheetViews>
  <sheetFormatPr defaultColWidth="8.87890625" defaultRowHeight="16.899999999999999"/>
  <cols>
    <col min="1" max="1" width="16.52734375" style="20" customWidth="1"/>
    <col min="2" max="2" width="59.1171875" style="20" customWidth="1"/>
    <col min="3" max="3" width="14.87890625" style="20" customWidth="1"/>
    <col min="4" max="4" width="5.64453125" style="20" customWidth="1"/>
    <col min="5" max="6" width="14.87890625" style="20" customWidth="1"/>
    <col min="7" max="7" width="7.52734375" style="20" hidden="1" customWidth="1"/>
    <col min="8" max="8" width="21.1171875" style="20" customWidth="1"/>
    <col min="9" max="9" width="13.76171875" style="20" bestFit="1" customWidth="1"/>
    <col min="10" max="16384" width="8.87890625" style="20"/>
  </cols>
  <sheetData>
    <row r="2" spans="1:6" ht="6" customHeight="1">
      <c r="F2" s="6"/>
    </row>
    <row r="3" spans="1:6" ht="19.149999999999999">
      <c r="F3" s="1" t="s">
        <v>0</v>
      </c>
    </row>
    <row r="4" spans="1:6">
      <c r="F4" s="7" t="s">
        <v>4</v>
      </c>
    </row>
    <row r="5" spans="1:6">
      <c r="F5" s="41" t="s">
        <v>22</v>
      </c>
    </row>
    <row r="6" spans="1:6">
      <c r="F6" s="41" t="s">
        <v>23</v>
      </c>
    </row>
    <row r="7" spans="1:6">
      <c r="F7" s="41" t="s">
        <v>24</v>
      </c>
    </row>
    <row r="9" spans="1:6" ht="37.15">
      <c r="A9" s="75" t="s">
        <v>5</v>
      </c>
      <c r="B9" s="75"/>
      <c r="C9" s="75"/>
      <c r="D9" s="75"/>
      <c r="E9" s="75"/>
      <c r="F9" s="75"/>
    </row>
    <row r="10" spans="1:6" ht="17.25" thickBot="1">
      <c r="F10" s="66"/>
    </row>
    <row r="11" spans="1:6" ht="15" customHeight="1">
      <c r="A11" s="12" t="s">
        <v>13</v>
      </c>
      <c r="B11" s="13" t="s">
        <v>32</v>
      </c>
      <c r="C11" s="13"/>
      <c r="D11" s="13"/>
      <c r="E11" s="22" t="s">
        <v>16</v>
      </c>
      <c r="F11" s="67">
        <v>45917</v>
      </c>
    </row>
    <row r="12" spans="1:6" ht="15" customHeight="1">
      <c r="A12" s="14" t="s">
        <v>12</v>
      </c>
      <c r="B12" s="15" t="s">
        <v>44</v>
      </c>
      <c r="C12" s="15"/>
      <c r="D12" s="15"/>
      <c r="E12" s="21" t="s">
        <v>17</v>
      </c>
      <c r="F12" s="19" t="s">
        <v>33</v>
      </c>
    </row>
    <row r="13" spans="1:6" ht="15" customHeight="1">
      <c r="A13" s="14" t="s">
        <v>10</v>
      </c>
      <c r="B13" s="15" t="s">
        <v>36</v>
      </c>
      <c r="C13" s="15"/>
      <c r="D13" s="15"/>
      <c r="E13" s="21" t="s">
        <v>15</v>
      </c>
      <c r="F13" s="19" t="s">
        <v>27</v>
      </c>
    </row>
    <row r="14" spans="1:6" ht="15" customHeight="1">
      <c r="A14" s="14"/>
      <c r="B14" s="15"/>
      <c r="C14" s="15"/>
      <c r="D14" s="15"/>
      <c r="E14" s="21" t="s">
        <v>18</v>
      </c>
      <c r="F14" s="19" t="s">
        <v>19</v>
      </c>
    </row>
    <row r="15" spans="1:6" ht="15" customHeight="1">
      <c r="A15" s="14" t="s">
        <v>21</v>
      </c>
      <c r="B15" s="40" t="s">
        <v>25</v>
      </c>
      <c r="C15" s="15"/>
      <c r="D15" s="15"/>
      <c r="E15" s="21" t="s">
        <v>11</v>
      </c>
      <c r="F15" s="68" t="s">
        <v>20</v>
      </c>
    </row>
    <row r="16" spans="1:6" ht="15" customHeight="1">
      <c r="A16" s="14" t="s">
        <v>6</v>
      </c>
      <c r="B16" s="40" t="s">
        <v>26</v>
      </c>
      <c r="C16" s="15"/>
      <c r="D16" s="15"/>
      <c r="E16" s="21" t="s">
        <v>7</v>
      </c>
      <c r="F16" s="19" t="s">
        <v>31</v>
      </c>
    </row>
    <row r="17" spans="1:9" ht="15" customHeight="1">
      <c r="A17" s="14" t="s">
        <v>8</v>
      </c>
      <c r="B17" s="15" t="s">
        <v>42</v>
      </c>
      <c r="C17" s="21"/>
      <c r="D17" s="21"/>
      <c r="E17" s="21"/>
      <c r="F17" s="19"/>
    </row>
    <row r="18" spans="1:9" ht="29.25" customHeight="1">
      <c r="A18" s="23" t="str">
        <f>(" " &amp; "제안금액 : " &amp; NUMBERSTRING(E34,1)&amp;"원정"&amp;"  (￦")&amp;TEXT(E34,"#,##0)"&amp;"  (VAT포함)")</f>
        <v xml:space="preserve"> 제안금액 : 일천육백칠십사만칠천오백원정  (￦16,747,500)  (VAT포함)</v>
      </c>
      <c r="B18" s="18"/>
      <c r="C18" s="18"/>
      <c r="D18" s="2"/>
      <c r="E18" s="16"/>
      <c r="F18" s="15"/>
      <c r="G18" s="8"/>
    </row>
    <row r="19" spans="1:9" ht="15" customHeight="1" thickBot="1">
      <c r="A19" s="46"/>
      <c r="B19" s="46"/>
      <c r="C19" s="46"/>
      <c r="D19" s="46"/>
      <c r="E19" s="46"/>
      <c r="F19" s="46"/>
      <c r="G19" s="42"/>
    </row>
    <row r="20" spans="1:9" s="9" customFormat="1" ht="21" customHeight="1">
      <c r="A20" s="3" t="s">
        <v>1</v>
      </c>
      <c r="B20" s="44" t="s">
        <v>2</v>
      </c>
      <c r="C20" s="4" t="s">
        <v>14</v>
      </c>
      <c r="D20" s="4" t="s">
        <v>3</v>
      </c>
      <c r="E20" s="4" t="s">
        <v>28</v>
      </c>
      <c r="F20" s="45" t="s">
        <v>29</v>
      </c>
      <c r="G20" s="42"/>
      <c r="H20" s="48"/>
    </row>
    <row r="21" spans="1:9" s="46" customFormat="1" ht="26.25" customHeight="1">
      <c r="A21" s="47" t="s">
        <v>34</v>
      </c>
      <c r="B21" s="50"/>
      <c r="C21" s="50"/>
      <c r="D21" s="50"/>
      <c r="E21" s="50"/>
      <c r="F21" s="51"/>
      <c r="G21" s="5">
        <v>0.875</v>
      </c>
      <c r="H21" s="48"/>
      <c r="I21" s="52"/>
    </row>
    <row r="22" spans="1:9" ht="32.450000000000003" customHeight="1">
      <c r="A22" s="60" t="s">
        <v>35</v>
      </c>
      <c r="B22" s="58" t="s">
        <v>41</v>
      </c>
      <c r="C22" s="59">
        <v>400000</v>
      </c>
      <c r="D22" s="57">
        <v>145</v>
      </c>
      <c r="E22" s="64">
        <v>105000</v>
      </c>
      <c r="F22" s="63">
        <f>E22*D22</f>
        <v>15225000</v>
      </c>
      <c r="G22" s="5"/>
      <c r="H22" s="48"/>
      <c r="I22" s="39"/>
    </row>
    <row r="23" spans="1:9" ht="32.450000000000003" customHeight="1">
      <c r="A23" s="61"/>
      <c r="B23" s="69"/>
      <c r="C23" s="59"/>
      <c r="D23" s="57"/>
      <c r="E23" s="54"/>
      <c r="F23" s="62"/>
      <c r="G23" s="5"/>
      <c r="H23" s="49"/>
      <c r="I23" s="39"/>
    </row>
    <row r="24" spans="1:9" ht="32.450000000000003" customHeight="1">
      <c r="A24" s="60"/>
      <c r="B24" s="65" t="s">
        <v>43</v>
      </c>
      <c r="C24" s="59"/>
      <c r="D24" s="57"/>
      <c r="E24" s="54"/>
      <c r="F24" s="62"/>
      <c r="G24" s="5"/>
      <c r="H24" s="53"/>
      <c r="I24" s="39"/>
    </row>
    <row r="25" spans="1:9" ht="32.450000000000003" customHeight="1">
      <c r="A25" s="61"/>
      <c r="B25" s="69"/>
      <c r="C25" s="59"/>
      <c r="D25" s="57"/>
      <c r="E25" s="54"/>
      <c r="F25" s="62"/>
      <c r="G25" s="5"/>
      <c r="H25" s="49"/>
      <c r="I25" s="39"/>
    </row>
    <row r="26" spans="1:9" ht="32.450000000000003" customHeight="1">
      <c r="A26" s="60"/>
      <c r="B26" s="65"/>
      <c r="C26" s="59"/>
      <c r="D26" s="57"/>
      <c r="E26" s="54"/>
      <c r="F26" s="62"/>
      <c r="G26" s="5"/>
      <c r="H26" s="53"/>
      <c r="I26" s="39"/>
    </row>
    <row r="27" spans="1:9" ht="32.450000000000003" customHeight="1">
      <c r="A27" s="61"/>
      <c r="B27" s="65"/>
      <c r="C27" s="59"/>
      <c r="D27" s="57"/>
      <c r="E27" s="54"/>
      <c r="F27" s="62"/>
      <c r="G27" s="5"/>
      <c r="H27" s="49"/>
      <c r="I27" s="39"/>
    </row>
    <row r="28" spans="1:9" ht="32.450000000000003" customHeight="1">
      <c r="A28" s="60"/>
      <c r="B28" s="58"/>
      <c r="C28" s="59"/>
      <c r="D28" s="57"/>
      <c r="E28" s="54"/>
      <c r="F28" s="62"/>
      <c r="G28" s="5"/>
      <c r="H28" s="53"/>
      <c r="I28" s="39"/>
    </row>
    <row r="29" spans="1:9" ht="32.450000000000003" customHeight="1">
      <c r="A29" s="61"/>
      <c r="B29" s="58"/>
      <c r="C29" s="59"/>
      <c r="D29" s="57"/>
      <c r="E29" s="54"/>
      <c r="F29" s="62"/>
      <c r="G29" s="5"/>
      <c r="H29" s="49"/>
      <c r="I29" s="39"/>
    </row>
    <row r="30" spans="1:9" ht="32.450000000000003" customHeight="1">
      <c r="A30" s="60"/>
      <c r="B30" s="58"/>
      <c r="C30" s="59"/>
      <c r="D30" s="57"/>
      <c r="E30" s="54"/>
      <c r="F30" s="62"/>
      <c r="G30" s="5"/>
      <c r="H30" s="53"/>
      <c r="I30" s="39"/>
    </row>
    <row r="31" spans="1:9" ht="25.5" customHeight="1" thickBot="1">
      <c r="A31" s="76" t="s">
        <v>38</v>
      </c>
      <c r="B31" s="77"/>
      <c r="C31" s="77"/>
      <c r="D31" s="78"/>
      <c r="E31" s="55"/>
      <c r="F31" s="56">
        <f>F22</f>
        <v>15225000</v>
      </c>
      <c r="G31" s="42"/>
      <c r="H31" s="49"/>
      <c r="I31" s="35"/>
    </row>
    <row r="32" spans="1:9" ht="17.25" thickBot="1">
      <c r="A32" s="26"/>
      <c r="B32" s="27"/>
      <c r="C32" s="27"/>
      <c r="D32" s="28"/>
      <c r="E32" s="25"/>
      <c r="F32" s="25"/>
      <c r="G32" s="10"/>
      <c r="H32" s="38"/>
      <c r="I32" s="37"/>
    </row>
    <row r="33" spans="1:9" ht="27.75" customHeight="1" thickBot="1">
      <c r="A33" s="70" t="s">
        <v>39</v>
      </c>
      <c r="B33" s="71"/>
      <c r="C33" s="71"/>
      <c r="D33" s="72"/>
      <c r="E33" s="73">
        <f>F31</f>
        <v>15225000</v>
      </c>
      <c r="F33" s="74"/>
      <c r="G33" s="43"/>
      <c r="I33" s="36"/>
    </row>
    <row r="34" spans="1:9" ht="27.75" customHeight="1" thickBot="1">
      <c r="A34" s="70" t="s">
        <v>40</v>
      </c>
      <c r="B34" s="71"/>
      <c r="C34" s="71"/>
      <c r="D34" s="72"/>
      <c r="E34" s="73">
        <f>E33*1.1</f>
        <v>16747500.000000002</v>
      </c>
      <c r="F34" s="74"/>
      <c r="G34" s="43"/>
      <c r="I34" s="36"/>
    </row>
    <row r="35" spans="1:9" ht="17.25" thickBot="1">
      <c r="A35" s="17"/>
      <c r="B35" s="17"/>
      <c r="C35" s="17"/>
      <c r="D35" s="17"/>
      <c r="E35" s="17"/>
      <c r="F35" s="17"/>
      <c r="I35" s="36"/>
    </row>
    <row r="36" spans="1:9" ht="23.25" customHeight="1">
      <c r="A36" s="29" t="s">
        <v>9</v>
      </c>
      <c r="B36" s="34" t="s">
        <v>37</v>
      </c>
      <c r="C36" s="34"/>
      <c r="D36" s="30"/>
      <c r="E36" s="30"/>
      <c r="F36" s="33"/>
    </row>
    <row r="37" spans="1:9" ht="23.25" customHeight="1" thickBot="1">
      <c r="A37" s="11"/>
      <c r="B37" s="24" t="s">
        <v>30</v>
      </c>
      <c r="C37" s="24"/>
      <c r="D37" s="31"/>
      <c r="E37" s="31"/>
      <c r="F37" s="32"/>
    </row>
  </sheetData>
  <mergeCells count="6">
    <mergeCell ref="A34:D34"/>
    <mergeCell ref="E34:F34"/>
    <mergeCell ref="A9:F9"/>
    <mergeCell ref="A31:D31"/>
    <mergeCell ref="A33:D33"/>
    <mergeCell ref="E33:F33"/>
  </mergeCells>
  <phoneticPr fontId="3" type="noConversion"/>
  <hyperlinks>
    <hyperlink ref="F15" r:id="rId1" xr:uid="{00000000-0004-0000-0000-000000000000}"/>
  </hyperlinks>
  <printOptions horizontalCentered="1"/>
  <pageMargins left="0.35433070866141736" right="0.35433070866141736" top="0.55118110236220474" bottom="0.39370078740157483" header="0.31496062992125984" footer="0.31496062992125984"/>
  <pageSetup paperSize="9" scale="65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KDB산업은행</vt:lpstr>
      <vt:lpstr>KDB산업은행!Print_Area</vt:lpstr>
    </vt:vector>
  </TitlesOfParts>
  <Company>Liger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Lee(TNU)</dc:creator>
  <cp:lastModifiedBy>동춘 민</cp:lastModifiedBy>
  <cp:lastPrinted>2022-06-13T05:43:21Z</cp:lastPrinted>
  <dcterms:created xsi:type="dcterms:W3CDTF">2001-04-27T07:32:15Z</dcterms:created>
  <dcterms:modified xsi:type="dcterms:W3CDTF">2025-09-16T06:35:43Z</dcterms:modified>
</cp:coreProperties>
</file>