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N:\공유\공유받은\1.고객자료\CY2025\한국산업은행\노후서버교체\"/>
    </mc:Choice>
  </mc:AlternateContent>
  <xr:revisionPtr revIDLastSave="0" documentId="13_ncr:1_{7CEDD683-8937-4A37-9D2E-A80C385BBEE6}" xr6:coauthVersionLast="47" xr6:coauthVersionMax="47" xr10:uidLastSave="{00000000-0000-0000-0000-000000000000}"/>
  <bookViews>
    <workbookView xWindow="28680" yWindow="-120" windowWidth="38640" windowHeight="21120" tabRatio="710" xr2:uid="{00000000-000D-0000-FFFF-FFFF00000000}"/>
  </bookViews>
  <sheets>
    <sheet name="KDB_VDI서버교체" sheetId="5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J29" i="5" l="1"/>
  <c r="H29" i="5"/>
  <c r="J31" i="5"/>
  <c r="H31" i="5"/>
  <c r="J30" i="5"/>
  <c r="H30" i="5"/>
  <c r="J32" i="5"/>
  <c r="H32" i="5"/>
  <c r="J28" i="5" l="1"/>
  <c r="H28" i="5"/>
  <c r="J25" i="5"/>
  <c r="H25" i="5"/>
  <c r="H26" i="5"/>
  <c r="J26" i="5"/>
  <c r="J27" i="5" l="1"/>
  <c r="H27" i="5"/>
  <c r="J33" i="5"/>
  <c r="H33" i="5"/>
  <c r="J24" i="5"/>
  <c r="H24" i="5"/>
  <c r="J34" i="5" l="1"/>
  <c r="C12" i="5" s="1"/>
</calcChain>
</file>

<file path=xl/sharedStrings.xml><?xml version="1.0" encoding="utf-8"?>
<sst xmlns="http://schemas.openxmlformats.org/spreadsheetml/2006/main" count="89" uniqueCount="77">
  <si>
    <t>견  적  서</t>
  </si>
  <si>
    <t>QUOTATION</t>
  </si>
  <si>
    <t>TO :</t>
  </si>
  <si>
    <t>귀중</t>
  </si>
  <si>
    <t>아래와 같이 견적 합니다.</t>
  </si>
  <si>
    <t>견 적  번 호 :</t>
  </si>
  <si>
    <t>CC :</t>
  </si>
  <si>
    <t>귀하</t>
  </si>
  <si>
    <t>견  적  금  액 :</t>
  </si>
  <si>
    <t>견적유효기간 :</t>
  </si>
  <si>
    <t>15일</t>
  </si>
  <si>
    <t>계약 후 30일 이내 납품</t>
  </si>
  <si>
    <t>2. 유지보수 : 무상하자보증기간 이후의 유지보수는 별도의 계약을 체결하여 시행합니다.</t>
  </si>
  <si>
    <t>[Summary]</t>
  </si>
  <si>
    <t>번호</t>
  </si>
  <si>
    <t>구분</t>
  </si>
  <si>
    <t>상세 내역</t>
  </si>
  <si>
    <t>수량</t>
  </si>
  <si>
    <t>(단위:원)</t>
  </si>
  <si>
    <t>[ 기타사항 ]</t>
  </si>
  <si>
    <t>1.</t>
  </si>
  <si>
    <t>제안 단가</t>
  </si>
  <si>
    <t>제안 합계</t>
  </si>
  <si>
    <t>시스템명</t>
  </si>
  <si>
    <t>발 행  일 자 :</t>
  </si>
  <si>
    <t>납  품  기  일 :</t>
  </si>
  <si>
    <t>4. 무상하자보증 기간 : HW 3년(License 발급 일로 부터 1년, 정기점검 제외)</t>
  </si>
  <si>
    <t>3. 대금결제 : 원청 수금후 현금 결제</t>
  </si>
  <si>
    <t xml:space="preserve">소비자 단가 </t>
    <phoneticPr fontId="1" type="noConversion"/>
  </si>
  <si>
    <t>소비자 합계</t>
    <phoneticPr fontId="1" type="noConversion"/>
  </si>
  <si>
    <t>(원, 부가세 별도)</t>
  </si>
  <si>
    <t>1. 하기 금액은 부가세 별도입니다.</t>
  </si>
  <si>
    <t>총 합계 금액 (원, 부가세 별도)</t>
  </si>
  <si>
    <t>본사 : 58217 전라남도 나주시 빛가람로 685 901호(빛가람동, 비전타워) 서울 : 경기도 광명시 덕안로 104번길 17 916호(광명역엠클러스터)</t>
    <phoneticPr fontId="1" type="noConversion"/>
  </si>
  <si>
    <t>5. 담당자 : 클라우드인프라사업부 정전진 이사(jjj@creit.co.kr, 010-5002-1942)</t>
    <phoneticPr fontId="1" type="noConversion"/>
  </si>
  <si>
    <t>무상하자보증 포함 내역</t>
    <phoneticPr fontId="1" type="noConversion"/>
  </si>
  <si>
    <t>1) 제품 관련 지원 : Minor(Point) 버전 업그레이드(예시 7.0 U2 &gt; 7.0 U3), 보안 패치</t>
    <phoneticPr fontId="1" type="noConversion"/>
  </si>
  <si>
    <t>2) 기술지원 : 전화/Web/이메일 및 온라인 SR 지원(Service Request), 장애 조치</t>
    <phoneticPr fontId="1" type="noConversion"/>
  </si>
  <si>
    <t>구독(Term) 기간 : License 별로 별도 표기됨</t>
    <phoneticPr fontId="1" type="noConversion"/>
  </si>
  <si>
    <t>1) 구독(Term) License 구매시에는 최신 버전 사용 및 VMware 한국어기술지원센터에 대한 이용권한이 포함 됩니다.</t>
    <phoneticPr fontId="1" type="noConversion"/>
  </si>
  <si>
    <t xml:space="preserve">2) VMware 한국어기술지원센터에서 Log 분석, 긴급 패치 제공 및 L3 지원 서비스가 포함됩니다. </t>
    <phoneticPr fontId="1" type="noConversion"/>
  </si>
  <si>
    <t>3)  Prodcution SnS는 24x7의 Technical Support 서비스를 제공합니다.</t>
    <phoneticPr fontId="1" type="noConversion"/>
  </si>
  <si>
    <t xml:space="preserve">4)  구독(Term) 기간 만료 시에는 서비스 중인 가상 머신의 사용은 가능하나, 가상 머신의 전원 제어/설정 편집/호스트 재시작 등의 작업 후에는 사용이 중지 됩니다.  </t>
    <phoneticPr fontId="1" type="noConversion"/>
  </si>
  <si>
    <t xml:space="preserve">유상하자보수  : 구독(Term) 기간 만료 후 License 갱신시 MA(유상유지보수) 서비스가 포함되어 제공 됩니다. </t>
    <phoneticPr fontId="1" type="noConversion"/>
  </si>
  <si>
    <t xml:space="preserve">1) 제공 내역 : 정기 점검, 장애 처리 및 보안패치, 제품 교육 
</t>
    <phoneticPr fontId="1" type="noConversion"/>
  </si>
  <si>
    <t xml:space="preserve">2) 미제공 내역 : 상위 버전(Major, 예시 7.0 U3 &gt; 8.0 U3) 업그레이드는 별도의 서비스 비용이 발생 합니다. 
</t>
    <phoneticPr fontId="1" type="noConversion"/>
  </si>
  <si>
    <t>한국산업은행</t>
    <phoneticPr fontId="1" type="noConversion"/>
  </si>
  <si>
    <t>이지영 대리님</t>
    <phoneticPr fontId="1" type="noConversion"/>
  </si>
  <si>
    <t>HW</t>
    <phoneticPr fontId="19" type="noConversion"/>
  </si>
  <si>
    <t>x86 서버</t>
    <phoneticPr fontId="1" type="noConversion"/>
  </si>
  <si>
    <t>관리 서버</t>
    <phoneticPr fontId="1" type="noConversion"/>
  </si>
  <si>
    <t>Service</t>
    <phoneticPr fontId="1" type="noConversion"/>
  </si>
  <si>
    <t>내부망 VDI
운영 서버</t>
    <phoneticPr fontId="1" type="noConversion"/>
  </si>
  <si>
    <t>외부망 RPA
VDI 운영 서버</t>
    <phoneticPr fontId="1" type="noConversion"/>
  </si>
  <si>
    <t>내부망 RPA
VDI 운영 서버</t>
    <phoneticPr fontId="1" type="noConversion"/>
  </si>
  <si>
    <t>VDI 통합운영 스토리지</t>
    <phoneticPr fontId="1" type="noConversion"/>
  </si>
  <si>
    <t>스토리지</t>
    <phoneticPr fontId="1" type="noConversion"/>
  </si>
  <si>
    <r>
      <rPr>
        <b/>
        <sz val="10"/>
        <color rgb="FF000000"/>
        <rFont val="맑은 고딕"/>
        <family val="2"/>
        <charset val="129"/>
      </rPr>
      <t>1. 컨트롤러</t>
    </r>
    <r>
      <rPr>
        <sz val="10"/>
        <color rgb="FF000000"/>
        <rFont val="맑은 고딕"/>
        <family val="3"/>
        <charset val="129"/>
      </rPr>
      <t xml:space="preserve">
- 듀얼 컨트롤러
</t>
    </r>
    <r>
      <rPr>
        <b/>
        <sz val="10"/>
        <color rgb="FF000000"/>
        <rFont val="맑은 고딕"/>
        <family val="2"/>
        <charset val="129"/>
      </rPr>
      <t>2. Cache Memory</t>
    </r>
    <r>
      <rPr>
        <sz val="10"/>
        <color rgb="FF000000"/>
        <rFont val="맑은 고딕"/>
        <family val="3"/>
        <charset val="129"/>
      </rPr>
      <t xml:space="preserve">
- 256GB 이상
</t>
    </r>
    <r>
      <rPr>
        <b/>
        <sz val="10"/>
        <color rgb="FF000000"/>
        <rFont val="맑은 고딕"/>
        <family val="2"/>
        <charset val="129"/>
      </rPr>
      <t>3. 디스크</t>
    </r>
    <r>
      <rPr>
        <sz val="10"/>
        <color rgb="FF000000"/>
        <rFont val="맑은 고딕"/>
        <family val="3"/>
        <charset val="129"/>
      </rPr>
      <t xml:space="preserve">
- NVMe 타입 SSD 15.36TB x 16EA
- 물리적 용량 240TB 이상 </t>
    </r>
    <phoneticPr fontId="18" type="noConversion"/>
  </si>
  <si>
    <r>
      <rPr>
        <b/>
        <sz val="10"/>
        <color rgb="FF000000"/>
        <rFont val="맑은 고딕"/>
        <family val="2"/>
        <charset val="129"/>
      </rPr>
      <t>1. CPU</t>
    </r>
    <r>
      <rPr>
        <sz val="10"/>
        <color rgb="FF000000"/>
        <rFont val="맑은 고딕"/>
        <family val="3"/>
        <charset val="129"/>
      </rPr>
      <t xml:space="preserve">
- AMD EPYC 9355, 32Core 3.55GHz x 2CPU
</t>
    </r>
    <r>
      <rPr>
        <b/>
        <sz val="10"/>
        <color rgb="FF000000"/>
        <rFont val="맑은 고딕"/>
        <family val="2"/>
        <charset val="129"/>
      </rPr>
      <t>2. Memory</t>
    </r>
    <r>
      <rPr>
        <sz val="10"/>
        <color rgb="FF000000"/>
        <rFont val="맑은 고딕"/>
        <family val="3"/>
        <charset val="129"/>
      </rPr>
      <t xml:space="preserve">
- 768GB
</t>
    </r>
    <r>
      <rPr>
        <b/>
        <sz val="10"/>
        <color rgb="FF000000"/>
        <rFont val="맑은 고딕"/>
        <family val="2"/>
        <charset val="129"/>
      </rPr>
      <t>3. Hypervisor 용 디스크</t>
    </r>
    <r>
      <rPr>
        <sz val="10"/>
        <color rgb="FF000000"/>
        <rFont val="맑은 고딕"/>
        <family val="3"/>
        <charset val="129"/>
      </rPr>
      <t xml:space="preserve">
- 480GB M.2 SSD 2ea(미러링)
</t>
    </r>
    <r>
      <rPr>
        <b/>
        <sz val="10"/>
        <color rgb="FF000000"/>
        <rFont val="맑은 고딕"/>
        <family val="2"/>
        <charset val="129"/>
      </rPr>
      <t>4. 네트워크 카드</t>
    </r>
    <r>
      <rPr>
        <sz val="10"/>
        <color rgb="FF000000"/>
        <rFont val="맑은 고딕"/>
        <family val="3"/>
        <charset val="129"/>
      </rPr>
      <t xml:space="preserve">
- 10/25GbE SFP28 4-Port, 16Gb FC HBA 2Port</t>
    </r>
    <phoneticPr fontId="18" type="noConversion"/>
  </si>
  <si>
    <r>
      <rPr>
        <b/>
        <sz val="10"/>
        <color rgb="FF000000"/>
        <rFont val="맑은 고딕"/>
        <family val="2"/>
        <charset val="129"/>
      </rPr>
      <t>1. CPU</t>
    </r>
    <r>
      <rPr>
        <sz val="10"/>
        <color rgb="FF000000"/>
        <rFont val="맑은 고딕"/>
        <family val="3"/>
        <charset val="129"/>
      </rPr>
      <t xml:space="preserve">
- AMD EPYC 9354, 32Core 3.25GHz x 2CPU
</t>
    </r>
    <r>
      <rPr>
        <b/>
        <sz val="10"/>
        <color rgb="FF000000"/>
        <rFont val="맑은 고딕"/>
        <family val="2"/>
        <charset val="129"/>
      </rPr>
      <t>2. Memory</t>
    </r>
    <r>
      <rPr>
        <sz val="10"/>
        <color rgb="FF000000"/>
        <rFont val="맑은 고딕"/>
        <family val="3"/>
        <charset val="129"/>
      </rPr>
      <t xml:space="preserve">
- 512GB
</t>
    </r>
    <r>
      <rPr>
        <b/>
        <sz val="10"/>
        <color rgb="FF000000"/>
        <rFont val="맑은 고딕"/>
        <family val="2"/>
        <charset val="129"/>
      </rPr>
      <t>3. Hypervisor 용 디스크</t>
    </r>
    <r>
      <rPr>
        <sz val="10"/>
        <color rgb="FF000000"/>
        <rFont val="맑은 고딕"/>
        <family val="3"/>
        <charset val="129"/>
      </rPr>
      <t xml:space="preserve">
- 480GB M.2 SSD 2ea(미러링)
</t>
    </r>
    <r>
      <rPr>
        <b/>
        <sz val="10"/>
        <color rgb="FF000000"/>
        <rFont val="맑은 고딕"/>
        <family val="2"/>
        <charset val="129"/>
      </rPr>
      <t>4. 네트워크 카드</t>
    </r>
    <r>
      <rPr>
        <sz val="10"/>
        <color rgb="FF000000"/>
        <rFont val="맑은 고딕"/>
        <family val="3"/>
        <charset val="129"/>
      </rPr>
      <t xml:space="preserve">
- 10/25GbE SFP28 4-Port, 16Gb FC HBA 2Port</t>
    </r>
    <phoneticPr fontId="18" type="noConversion"/>
  </si>
  <si>
    <r>
      <rPr>
        <b/>
        <sz val="10"/>
        <color rgb="FF000000"/>
        <rFont val="맑은 고딕"/>
        <family val="2"/>
        <charset val="129"/>
      </rPr>
      <t>1. CPU</t>
    </r>
    <r>
      <rPr>
        <sz val="10"/>
        <color rgb="FF000000"/>
        <rFont val="맑은 고딕"/>
        <family val="3"/>
        <charset val="129"/>
      </rPr>
      <t xml:space="preserve">
- AMD EPYC 9135, 16Core 3.65GHz x 1CPU
</t>
    </r>
    <r>
      <rPr>
        <b/>
        <sz val="10"/>
        <color rgb="FF000000"/>
        <rFont val="맑은 고딕"/>
        <family val="2"/>
        <charset val="129"/>
      </rPr>
      <t>2. Memory</t>
    </r>
    <r>
      <rPr>
        <sz val="10"/>
        <color rgb="FF000000"/>
        <rFont val="맑은 고딕"/>
        <family val="3"/>
        <charset val="129"/>
      </rPr>
      <t xml:space="preserve">
- 512GB
</t>
    </r>
    <r>
      <rPr>
        <b/>
        <sz val="10"/>
        <color rgb="FF000000"/>
        <rFont val="맑은 고딕"/>
        <family val="2"/>
        <charset val="129"/>
      </rPr>
      <t>3. Hypervisor 용 디스크</t>
    </r>
    <r>
      <rPr>
        <sz val="10"/>
        <color rgb="FF000000"/>
        <rFont val="맑은 고딕"/>
        <family val="3"/>
        <charset val="129"/>
      </rPr>
      <t xml:space="preserve">
- 480GB M.2 SSD 2ea(미러링)
</t>
    </r>
    <r>
      <rPr>
        <b/>
        <sz val="10"/>
        <color rgb="FF000000"/>
        <rFont val="맑은 고딕"/>
        <family val="2"/>
        <charset val="129"/>
      </rPr>
      <t>4. 네트워크 카드</t>
    </r>
    <r>
      <rPr>
        <sz val="10"/>
        <color rgb="FF000000"/>
        <rFont val="맑은 고딕"/>
        <family val="3"/>
        <charset val="129"/>
      </rPr>
      <t xml:space="preserve">
- 10/25GbE SFP28 4-Port, 16Gb FC HBA 2Port</t>
    </r>
    <phoneticPr fontId="18" type="noConversion"/>
  </si>
  <si>
    <t>CI-HD-SS-10</t>
    <phoneticPr fontId="1" type="noConversion"/>
  </si>
  <si>
    <t>CI-HZ-VM-IM-OS</t>
    <phoneticPr fontId="1" type="noConversion"/>
  </si>
  <si>
    <t>* 마스터 이미지 배포 기술지원
- VMware Horizon Deosktop Implementation per 10VMs
(On-Site, VM Provisioning &amp; Client Installation &amp; QnA Support)
- 가상머신에 대한 Full Clone 배포 지원
- 기존 운영 VM 약 667대 기준(RPA포함)</t>
    <phoneticPr fontId="18" type="noConversion"/>
  </si>
  <si>
    <t>SW</t>
    <phoneticPr fontId="19" type="noConversion"/>
  </si>
  <si>
    <t>Rack</t>
    <phoneticPr fontId="1" type="noConversion"/>
  </si>
  <si>
    <t>42U Rack</t>
    <phoneticPr fontId="1" type="noConversion"/>
  </si>
  <si>
    <t>NW</t>
    <phoneticPr fontId="19" type="noConversion"/>
  </si>
  <si>
    <t>L3 스위치</t>
    <phoneticPr fontId="1" type="noConversion"/>
  </si>
  <si>
    <t>VDI운영서버용
스위치</t>
    <phoneticPr fontId="1" type="noConversion"/>
  </si>
  <si>
    <t>VDI 통합운영 SAN 스위치</t>
    <phoneticPr fontId="1" type="noConversion"/>
  </si>
  <si>
    <t>SAN 스위치</t>
    <phoneticPr fontId="1" type="noConversion"/>
  </si>
  <si>
    <r>
      <rPr>
        <b/>
        <sz val="10"/>
        <color rgb="FF000000"/>
        <rFont val="맑은 고딕"/>
        <family val="2"/>
        <charset val="129"/>
      </rPr>
      <t>1. 속도</t>
    </r>
    <r>
      <rPr>
        <sz val="10"/>
        <color rgb="FF000000"/>
        <rFont val="맑은 고딕"/>
        <family val="3"/>
        <charset val="129"/>
      </rPr>
      <t xml:space="preserve">
- 32Gb
</t>
    </r>
    <r>
      <rPr>
        <b/>
        <sz val="10"/>
        <color rgb="FF000000"/>
        <rFont val="맑은 고딕"/>
        <family val="2"/>
        <charset val="129"/>
      </rPr>
      <t xml:space="preserve">2. 포트
</t>
    </r>
    <r>
      <rPr>
        <sz val="10"/>
        <color rgb="FF000000"/>
        <rFont val="맑은 고딕"/>
        <family val="3"/>
        <charset val="129"/>
      </rPr>
      <t xml:space="preserve">- 48포트
</t>
    </r>
    <r>
      <rPr>
        <b/>
        <sz val="10"/>
        <color rgb="FF000000"/>
        <rFont val="맑은 고딕"/>
        <family val="2"/>
        <charset val="129"/>
      </rPr>
      <t>3. 기타</t>
    </r>
    <r>
      <rPr>
        <sz val="10"/>
        <color rgb="FF000000"/>
        <rFont val="맑은 고딕"/>
        <family val="3"/>
        <charset val="129"/>
      </rPr>
      <t xml:space="preserve">
- LC/LC Multi-mode OM4 2  Fiber 15M Cable x 48EA</t>
    </r>
    <phoneticPr fontId="18" type="noConversion"/>
  </si>
  <si>
    <r>
      <rPr>
        <b/>
        <sz val="10"/>
        <color rgb="FF000000"/>
        <rFont val="맑은 고딕"/>
        <family val="2"/>
        <charset val="129"/>
      </rPr>
      <t>1. 속도</t>
    </r>
    <r>
      <rPr>
        <sz val="10"/>
        <color rgb="FF000000"/>
        <rFont val="맑은 고딕"/>
        <family val="3"/>
        <charset val="129"/>
      </rPr>
      <t xml:space="preserve">
- 25Gb
</t>
    </r>
    <r>
      <rPr>
        <b/>
        <sz val="10"/>
        <color rgb="FF000000"/>
        <rFont val="맑은 고딕"/>
        <family val="2"/>
        <charset val="129"/>
      </rPr>
      <t xml:space="preserve">2. 포트
</t>
    </r>
    <r>
      <rPr>
        <sz val="10"/>
        <color rgb="FF000000"/>
        <rFont val="맑은 고딕"/>
        <family val="3"/>
        <charset val="129"/>
      </rPr>
      <t xml:space="preserve">- 48포트
</t>
    </r>
    <r>
      <rPr>
        <b/>
        <sz val="10"/>
        <color rgb="FF000000"/>
        <rFont val="맑은 고딕"/>
        <family val="2"/>
        <charset val="129"/>
      </rPr>
      <t>3. 기타</t>
    </r>
    <r>
      <rPr>
        <sz val="10"/>
        <color rgb="FF000000"/>
        <rFont val="맑은 고딕"/>
        <family val="3"/>
        <charset val="129"/>
      </rPr>
      <t xml:space="preserve">
- 10G SFP+ LC SR 300m OM3 MMF Transceiver x 48EA</t>
    </r>
    <phoneticPr fontId="18" type="noConversion"/>
  </si>
  <si>
    <r>
      <rPr>
        <b/>
        <sz val="10"/>
        <color rgb="FF000000"/>
        <rFont val="맑은 고딕"/>
        <family val="2"/>
        <charset val="129"/>
      </rPr>
      <t>1. 크기</t>
    </r>
    <r>
      <rPr>
        <sz val="10"/>
        <color rgb="FF000000"/>
        <rFont val="맑은 고딕"/>
        <family val="3"/>
        <charset val="129"/>
      </rPr>
      <t xml:space="preserve">
- 42U (600x1200)
</t>
    </r>
    <r>
      <rPr>
        <b/>
        <sz val="10"/>
        <color rgb="FF000000"/>
        <rFont val="맑은 고딕"/>
        <family val="2"/>
        <charset val="129"/>
      </rPr>
      <t>2. 기타</t>
    </r>
    <r>
      <rPr>
        <sz val="10"/>
        <color rgb="FF000000"/>
        <rFont val="맑은 고딕"/>
        <family val="3"/>
        <charset val="129"/>
      </rPr>
      <t xml:space="preserve">
- 240V Outlet C13/14 PDU x 2EA</t>
    </r>
    <phoneticPr fontId="18" type="noConversion"/>
  </si>
  <si>
    <t>* Hypervisor 설치 기술지원
- Hypervisor for Desktop Smooth Starter per Node
((On-Site, Hypervisor Install &amp; Feature Configuration, HCI)
- Hypervisor 설치 필요 대수 : 30 식</t>
    <phoneticPr fontId="18" type="noConversion"/>
  </si>
  <si>
    <t>QS2509-2602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</si>
</sst>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2" formatCode="_-&quot;₩&quot;* #,##0_-;\-&quot;₩&quot;* #,##0_-;_-&quot;₩&quot;* &quot;-&quot;_-;_-@_-"/>
    <numFmt numFmtId="41" formatCode="_-* #,##0_-;\-* #,##0_-;_-* &quot;-&quot;_-;_-@_-"/>
    <numFmt numFmtId="176" formatCode="_ * #,##0_ ;_ * \-#,##0_ ;_ * &quot;-&quot;_ ;_ @_ "/>
  </numFmts>
  <fonts count="23">
    <font>
      <sz val="11"/>
      <color rgb="FF000000"/>
      <name val="돋움"/>
    </font>
    <font>
      <sz val="11"/>
      <color rgb="FF000000"/>
      <name val="맑은 고딕"/>
      <family val="3"/>
      <charset val="129"/>
    </font>
    <font>
      <b/>
      <i/>
      <sz val="8"/>
      <color rgb="FF000000"/>
      <name val="맑은 고딕"/>
      <family val="3"/>
      <charset val="129"/>
    </font>
    <font>
      <b/>
      <sz val="9"/>
      <color rgb="FF000000"/>
      <name val="맑은 고딕"/>
      <family val="3"/>
      <charset val="129"/>
    </font>
    <font>
      <sz val="9"/>
      <color rgb="FF000000"/>
      <name val="맑은 고딕"/>
      <family val="3"/>
      <charset val="129"/>
    </font>
    <font>
      <b/>
      <sz val="18"/>
      <color rgb="FF000000"/>
      <name val="맑은 고딕"/>
      <family val="3"/>
      <charset val="129"/>
    </font>
    <font>
      <sz val="10"/>
      <color rgb="FF000000"/>
      <name val="Helv"/>
    </font>
    <font>
      <sz val="9"/>
      <color rgb="FF000000"/>
      <name val="Malgun Gothic"/>
      <family val="3"/>
      <charset val="129"/>
    </font>
    <font>
      <sz val="10"/>
      <color rgb="FF000000"/>
      <name val="맑은 고딕"/>
      <family val="3"/>
      <charset val="129"/>
    </font>
    <font>
      <sz val="10"/>
      <color rgb="FF000000"/>
      <name val="굴림체"/>
      <family val="3"/>
      <charset val="129"/>
    </font>
    <font>
      <sz val="12"/>
      <color rgb="FF000000"/>
      <name val="바탕체"/>
      <family val="1"/>
      <charset val="129"/>
    </font>
    <font>
      <sz val="10"/>
      <color rgb="FF000000"/>
      <name val="Times New Roman"/>
      <family val="1"/>
    </font>
    <font>
      <sz val="10"/>
      <color rgb="FF000000"/>
      <name val="Malgun Gothic"/>
      <family val="3"/>
      <charset val="129"/>
    </font>
    <font>
      <b/>
      <sz val="10"/>
      <color rgb="FF000000"/>
      <name val="Malgun Gothic"/>
      <family val="3"/>
      <charset val="129"/>
    </font>
    <font>
      <sz val="9"/>
      <color rgb="FFFF0000"/>
      <name val="Malgun Gothic"/>
      <family val="3"/>
      <charset val="129"/>
    </font>
    <font>
      <b/>
      <sz val="9"/>
      <color theme="1"/>
      <name val="맑은 고딕"/>
      <family val="3"/>
      <charset val="129"/>
    </font>
    <font>
      <u/>
      <sz val="11"/>
      <color theme="10"/>
      <name val="돋움"/>
      <family val="3"/>
      <charset val="129"/>
    </font>
    <font>
      <u/>
      <sz val="11"/>
      <color theme="11"/>
      <name val="돋움"/>
      <family val="3"/>
      <charset val="129"/>
    </font>
    <font>
      <sz val="11"/>
      <color rgb="FF000000"/>
      <name val="돋움"/>
      <family val="3"/>
      <charset val="129"/>
    </font>
    <font>
      <sz val="8"/>
      <name val="나눔명조"/>
      <family val="3"/>
      <charset val="129"/>
    </font>
    <font>
      <b/>
      <sz val="10"/>
      <color rgb="FF000000"/>
      <name val="맑은 고딕"/>
      <family val="2"/>
      <charset val="129"/>
    </font>
    <font>
      <sz val="10"/>
      <color rgb="FF000000"/>
      <name val="맑은 고딕"/>
      <family val="2"/>
      <charset val="129"/>
    </font>
    <font>
      <sz val="11"/>
      <color rgb="FF000000"/>
      <name val="돋움"/>
      <family val="3"/>
      <charset val="129"/>
    </font>
  </fonts>
  <fills count="5">
    <fill>
      <patternFill patternType="none"/>
    </fill>
    <fill>
      <patternFill patternType="gray125"/>
    </fill>
    <fill>
      <patternFill patternType="solid">
        <fgColor rgb="FFFFFFFF"/>
        <bgColor theme="0"/>
      </patternFill>
    </fill>
    <fill>
      <patternFill patternType="solid">
        <fgColor theme="0" tint="-0.34998626667073579"/>
        <bgColor theme="0" tint="-0.34998626667073579"/>
      </patternFill>
    </fill>
    <fill>
      <patternFill patternType="solid">
        <fgColor theme="5" tint="0.39997558519241921"/>
        <bgColor theme="0"/>
      </patternFill>
    </fill>
  </fills>
  <borders count="28">
    <border>
      <left/>
      <right/>
      <top/>
      <bottom/>
      <diagonal/>
    </border>
    <border>
      <left style="medium">
        <color rgb="FF000000"/>
      </left>
      <right/>
      <top/>
      <bottom/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 style="double">
        <color rgb="FF000000"/>
      </bottom>
      <diagonal/>
    </border>
    <border>
      <left/>
      <right/>
      <top/>
      <bottom style="double">
        <color rgb="FF000000"/>
      </bottom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/>
      <bottom style="double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/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/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/>
      <right style="thin">
        <color theme="1"/>
      </right>
      <top style="thin">
        <color theme="1"/>
      </top>
      <bottom style="thin">
        <color theme="1"/>
      </bottom>
      <diagonal/>
    </border>
  </borders>
  <cellStyleXfs count="19">
    <xf numFmtId="0" fontId="0" fillId="0" borderId="0" applyNumberFormat="0"/>
    <xf numFmtId="0" fontId="18" fillId="0" borderId="0" applyNumberFormat="0" applyFont="0" applyFill="0" applyBorder="0" applyAlignment="0" applyProtection="0"/>
    <xf numFmtId="0" fontId="18" fillId="0" borderId="0"/>
    <xf numFmtId="41" fontId="18" fillId="0" borderId="0" applyFont="0" applyFill="0" applyBorder="0" applyAlignment="0" applyProtection="0"/>
    <xf numFmtId="41" fontId="18" fillId="0" borderId="0" applyFont="0" applyFill="0" applyBorder="0" applyAlignment="0" applyProtection="0"/>
    <xf numFmtId="41" fontId="18" fillId="0" borderId="0" applyFont="0" applyFill="0" applyBorder="0" applyAlignment="0" applyProtection="0"/>
    <xf numFmtId="0" fontId="6" fillId="0" borderId="0"/>
    <xf numFmtId="176" fontId="9" fillId="0" borderId="0" applyFont="0" applyFill="0" applyBorder="0" applyAlignment="0" applyProtection="0"/>
    <xf numFmtId="0" fontId="10" fillId="0" borderId="0" applyFont="0" applyFill="0" applyBorder="0" applyAlignment="0" applyProtection="0"/>
    <xf numFmtId="42" fontId="18" fillId="0" borderId="0" applyFont="0" applyFill="0" applyBorder="0" applyAlignment="0" applyProtection="0"/>
    <xf numFmtId="0" fontId="18" fillId="0" borderId="0"/>
    <xf numFmtId="0" fontId="10" fillId="0" borderId="0" applyFont="0" applyFill="0" applyBorder="0" applyAlignment="0" applyProtection="0"/>
    <xf numFmtId="0" fontId="10" fillId="0" borderId="0" applyFont="0" applyFill="0" applyBorder="0" applyAlignment="0" applyProtection="0"/>
    <xf numFmtId="0" fontId="10" fillId="0" borderId="0" applyFont="0" applyFill="0" applyBorder="0" applyAlignment="0" applyProtection="0"/>
    <xf numFmtId="0" fontId="10" fillId="0" borderId="0" applyFont="0" applyFill="0" applyBorder="0" applyAlignment="0" applyProtection="0"/>
    <xf numFmtId="0" fontId="11" fillId="0" borderId="0"/>
    <xf numFmtId="0" fontId="1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9" fontId="22" fillId="0" borderId="0" applyFont="0" applyFill="0" applyBorder="0" applyAlignment="0" applyProtection="0">
      <alignment vertical="center"/>
    </xf>
  </cellStyleXfs>
  <cellXfs count="75">
    <xf numFmtId="0" fontId="0" fillId="0" borderId="0" xfId="0"/>
    <xf numFmtId="0" fontId="1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0" fontId="7" fillId="2" borderId="0" xfId="6" applyFont="1" applyFill="1" applyAlignment="1">
      <alignment vertical="center"/>
    </xf>
    <xf numFmtId="0" fontId="7" fillId="2" borderId="0" xfId="6" quotePrefix="1" applyFont="1" applyFill="1" applyAlignment="1">
      <alignment vertical="center"/>
    </xf>
    <xf numFmtId="0" fontId="7" fillId="2" borderId="0" xfId="0" applyFont="1" applyFill="1" applyAlignment="1">
      <alignment vertical="center"/>
    </xf>
    <xf numFmtId="0" fontId="14" fillId="2" borderId="2" xfId="0" applyFont="1" applyFill="1" applyBorder="1" applyAlignment="1">
      <alignment vertical="center"/>
    </xf>
    <xf numFmtId="0" fontId="1" fillId="2" borderId="0" xfId="0" applyFont="1" applyFill="1" applyAlignment="1">
      <alignment vertical="center"/>
    </xf>
    <xf numFmtId="0" fontId="4" fillId="2" borderId="3" xfId="0" applyFont="1" applyFill="1" applyBorder="1" applyAlignment="1">
      <alignment vertical="center"/>
    </xf>
    <xf numFmtId="0" fontId="1" fillId="2" borderId="3" xfId="0" applyFont="1" applyFill="1" applyBorder="1" applyAlignment="1">
      <alignment vertical="center"/>
    </xf>
    <xf numFmtId="0" fontId="4" fillId="2" borderId="0" xfId="0" applyFont="1" applyFill="1" applyAlignment="1">
      <alignment vertical="center"/>
    </xf>
    <xf numFmtId="0" fontId="4" fillId="2" borderId="2" xfId="0" applyFont="1" applyFill="1" applyBorder="1" applyAlignment="1">
      <alignment vertical="center"/>
    </xf>
    <xf numFmtId="0" fontId="1" fillId="2" borderId="2" xfId="0" applyFont="1" applyFill="1" applyBorder="1" applyAlignment="1">
      <alignment vertical="center"/>
    </xf>
    <xf numFmtId="0" fontId="1" fillId="2" borderId="4" xfId="0" applyFont="1" applyFill="1" applyBorder="1" applyAlignment="1">
      <alignment vertical="center"/>
    </xf>
    <xf numFmtId="0" fontId="1" fillId="2" borderId="5" xfId="0" applyFont="1" applyFill="1" applyBorder="1" applyAlignment="1">
      <alignment vertical="center"/>
    </xf>
    <xf numFmtId="0" fontId="1" fillId="2" borderId="6" xfId="0" applyFont="1" applyFill="1" applyBorder="1" applyAlignment="1">
      <alignment vertical="center"/>
    </xf>
    <xf numFmtId="0" fontId="1" fillId="2" borderId="7" xfId="0" applyFont="1" applyFill="1" applyBorder="1" applyAlignment="1" applyProtection="1">
      <alignment vertical="center"/>
      <protection locked="0"/>
    </xf>
    <xf numFmtId="0" fontId="1" fillId="2" borderId="8" xfId="0" applyFont="1" applyFill="1" applyBorder="1" applyAlignment="1" applyProtection="1">
      <alignment horizontal="center" vertical="center"/>
      <protection locked="0"/>
    </xf>
    <xf numFmtId="0" fontId="1" fillId="2" borderId="8" xfId="0" applyFont="1" applyFill="1" applyBorder="1" applyAlignment="1" applyProtection="1">
      <alignment vertical="center"/>
      <protection locked="0"/>
    </xf>
    <xf numFmtId="0" fontId="1" fillId="2" borderId="9" xfId="0" applyFont="1" applyFill="1" applyBorder="1" applyAlignment="1">
      <alignment vertical="center"/>
    </xf>
    <xf numFmtId="0" fontId="2" fillId="2" borderId="1" xfId="0" applyFont="1" applyFill="1" applyBorder="1" applyAlignment="1" applyProtection="1">
      <alignment vertical="center"/>
      <protection locked="0"/>
    </xf>
    <xf numFmtId="0" fontId="1" fillId="2" borderId="0" xfId="0" applyFont="1" applyFill="1" applyAlignment="1" applyProtection="1">
      <alignment horizontal="center" vertical="center"/>
      <protection locked="0"/>
    </xf>
    <xf numFmtId="0" fontId="1" fillId="2" borderId="0" xfId="0" applyFont="1" applyFill="1" applyAlignment="1" applyProtection="1">
      <alignment vertical="center"/>
      <protection locked="0"/>
    </xf>
    <xf numFmtId="0" fontId="4" fillId="2" borderId="9" xfId="0" applyFont="1" applyFill="1" applyBorder="1" applyAlignment="1">
      <alignment vertical="center"/>
    </xf>
    <xf numFmtId="0" fontId="4" fillId="2" borderId="1" xfId="0" applyFont="1" applyFill="1" applyBorder="1" applyAlignment="1">
      <alignment vertical="center"/>
    </xf>
    <xf numFmtId="0" fontId="4" fillId="2" borderId="0" xfId="0" applyFont="1" applyFill="1" applyAlignment="1">
      <alignment horizontal="right" vertical="center"/>
    </xf>
    <xf numFmtId="0" fontId="3" fillId="2" borderId="0" xfId="0" applyFont="1" applyFill="1" applyAlignment="1">
      <alignment horizontal="center" vertical="center"/>
    </xf>
    <xf numFmtId="42" fontId="3" fillId="2" borderId="0" xfId="0" applyNumberFormat="1" applyFont="1" applyFill="1" applyAlignment="1">
      <alignment horizontal="center" vertical="center"/>
    </xf>
    <xf numFmtId="0" fontId="4" fillId="2" borderId="0" xfId="0" applyFont="1" applyFill="1" applyAlignment="1">
      <alignment horizontal="center" vertical="center"/>
    </xf>
    <xf numFmtId="0" fontId="3" fillId="2" borderId="1" xfId="0" applyFont="1" applyFill="1" applyBorder="1" applyAlignment="1">
      <alignment vertical="center"/>
    </xf>
    <xf numFmtId="0" fontId="1" fillId="2" borderId="1" xfId="0" applyFont="1" applyFill="1" applyBorder="1" applyAlignment="1">
      <alignment vertical="center"/>
    </xf>
    <xf numFmtId="0" fontId="1" fillId="2" borderId="10" xfId="0" applyFont="1" applyFill="1" applyBorder="1" applyAlignment="1">
      <alignment vertical="center"/>
    </xf>
    <xf numFmtId="0" fontId="1" fillId="2" borderId="11" xfId="0" applyFont="1" applyFill="1" applyBorder="1" applyAlignment="1">
      <alignment vertical="center"/>
    </xf>
    <xf numFmtId="0" fontId="1" fillId="2" borderId="12" xfId="0" applyFont="1" applyFill="1" applyBorder="1" applyAlignment="1">
      <alignment vertical="center"/>
    </xf>
    <xf numFmtId="0" fontId="15" fillId="3" borderId="13" xfId="0" applyFont="1" applyFill="1" applyBorder="1" applyAlignment="1">
      <alignment horizontal="center" vertical="center"/>
    </xf>
    <xf numFmtId="0" fontId="15" fillId="3" borderId="14" xfId="0" applyFont="1" applyFill="1" applyBorder="1" applyAlignment="1">
      <alignment horizontal="center" vertical="center"/>
    </xf>
    <xf numFmtId="0" fontId="15" fillId="3" borderId="15" xfId="0" applyFont="1" applyFill="1" applyBorder="1" applyAlignment="1">
      <alignment horizontal="center" vertical="center"/>
    </xf>
    <xf numFmtId="42" fontId="3" fillId="4" borderId="16" xfId="0" applyNumberFormat="1" applyFont="1" applyFill="1" applyBorder="1" applyAlignment="1">
      <alignment vertical="center"/>
    </xf>
    <xf numFmtId="0" fontId="1" fillId="2" borderId="17" xfId="0" applyFont="1" applyFill="1" applyBorder="1" applyAlignment="1" applyProtection="1">
      <alignment vertical="center"/>
      <protection locked="0"/>
    </xf>
    <xf numFmtId="0" fontId="1" fillId="2" borderId="9" xfId="0" applyFont="1" applyFill="1" applyBorder="1" applyAlignment="1" applyProtection="1">
      <alignment vertical="center"/>
      <protection locked="0"/>
    </xf>
    <xf numFmtId="14" fontId="4" fillId="2" borderId="9" xfId="0" applyNumberFormat="1" applyFont="1" applyFill="1" applyBorder="1" applyAlignment="1">
      <alignment horizontal="left" vertical="center"/>
    </xf>
    <xf numFmtId="0" fontId="4" fillId="2" borderId="9" xfId="0" applyFont="1" applyFill="1" applyBorder="1" applyAlignment="1">
      <alignment horizontal="right" vertical="center"/>
    </xf>
    <xf numFmtId="0" fontId="15" fillId="3" borderId="18" xfId="0" applyFont="1" applyFill="1" applyBorder="1" applyAlignment="1">
      <alignment horizontal="center" vertical="center"/>
    </xf>
    <xf numFmtId="42" fontId="3" fillId="4" borderId="19" xfId="0" applyNumberFormat="1" applyFont="1" applyFill="1" applyBorder="1" applyAlignment="1">
      <alignment vertical="center"/>
    </xf>
    <xf numFmtId="0" fontId="1" fillId="2" borderId="20" xfId="0" applyFont="1" applyFill="1" applyBorder="1" applyAlignment="1">
      <alignment vertical="center"/>
    </xf>
    <xf numFmtId="0" fontId="1" fillId="2" borderId="21" xfId="0" applyFont="1" applyFill="1" applyBorder="1" applyAlignment="1">
      <alignment vertical="center"/>
    </xf>
    <xf numFmtId="41" fontId="7" fillId="2" borderId="3" xfId="0" applyNumberFormat="1" applyFont="1" applyFill="1" applyBorder="1" applyAlignment="1">
      <alignment vertical="center"/>
    </xf>
    <xf numFmtId="0" fontId="1" fillId="2" borderId="22" xfId="0" applyFont="1" applyFill="1" applyBorder="1" applyAlignment="1">
      <alignment vertical="center"/>
    </xf>
    <xf numFmtId="0" fontId="7" fillId="2" borderId="2" xfId="6" quotePrefix="1" applyFont="1" applyFill="1" applyBorder="1" applyAlignment="1">
      <alignment horizontal="center" vertical="center"/>
    </xf>
    <xf numFmtId="41" fontId="7" fillId="2" borderId="23" xfId="0" applyNumberFormat="1" applyFont="1" applyFill="1" applyBorder="1" applyAlignment="1">
      <alignment vertical="center"/>
    </xf>
    <xf numFmtId="0" fontId="7" fillId="2" borderId="1" xfId="6" quotePrefix="1" applyFont="1" applyFill="1" applyBorder="1" applyAlignment="1">
      <alignment horizontal="center" vertical="center"/>
    </xf>
    <xf numFmtId="0" fontId="7" fillId="2" borderId="1" xfId="6" applyFont="1" applyFill="1" applyBorder="1" applyAlignment="1">
      <alignment vertical="center"/>
    </xf>
    <xf numFmtId="41" fontId="12" fillId="0" borderId="16" xfId="4" applyFont="1" applyBorder="1" applyAlignment="1">
      <alignment horizontal="center" vertical="center"/>
    </xf>
    <xf numFmtId="0" fontId="13" fillId="0" borderId="16" xfId="0" applyFont="1" applyBorder="1" applyAlignment="1">
      <alignment horizontal="center" vertical="center" wrapText="1"/>
    </xf>
    <xf numFmtId="0" fontId="4" fillId="2" borderId="9" xfId="0" applyFont="1" applyFill="1" applyBorder="1" applyAlignment="1">
      <alignment horizontal="left" vertical="center"/>
    </xf>
    <xf numFmtId="0" fontId="4" fillId="2" borderId="24" xfId="0" applyFont="1" applyFill="1" applyBorder="1" applyAlignment="1">
      <alignment horizontal="center" vertical="center"/>
    </xf>
    <xf numFmtId="0" fontId="3" fillId="4" borderId="2" xfId="0" applyFont="1" applyFill="1" applyBorder="1" applyAlignment="1">
      <alignment horizontal="center" vertical="center"/>
    </xf>
    <xf numFmtId="41" fontId="8" fillId="2" borderId="26" xfId="0" applyNumberFormat="1" applyFont="1" applyFill="1" applyBorder="1" applyAlignment="1">
      <alignment vertical="center"/>
    </xf>
    <xf numFmtId="41" fontId="8" fillId="2" borderId="27" xfId="0" applyNumberFormat="1" applyFont="1" applyFill="1" applyBorder="1" applyAlignment="1">
      <alignment vertical="center"/>
    </xf>
    <xf numFmtId="0" fontId="3" fillId="2" borderId="16" xfId="0" applyFont="1" applyFill="1" applyBorder="1" applyAlignment="1">
      <alignment horizontal="center" vertical="center"/>
    </xf>
    <xf numFmtId="0" fontId="21" fillId="0" borderId="25" xfId="10" quotePrefix="1" applyFont="1" applyBorder="1" applyAlignment="1">
      <alignment horizontal="left" vertical="center" wrapText="1"/>
    </xf>
    <xf numFmtId="9" fontId="4" fillId="0" borderId="0" xfId="18" applyFont="1" applyAlignment="1">
      <alignment vertical="center"/>
    </xf>
    <xf numFmtId="0" fontId="5" fillId="2" borderId="1" xfId="0" applyFont="1" applyFill="1" applyBorder="1" applyAlignment="1">
      <alignment horizontal="center" vertical="center"/>
    </xf>
    <xf numFmtId="0" fontId="5" fillId="2" borderId="0" xfId="0" applyFont="1" applyFill="1" applyAlignment="1">
      <alignment horizontal="center" vertical="center"/>
    </xf>
    <xf numFmtId="0" fontId="5" fillId="2" borderId="9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4" fillId="2" borderId="0" xfId="0" applyFont="1" applyFill="1" applyAlignment="1">
      <alignment horizontal="left" vertical="center"/>
    </xf>
    <xf numFmtId="0" fontId="4" fillId="2" borderId="1" xfId="0" applyFont="1" applyFill="1" applyBorder="1" applyAlignment="1">
      <alignment horizontal="right" vertical="center"/>
    </xf>
    <xf numFmtId="0" fontId="4" fillId="2" borderId="0" xfId="0" applyFont="1" applyFill="1" applyAlignment="1">
      <alignment horizontal="right" vertical="center"/>
    </xf>
    <xf numFmtId="0" fontId="15" fillId="3" borderId="15" xfId="0" applyFont="1" applyFill="1" applyBorder="1" applyAlignment="1">
      <alignment horizontal="center" vertical="center"/>
    </xf>
    <xf numFmtId="0" fontId="15" fillId="3" borderId="25" xfId="0" applyFont="1" applyFill="1" applyBorder="1" applyAlignment="1">
      <alignment horizontal="center" vertical="center"/>
    </xf>
    <xf numFmtId="0" fontId="3" fillId="4" borderId="22" xfId="0" applyFont="1" applyFill="1" applyBorder="1" applyAlignment="1">
      <alignment horizontal="center" vertical="center"/>
    </xf>
    <xf numFmtId="0" fontId="3" fillId="4" borderId="2" xfId="0" applyFont="1" applyFill="1" applyBorder="1" applyAlignment="1">
      <alignment horizontal="center" vertical="center"/>
    </xf>
  </cellXfs>
  <cellStyles count="19">
    <cellStyle name="Comma [0]_94실적" xfId="11" xr:uid="{00000000-0005-0000-0000-000031000000}"/>
    <cellStyle name="Comma_94실적" xfId="12" xr:uid="{00000000-0005-0000-0000-000032000000}"/>
    <cellStyle name="Currency [0]_94실적 (2)" xfId="13" xr:uid="{00000000-0005-0000-0000-000033000000}"/>
    <cellStyle name="Currency_94실적 (2)" xfId="14" xr:uid="{00000000-0005-0000-0000-000034000000}"/>
    <cellStyle name="Normal_Certs Q2" xfId="15" xr:uid="{00000000-0005-0000-0000-000035000000}"/>
    <cellStyle name="기본 2" xfId="1" xr:uid="{00000000-0005-0000-0000-000036000000}"/>
    <cellStyle name="기본 3" xfId="2" xr:uid="{00000000-0005-0000-0000-000037000000}"/>
    <cellStyle name="백분율" xfId="18" builtinId="5"/>
    <cellStyle name="쉼표 [0]" xfId="4" builtinId="6"/>
    <cellStyle name="쉼표 [0] 2" xfId="3" xr:uid="{00000000-0005-0000-0000-000038000000}"/>
    <cellStyle name="쉼표[0] 2" xfId="5" xr:uid="{00000000-0005-0000-0000-000039000000}"/>
    <cellStyle name="스타일 1" xfId="6" xr:uid="{00000000-0005-0000-0000-00003A000000}"/>
    <cellStyle name="열어 본 하이퍼링크" xfId="17" builtinId="9" hidden="1"/>
    <cellStyle name="콤마 [0]_(월초P)" xfId="7" xr:uid="{00000000-0005-0000-0000-00003B000000}"/>
    <cellStyle name="콤마_94실적 (2)" xfId="8" xr:uid="{00000000-0005-0000-0000-00003C000000}"/>
    <cellStyle name="통화 [0] 2" xfId="9" xr:uid="{00000000-0005-0000-0000-00003D000000}"/>
    <cellStyle name="표준" xfId="0" builtinId="0"/>
    <cellStyle name="표준 2" xfId="10" xr:uid="{00000000-0005-0000-0000-00003E000000}"/>
    <cellStyle name="하이퍼링크" xfId="16" builtinId="8" hidde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8</xdr:row>
      <xdr:rowOff>0</xdr:rowOff>
    </xdr:from>
    <xdr:to>
      <xdr:col>4</xdr:col>
      <xdr:colOff>12700</xdr:colOff>
      <xdr:row>8</xdr:row>
      <xdr:rowOff>0</xdr:rowOff>
    </xdr:to>
    <xdr:cxnSp macro="">
      <xdr:nvCxnSpPr>
        <xdr:cNvPr id="2" name="Line 3">
          <a:extLst>
            <a:ext uri="{FF2B5EF4-FFF2-40B4-BE49-F238E27FC236}">
              <a16:creationId xmlns:a16="http://schemas.microsoft.com/office/drawing/2014/main" id="{9B63D0C2-4AB5-0947-AE76-2577398A2CAF}"/>
            </a:ext>
          </a:extLst>
        </xdr:cNvPr>
        <xdr:cNvCxnSpPr/>
      </xdr:nvCxnSpPr>
      <xdr:spPr>
        <a:xfrm>
          <a:off x="368300" y="1905000"/>
          <a:ext cx="3124200" cy="0"/>
        </a:xfrm>
        <a:prstGeom prst="line">
          <a:avLst/>
        </a:prstGeom>
        <a:noFill/>
        <a:ln w="9525" cap="flat" cmpd="sng">
          <a:solidFill>
            <a:srgbClr val="000000">
              <a:alpha val="100000"/>
            </a:srgbClr>
          </a:solidFill>
          <a:prstDash val="solid"/>
          <a:round/>
          <a:headEnd type="none" w="med" len="med"/>
          <a:tailEnd type="non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 fPrintsWithSheet="0"/>
  </xdr:twoCellAnchor>
  <xdr:twoCellAnchor>
    <xdr:from>
      <xdr:col>1</xdr:col>
      <xdr:colOff>0</xdr:colOff>
      <xdr:row>10</xdr:row>
      <xdr:rowOff>0</xdr:rowOff>
    </xdr:from>
    <xdr:to>
      <xdr:col>4</xdr:col>
      <xdr:colOff>12700</xdr:colOff>
      <xdr:row>10</xdr:row>
      <xdr:rowOff>0</xdr:rowOff>
    </xdr:to>
    <xdr:cxnSp macro="">
      <xdr:nvCxnSpPr>
        <xdr:cNvPr id="3" name="Line 4">
          <a:extLst>
            <a:ext uri="{FF2B5EF4-FFF2-40B4-BE49-F238E27FC236}">
              <a16:creationId xmlns:a16="http://schemas.microsoft.com/office/drawing/2014/main" id="{C86BD97A-D68B-FE45-A382-8D5E297F1DF3}"/>
            </a:ext>
          </a:extLst>
        </xdr:cNvPr>
        <xdr:cNvCxnSpPr/>
      </xdr:nvCxnSpPr>
      <xdr:spPr>
        <a:xfrm>
          <a:off x="368300" y="2260600"/>
          <a:ext cx="3124200" cy="0"/>
        </a:xfrm>
        <a:prstGeom prst="line">
          <a:avLst/>
        </a:prstGeom>
        <a:noFill/>
        <a:ln w="9525" cap="flat" cmpd="sng">
          <a:solidFill>
            <a:srgbClr val="000000">
              <a:alpha val="100000"/>
            </a:srgbClr>
          </a:solidFill>
          <a:prstDash val="solid"/>
          <a:round/>
          <a:headEnd type="none" w="med" len="med"/>
          <a:tailEnd type="non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 fPrintsWithSheet="0"/>
  </xdr:twoCellAnchor>
  <xdr:twoCellAnchor>
    <xdr:from>
      <xdr:col>4</xdr:col>
      <xdr:colOff>1402508</xdr:colOff>
      <xdr:row>5</xdr:row>
      <xdr:rowOff>0</xdr:rowOff>
    </xdr:from>
    <xdr:to>
      <xdr:col>4</xdr:col>
      <xdr:colOff>3091608</xdr:colOff>
      <xdr:row>5</xdr:row>
      <xdr:rowOff>0</xdr:rowOff>
    </xdr:to>
    <xdr:cxnSp macro="">
      <xdr:nvCxnSpPr>
        <xdr:cNvPr id="4" name="Line 2">
          <a:extLst>
            <a:ext uri="{FF2B5EF4-FFF2-40B4-BE49-F238E27FC236}">
              <a16:creationId xmlns:a16="http://schemas.microsoft.com/office/drawing/2014/main" id="{4F19C716-40E1-0646-9E45-CA2B57FFD843}"/>
            </a:ext>
          </a:extLst>
        </xdr:cNvPr>
        <xdr:cNvCxnSpPr/>
      </xdr:nvCxnSpPr>
      <xdr:spPr>
        <a:xfrm>
          <a:off x="4882308" y="1435100"/>
          <a:ext cx="1689100" cy="0"/>
        </a:xfrm>
        <a:prstGeom prst="line">
          <a:avLst/>
        </a:prstGeom>
        <a:noFill/>
        <a:ln w="15875" cap="flat" cmpd="sng">
          <a:solidFill>
            <a:srgbClr val="000000">
              <a:alpha val="100000"/>
            </a:srgbClr>
          </a:solidFill>
          <a:prstDash val="solid"/>
          <a:round/>
          <a:headEnd type="none" w="med" len="med"/>
          <a:tailEnd type="non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 fPrintsWithSheet="0"/>
  </xdr:twoCellAnchor>
  <xdr:twoCellAnchor>
    <xdr:from>
      <xdr:col>1</xdr:col>
      <xdr:colOff>0</xdr:colOff>
      <xdr:row>8</xdr:row>
      <xdr:rowOff>0</xdr:rowOff>
    </xdr:from>
    <xdr:to>
      <xdr:col>4</xdr:col>
      <xdr:colOff>12700</xdr:colOff>
      <xdr:row>8</xdr:row>
      <xdr:rowOff>0</xdr:rowOff>
    </xdr:to>
    <xdr:cxnSp macro="">
      <xdr:nvCxnSpPr>
        <xdr:cNvPr id="5" name="Line 3">
          <a:extLst>
            <a:ext uri="{FF2B5EF4-FFF2-40B4-BE49-F238E27FC236}">
              <a16:creationId xmlns:a16="http://schemas.microsoft.com/office/drawing/2014/main" id="{113B99AD-2D50-A248-98CC-5649ACA9C58D}"/>
            </a:ext>
          </a:extLst>
        </xdr:cNvPr>
        <xdr:cNvCxnSpPr/>
      </xdr:nvCxnSpPr>
      <xdr:spPr>
        <a:xfrm>
          <a:off x="368300" y="1905000"/>
          <a:ext cx="3124200" cy="0"/>
        </a:xfrm>
        <a:prstGeom prst="line">
          <a:avLst/>
        </a:prstGeom>
        <a:noFill/>
        <a:ln w="9525" cap="flat" cmpd="sng">
          <a:solidFill>
            <a:srgbClr val="000000">
              <a:alpha val="100000"/>
            </a:srgbClr>
          </a:solidFill>
          <a:prstDash val="solid"/>
          <a:round/>
          <a:headEnd type="none" w="med" len="med"/>
          <a:tailEnd type="non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 fPrintsWithSheet="0"/>
  </xdr:twoCellAnchor>
  <xdr:twoCellAnchor>
    <xdr:from>
      <xdr:col>1</xdr:col>
      <xdr:colOff>0</xdr:colOff>
      <xdr:row>10</xdr:row>
      <xdr:rowOff>0</xdr:rowOff>
    </xdr:from>
    <xdr:to>
      <xdr:col>4</xdr:col>
      <xdr:colOff>12700</xdr:colOff>
      <xdr:row>10</xdr:row>
      <xdr:rowOff>0</xdr:rowOff>
    </xdr:to>
    <xdr:cxnSp macro="">
      <xdr:nvCxnSpPr>
        <xdr:cNvPr id="6" name="Line 4">
          <a:extLst>
            <a:ext uri="{FF2B5EF4-FFF2-40B4-BE49-F238E27FC236}">
              <a16:creationId xmlns:a16="http://schemas.microsoft.com/office/drawing/2014/main" id="{A610E38A-76AD-1847-805E-167E2E4752B2}"/>
            </a:ext>
          </a:extLst>
        </xdr:cNvPr>
        <xdr:cNvCxnSpPr/>
      </xdr:nvCxnSpPr>
      <xdr:spPr>
        <a:xfrm>
          <a:off x="368300" y="2260600"/>
          <a:ext cx="3124200" cy="0"/>
        </a:xfrm>
        <a:prstGeom prst="line">
          <a:avLst/>
        </a:prstGeom>
        <a:noFill/>
        <a:ln w="9525" cap="flat" cmpd="sng">
          <a:solidFill>
            <a:srgbClr val="000000">
              <a:alpha val="100000"/>
            </a:srgbClr>
          </a:solidFill>
          <a:prstDash val="solid"/>
          <a:round/>
          <a:headEnd type="none" w="med" len="med"/>
          <a:tailEnd type="non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 fPrintsWithSheet="0"/>
  </xdr:twoCellAnchor>
  <xdr:twoCellAnchor>
    <xdr:from>
      <xdr:col>2</xdr:col>
      <xdr:colOff>0</xdr:colOff>
      <xdr:row>12</xdr:row>
      <xdr:rowOff>0</xdr:rowOff>
    </xdr:from>
    <xdr:to>
      <xdr:col>3</xdr:col>
      <xdr:colOff>889000</xdr:colOff>
      <xdr:row>12</xdr:row>
      <xdr:rowOff>0</xdr:rowOff>
    </xdr:to>
    <xdr:cxnSp macro="">
      <xdr:nvCxnSpPr>
        <xdr:cNvPr id="7" name="Line 8">
          <a:extLst>
            <a:ext uri="{FF2B5EF4-FFF2-40B4-BE49-F238E27FC236}">
              <a16:creationId xmlns:a16="http://schemas.microsoft.com/office/drawing/2014/main" id="{9C9F7AC6-DC85-3F47-886E-8DBD4CA5C27C}"/>
            </a:ext>
          </a:extLst>
        </xdr:cNvPr>
        <xdr:cNvCxnSpPr/>
      </xdr:nvCxnSpPr>
      <xdr:spPr>
        <a:xfrm>
          <a:off x="965200" y="2552700"/>
          <a:ext cx="1905000" cy="0"/>
        </a:xfrm>
        <a:prstGeom prst="line">
          <a:avLst/>
        </a:prstGeom>
        <a:noFill/>
        <a:ln w="9525" cap="flat" cmpd="sng">
          <a:solidFill>
            <a:srgbClr val="000000">
              <a:alpha val="100000"/>
            </a:srgbClr>
          </a:solidFill>
          <a:prstDash val="solid"/>
          <a:round/>
          <a:headEnd type="none" w="med" len="med"/>
          <a:tailEnd type="non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 fPrintsWithSheet="0"/>
  </xdr:twoCellAnchor>
  <xdr:twoCellAnchor>
    <xdr:from>
      <xdr:col>2</xdr:col>
      <xdr:colOff>12700</xdr:colOff>
      <xdr:row>13</xdr:row>
      <xdr:rowOff>0</xdr:rowOff>
    </xdr:from>
    <xdr:to>
      <xdr:col>3</xdr:col>
      <xdr:colOff>12700</xdr:colOff>
      <xdr:row>13</xdr:row>
      <xdr:rowOff>12700</xdr:rowOff>
    </xdr:to>
    <xdr:cxnSp macro="">
      <xdr:nvCxnSpPr>
        <xdr:cNvPr id="8" name="Line 9">
          <a:extLst>
            <a:ext uri="{FF2B5EF4-FFF2-40B4-BE49-F238E27FC236}">
              <a16:creationId xmlns:a16="http://schemas.microsoft.com/office/drawing/2014/main" id="{31CAD403-9721-B545-8900-D3F59FF58DC1}"/>
            </a:ext>
          </a:extLst>
        </xdr:cNvPr>
        <xdr:cNvCxnSpPr/>
      </xdr:nvCxnSpPr>
      <xdr:spPr>
        <a:xfrm flipV="1">
          <a:off x="977900" y="2730500"/>
          <a:ext cx="1016000" cy="12700"/>
        </a:xfrm>
        <a:prstGeom prst="line">
          <a:avLst/>
        </a:prstGeom>
        <a:noFill/>
        <a:ln w="9525" cap="flat" cmpd="sng">
          <a:solidFill>
            <a:srgbClr val="000000">
              <a:alpha val="100000"/>
            </a:srgbClr>
          </a:solidFill>
          <a:prstDash val="solid"/>
          <a:round/>
          <a:headEnd type="none" w="med" len="med"/>
          <a:tailEnd type="non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 fPrintsWithSheet="0"/>
  </xdr:twoCellAnchor>
  <xdr:twoCellAnchor editAs="oneCell">
    <xdr:from>
      <xdr:col>0</xdr:col>
      <xdr:colOff>38100</xdr:colOff>
      <xdr:row>0</xdr:row>
      <xdr:rowOff>50800</xdr:rowOff>
    </xdr:from>
    <xdr:to>
      <xdr:col>2</xdr:col>
      <xdr:colOff>15240</xdr:colOff>
      <xdr:row>1</xdr:row>
      <xdr:rowOff>536575</xdr:rowOff>
    </xdr:to>
    <xdr:pic>
      <xdr:nvPicPr>
        <xdr:cNvPr id="9" name="Picture 1" descr="xl/media/image1.png">
          <a:extLst>
            <a:ext uri="{FF2B5EF4-FFF2-40B4-BE49-F238E27FC236}">
              <a16:creationId xmlns:a16="http://schemas.microsoft.com/office/drawing/2014/main" id="{53C0DAFA-A154-0B44-9EC3-51AC1566A52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38100" y="50800"/>
          <a:ext cx="946150" cy="688975"/>
        </a:xfrm>
        <a:prstGeom prst="rect">
          <a:avLst/>
        </a:prstGeom>
        <a:noFill/>
        <a:ln w="0" cap="flat" cmpd="sng">
          <a:noFill/>
          <a:prstDash/>
        </a:ln>
      </xdr:spPr>
    </xdr:pic>
    <xdr:clientData fPrintsWithSheet="0"/>
  </xdr:twoCellAnchor>
  <xdr:twoCellAnchor>
    <xdr:from>
      <xdr:col>8</xdr:col>
      <xdr:colOff>1209040</xdr:colOff>
      <xdr:row>8</xdr:row>
      <xdr:rowOff>0</xdr:rowOff>
    </xdr:from>
    <xdr:to>
      <xdr:col>9</xdr:col>
      <xdr:colOff>648335</xdr:colOff>
      <xdr:row>8</xdr:row>
      <xdr:rowOff>0</xdr:rowOff>
    </xdr:to>
    <xdr:cxnSp macro="">
      <xdr:nvCxnSpPr>
        <xdr:cNvPr id="10" name="Line 18">
          <a:extLst>
            <a:ext uri="{FF2B5EF4-FFF2-40B4-BE49-F238E27FC236}">
              <a16:creationId xmlns:a16="http://schemas.microsoft.com/office/drawing/2014/main" id="{F09A7D47-5457-B840-B1F8-20179F67D643}"/>
            </a:ext>
          </a:extLst>
        </xdr:cNvPr>
        <xdr:cNvCxnSpPr/>
      </xdr:nvCxnSpPr>
      <xdr:spPr>
        <a:xfrm>
          <a:off x="10429240" y="1905000"/>
          <a:ext cx="645795" cy="0"/>
        </a:xfrm>
        <a:prstGeom prst="line">
          <a:avLst/>
        </a:prstGeom>
        <a:noFill/>
        <a:ln w="9525" cap="flat" cmpd="sng">
          <a:solidFill>
            <a:srgbClr val="000000">
              <a:alpha val="100000"/>
            </a:srgbClr>
          </a:solidFill>
          <a:prstDash val="solid"/>
          <a:round/>
          <a:headEnd type="none" w="med" len="med"/>
          <a:tailEnd type="non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 fPrintsWithSheet="0"/>
  </xdr:twoCellAnchor>
  <xdr:twoCellAnchor>
    <xdr:from>
      <xdr:col>8</xdr:col>
      <xdr:colOff>1205865</xdr:colOff>
      <xdr:row>9</xdr:row>
      <xdr:rowOff>13970</xdr:rowOff>
    </xdr:from>
    <xdr:to>
      <xdr:col>9</xdr:col>
      <xdr:colOff>645160</xdr:colOff>
      <xdr:row>9</xdr:row>
      <xdr:rowOff>13970</xdr:rowOff>
    </xdr:to>
    <xdr:cxnSp macro="">
      <xdr:nvCxnSpPr>
        <xdr:cNvPr id="11" name="Line 18">
          <a:extLst>
            <a:ext uri="{FF2B5EF4-FFF2-40B4-BE49-F238E27FC236}">
              <a16:creationId xmlns:a16="http://schemas.microsoft.com/office/drawing/2014/main" id="{EBF8A8F4-B8EA-E74F-809B-135125F3794E}"/>
            </a:ext>
          </a:extLst>
        </xdr:cNvPr>
        <xdr:cNvCxnSpPr/>
      </xdr:nvCxnSpPr>
      <xdr:spPr>
        <a:xfrm>
          <a:off x="10426065" y="2096770"/>
          <a:ext cx="645795" cy="0"/>
        </a:xfrm>
        <a:prstGeom prst="line">
          <a:avLst/>
        </a:prstGeom>
        <a:noFill/>
        <a:ln w="9525" cap="flat" cmpd="sng">
          <a:solidFill>
            <a:srgbClr val="000000">
              <a:alpha val="100000"/>
            </a:srgbClr>
          </a:solidFill>
          <a:prstDash val="solid"/>
          <a:round/>
          <a:headEnd type="none" w="med" len="med"/>
          <a:tailEnd type="non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 fPrintsWithSheet="0"/>
  </xdr:twoCellAnchor>
  <xdr:twoCellAnchor editAs="oneCell">
    <xdr:from>
      <xdr:col>7</xdr:col>
      <xdr:colOff>736598</xdr:colOff>
      <xdr:row>10</xdr:row>
      <xdr:rowOff>6860</xdr:rowOff>
    </xdr:from>
    <xdr:to>
      <xdr:col>9</xdr:col>
      <xdr:colOff>893655</xdr:colOff>
      <xdr:row>20</xdr:row>
      <xdr:rowOff>55827</xdr:rowOff>
    </xdr:to>
    <xdr:pic>
      <xdr:nvPicPr>
        <xdr:cNvPr id="12" name="그림 11">
          <a:extLst>
            <a:ext uri="{FF2B5EF4-FFF2-40B4-BE49-F238E27FC236}">
              <a16:creationId xmlns:a16="http://schemas.microsoft.com/office/drawing/2014/main" id="{1EA8C820-12F1-CC43-BB9C-67E6BCC940F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9131298" y="2267460"/>
          <a:ext cx="2192867" cy="1709492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blurRad="63500" dist="38099" dir="2700000" algn="ctr" rotWithShape="0">
                  <a:srgbClr val="000000">
                    <a:alpha val="74998"/>
                  </a:srgbClr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blurRad="63500" dist="38099" dir="2700000" algn="ctr" rotWithShape="0">
                  <a:srgbClr val="000000">
                    <a:alpha val="74998"/>
                  </a:srgbClr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9E2A3A-5F1D-0840-8D5B-A10E391E3451}">
  <sheetPr>
    <pageSetUpPr fitToPage="1"/>
  </sheetPr>
  <dimension ref="A1:P852"/>
  <sheetViews>
    <sheetView tabSelected="1" view="pageBreakPreview" zoomScale="110" zoomScaleNormal="110" zoomScaleSheetLayoutView="110" workbookViewId="0">
      <selection activeCell="J10" sqref="J10"/>
    </sheetView>
  </sheetViews>
  <sheetFormatPr defaultColWidth="8.796875" defaultRowHeight="17.399999999999999"/>
  <cols>
    <col min="1" max="1" width="4.796875" style="1" customWidth="1"/>
    <col min="2" max="2" width="7.796875" style="1" customWidth="1"/>
    <col min="3" max="3" width="13.296875" style="1" customWidth="1"/>
    <col min="4" max="4" width="19.69921875" style="1" customWidth="1"/>
    <col min="5" max="5" width="45.19921875" style="1" customWidth="1"/>
    <col min="6" max="6" width="6" style="1" customWidth="1"/>
    <col min="7" max="10" width="13.296875" style="1" customWidth="1"/>
    <col min="11" max="12" width="1.796875" style="1" customWidth="1"/>
    <col min="13" max="13" width="8.796875" style="1" customWidth="1"/>
    <col min="14" max="16384" width="8.796875" style="1"/>
  </cols>
  <sheetData>
    <row r="1" spans="1:10" ht="16.5" customHeight="1">
      <c r="A1" s="13"/>
      <c r="B1" s="14"/>
      <c r="C1" s="14"/>
      <c r="D1" s="14"/>
      <c r="E1" s="14"/>
      <c r="F1" s="14"/>
      <c r="G1" s="14"/>
      <c r="H1" s="14"/>
      <c r="I1" s="14"/>
      <c r="J1" s="15"/>
    </row>
    <row r="2" spans="1:10" ht="46.05" customHeight="1" thickBot="1">
      <c r="A2" s="16"/>
      <c r="B2" s="17"/>
      <c r="C2" s="17"/>
      <c r="D2" s="18"/>
      <c r="E2" s="18"/>
      <c r="F2" s="18"/>
      <c r="G2" s="18"/>
      <c r="H2" s="18"/>
      <c r="I2" s="18"/>
      <c r="J2" s="38"/>
    </row>
    <row r="3" spans="1:10" ht="15.75" customHeight="1" thickTop="1">
      <c r="A3" s="20" t="s">
        <v>33</v>
      </c>
      <c r="B3" s="21"/>
      <c r="C3" s="21"/>
      <c r="D3" s="22"/>
      <c r="E3" s="22"/>
      <c r="F3" s="22"/>
      <c r="G3" s="22"/>
      <c r="H3" s="22"/>
      <c r="I3" s="22"/>
      <c r="J3" s="39"/>
    </row>
    <row r="4" spans="1:10" ht="9.75" customHeight="1">
      <c r="A4" s="20"/>
      <c r="B4" s="21"/>
      <c r="C4" s="21"/>
      <c r="D4" s="22"/>
      <c r="E4" s="22"/>
      <c r="F4" s="22"/>
      <c r="G4" s="22"/>
      <c r="H4" s="22"/>
      <c r="I4" s="22"/>
      <c r="J4" s="39"/>
    </row>
    <row r="5" spans="1:10" ht="27.6">
      <c r="A5" s="62" t="s">
        <v>0</v>
      </c>
      <c r="B5" s="63"/>
      <c r="C5" s="63"/>
      <c r="D5" s="63"/>
      <c r="E5" s="63"/>
      <c r="F5" s="63"/>
      <c r="G5" s="63"/>
      <c r="H5" s="63"/>
      <c r="I5" s="63"/>
      <c r="J5" s="64"/>
    </row>
    <row r="6" spans="1:10" s="2" customFormat="1" ht="13.2">
      <c r="A6" s="65" t="s">
        <v>1</v>
      </c>
      <c r="B6" s="66"/>
      <c r="C6" s="66"/>
      <c r="D6" s="66"/>
      <c r="E6" s="66"/>
      <c r="F6" s="66"/>
      <c r="G6" s="66"/>
      <c r="H6" s="66"/>
      <c r="I6" s="66"/>
      <c r="J6" s="67"/>
    </row>
    <row r="7" spans="1:10" s="2" customFormat="1" ht="9.75" customHeight="1">
      <c r="A7" s="24"/>
      <c r="B7" s="10"/>
      <c r="C7" s="10"/>
      <c r="D7" s="10"/>
      <c r="E7" s="10"/>
      <c r="F7" s="10"/>
      <c r="G7" s="10"/>
      <c r="H7" s="10"/>
      <c r="I7" s="10"/>
      <c r="J7" s="23"/>
    </row>
    <row r="8" spans="1:10" s="2" customFormat="1" ht="13.2">
      <c r="A8" s="24" t="s">
        <v>2</v>
      </c>
      <c r="B8" s="66" t="s">
        <v>46</v>
      </c>
      <c r="C8" s="66"/>
      <c r="D8" s="66"/>
      <c r="E8" s="10" t="s">
        <v>3</v>
      </c>
      <c r="F8" s="10"/>
      <c r="G8" s="10"/>
      <c r="H8" s="10"/>
      <c r="I8" s="25" t="s">
        <v>24</v>
      </c>
      <c r="J8" s="40">
        <v>45926</v>
      </c>
    </row>
    <row r="9" spans="1:10" s="2" customFormat="1" ht="13.2">
      <c r="A9" s="24"/>
      <c r="B9" s="68" t="s">
        <v>4</v>
      </c>
      <c r="C9" s="68"/>
      <c r="D9" s="68"/>
      <c r="E9" s="10"/>
      <c r="F9" s="10"/>
      <c r="G9" s="10"/>
      <c r="H9" s="10"/>
      <c r="I9" s="25" t="s">
        <v>5</v>
      </c>
      <c r="J9" s="54" t="s">
        <v>76</v>
      </c>
    </row>
    <row r="10" spans="1:10" s="2" customFormat="1" ht="13.2">
      <c r="A10" s="24" t="s">
        <v>6</v>
      </c>
      <c r="B10" s="66" t="s">
        <v>47</v>
      </c>
      <c r="C10" s="66"/>
      <c r="D10" s="66"/>
      <c r="E10" s="10" t="s">
        <v>7</v>
      </c>
      <c r="F10" s="10"/>
      <c r="G10" s="10"/>
      <c r="H10" s="10"/>
      <c r="I10" s="10"/>
      <c r="J10" s="23"/>
    </row>
    <row r="11" spans="1:10" s="2" customFormat="1" ht="9.75" customHeight="1">
      <c r="A11" s="24"/>
      <c r="B11" s="26"/>
      <c r="C11" s="26"/>
      <c r="D11" s="26"/>
      <c r="E11" s="10"/>
      <c r="F11" s="10"/>
      <c r="G11" s="10"/>
      <c r="H11" s="10"/>
      <c r="I11" s="10"/>
      <c r="J11" s="23"/>
    </row>
    <row r="12" spans="1:10" s="2" customFormat="1" ht="13.2">
      <c r="A12" s="69" t="s">
        <v>8</v>
      </c>
      <c r="B12" s="70"/>
      <c r="C12" s="27">
        <f>J34</f>
        <v>2453500000</v>
      </c>
      <c r="D12" s="10" t="s">
        <v>30</v>
      </c>
      <c r="E12" s="10"/>
      <c r="F12" s="10"/>
      <c r="G12" s="10"/>
      <c r="H12" s="10"/>
      <c r="I12" s="10"/>
      <c r="J12" s="23"/>
    </row>
    <row r="13" spans="1:10" s="2" customFormat="1" ht="13.2">
      <c r="A13" s="69" t="s">
        <v>9</v>
      </c>
      <c r="B13" s="70"/>
      <c r="C13" s="28" t="s">
        <v>10</v>
      </c>
      <c r="D13" s="10"/>
      <c r="E13" s="10"/>
      <c r="F13" s="10"/>
      <c r="G13" s="10"/>
      <c r="H13" s="10"/>
      <c r="I13" s="10"/>
      <c r="J13" s="23"/>
    </row>
    <row r="14" spans="1:10" s="2" customFormat="1" ht="13.2">
      <c r="A14" s="69" t="s">
        <v>25</v>
      </c>
      <c r="B14" s="70"/>
      <c r="C14" s="10" t="s">
        <v>11</v>
      </c>
      <c r="D14" s="10"/>
      <c r="E14" s="10"/>
      <c r="F14" s="10"/>
      <c r="G14" s="10"/>
      <c r="H14" s="10"/>
      <c r="I14" s="10"/>
      <c r="J14" s="23"/>
    </row>
    <row r="15" spans="1:10" s="2" customFormat="1" ht="9.75" customHeight="1">
      <c r="A15" s="24"/>
      <c r="B15" s="10"/>
      <c r="C15" s="10"/>
      <c r="D15" s="10"/>
      <c r="E15" s="10"/>
      <c r="F15" s="10"/>
      <c r="G15" s="10"/>
      <c r="H15" s="10"/>
      <c r="I15" s="10"/>
      <c r="J15" s="23"/>
    </row>
    <row r="16" spans="1:10" s="2" customFormat="1" ht="13.2">
      <c r="A16" s="24" t="s">
        <v>31</v>
      </c>
      <c r="B16" s="10"/>
      <c r="C16" s="10"/>
      <c r="D16" s="10"/>
      <c r="E16" s="10"/>
      <c r="F16" s="10"/>
      <c r="G16" s="10"/>
      <c r="H16" s="10"/>
      <c r="I16" s="10"/>
      <c r="J16" s="23"/>
    </row>
    <row r="17" spans="1:16" s="2" customFormat="1" ht="13.2">
      <c r="A17" s="24" t="s">
        <v>12</v>
      </c>
      <c r="B17" s="10"/>
      <c r="C17" s="10"/>
      <c r="D17" s="10"/>
      <c r="E17" s="10"/>
      <c r="F17" s="10"/>
      <c r="G17" s="10"/>
      <c r="H17" s="10"/>
      <c r="I17" s="10"/>
      <c r="J17" s="23"/>
    </row>
    <row r="18" spans="1:16" s="2" customFormat="1" ht="13.2">
      <c r="A18" s="24" t="s">
        <v>27</v>
      </c>
      <c r="B18" s="10"/>
      <c r="C18" s="10"/>
      <c r="D18" s="10"/>
      <c r="E18" s="10"/>
      <c r="F18" s="10"/>
      <c r="G18" s="10"/>
      <c r="H18" s="10"/>
      <c r="I18" s="10"/>
      <c r="J18" s="23"/>
    </row>
    <row r="19" spans="1:16" s="2" customFormat="1" ht="13.2">
      <c r="A19" s="24" t="s">
        <v>26</v>
      </c>
      <c r="B19" s="10"/>
      <c r="C19" s="10"/>
      <c r="D19" s="10"/>
      <c r="E19" s="10"/>
      <c r="F19" s="10"/>
      <c r="G19" s="10"/>
      <c r="H19" s="10"/>
      <c r="I19" s="10"/>
      <c r="J19" s="23"/>
    </row>
    <row r="20" spans="1:16" s="2" customFormat="1" ht="13.2">
      <c r="A20" s="24" t="s">
        <v>34</v>
      </c>
      <c r="B20" s="10"/>
      <c r="C20" s="10"/>
      <c r="D20" s="10"/>
      <c r="E20" s="10"/>
      <c r="F20" s="10"/>
      <c r="G20" s="10"/>
      <c r="H20" s="10"/>
      <c r="I20" s="10"/>
      <c r="J20" s="23"/>
    </row>
    <row r="21" spans="1:16" s="2" customFormat="1" ht="9.75" customHeight="1">
      <c r="A21" s="24"/>
      <c r="B21" s="10"/>
      <c r="C21" s="10"/>
      <c r="D21" s="10"/>
      <c r="E21" s="10"/>
      <c r="F21" s="10"/>
      <c r="G21" s="10"/>
      <c r="H21" s="10"/>
      <c r="I21" s="10"/>
      <c r="J21" s="23"/>
    </row>
    <row r="22" spans="1:16" s="2" customFormat="1" ht="13.2">
      <c r="A22" s="29" t="s">
        <v>13</v>
      </c>
      <c r="B22" s="10"/>
      <c r="C22" s="10"/>
      <c r="D22" s="10"/>
      <c r="E22" s="10"/>
      <c r="F22" s="10"/>
      <c r="G22" s="10"/>
      <c r="H22" s="10"/>
      <c r="I22" s="10"/>
      <c r="J22" s="41" t="s">
        <v>18</v>
      </c>
    </row>
    <row r="23" spans="1:16" s="2" customFormat="1" ht="15.75" customHeight="1">
      <c r="A23" s="34" t="s">
        <v>14</v>
      </c>
      <c r="B23" s="71" t="s">
        <v>15</v>
      </c>
      <c r="C23" s="72"/>
      <c r="D23" s="35" t="s">
        <v>23</v>
      </c>
      <c r="E23" s="35" t="s">
        <v>16</v>
      </c>
      <c r="F23" s="35" t="s">
        <v>17</v>
      </c>
      <c r="G23" s="36" t="s">
        <v>28</v>
      </c>
      <c r="H23" s="36" t="s">
        <v>29</v>
      </c>
      <c r="I23" s="36" t="s">
        <v>21</v>
      </c>
      <c r="J23" s="42" t="s">
        <v>22</v>
      </c>
    </row>
    <row r="24" spans="1:16" s="2" customFormat="1" ht="139.94999999999999" customHeight="1">
      <c r="A24" s="55">
        <v>1</v>
      </c>
      <c r="B24" s="59" t="s">
        <v>48</v>
      </c>
      <c r="C24" s="53" t="s">
        <v>52</v>
      </c>
      <c r="D24" s="53" t="s">
        <v>49</v>
      </c>
      <c r="E24" s="60" t="s">
        <v>58</v>
      </c>
      <c r="F24" s="52">
        <v>23</v>
      </c>
      <c r="G24" s="52">
        <v>273366000</v>
      </c>
      <c r="H24" s="52">
        <f t="shared" ref="H24" si="0">F24*G24</f>
        <v>6287418000</v>
      </c>
      <c r="I24" s="58">
        <v>60000000</v>
      </c>
      <c r="J24" s="57">
        <f t="shared" ref="J24" si="1">F24*I24</f>
        <v>1380000000</v>
      </c>
    </row>
    <row r="25" spans="1:16" s="2" customFormat="1" ht="139.94999999999999" customHeight="1">
      <c r="A25" s="55">
        <v>2</v>
      </c>
      <c r="B25" s="59" t="s">
        <v>48</v>
      </c>
      <c r="C25" s="53" t="s">
        <v>54</v>
      </c>
      <c r="D25" s="53" t="s">
        <v>49</v>
      </c>
      <c r="E25" s="60" t="s">
        <v>58</v>
      </c>
      <c r="F25" s="52">
        <v>3</v>
      </c>
      <c r="G25" s="52">
        <v>273366000</v>
      </c>
      <c r="H25" s="52">
        <f t="shared" ref="H25" si="2">F25*G25</f>
        <v>820098000</v>
      </c>
      <c r="I25" s="58">
        <v>60000000</v>
      </c>
      <c r="J25" s="57">
        <f t="shared" ref="J25" si="3">F25*I25</f>
        <v>180000000</v>
      </c>
    </row>
    <row r="26" spans="1:16" s="2" customFormat="1" ht="139.94999999999999" customHeight="1">
      <c r="A26" s="55">
        <v>3</v>
      </c>
      <c r="B26" s="59" t="s">
        <v>48</v>
      </c>
      <c r="C26" s="53" t="s">
        <v>53</v>
      </c>
      <c r="D26" s="53" t="s">
        <v>49</v>
      </c>
      <c r="E26" s="60" t="s">
        <v>59</v>
      </c>
      <c r="F26" s="52">
        <v>2</v>
      </c>
      <c r="G26" s="52">
        <v>191356200</v>
      </c>
      <c r="H26" s="52">
        <f t="shared" ref="H26" si="4">F26*G26</f>
        <v>382712400</v>
      </c>
      <c r="I26" s="58">
        <v>41700000</v>
      </c>
      <c r="J26" s="57">
        <f t="shared" ref="J26" si="5">F26*I26</f>
        <v>83400000</v>
      </c>
      <c r="P26" s="61"/>
    </row>
    <row r="27" spans="1:16" s="2" customFormat="1" ht="139.94999999999999" customHeight="1">
      <c r="A27" s="55">
        <v>4</v>
      </c>
      <c r="B27" s="59" t="s">
        <v>48</v>
      </c>
      <c r="C27" s="53" t="s">
        <v>50</v>
      </c>
      <c r="D27" s="53" t="s">
        <v>49</v>
      </c>
      <c r="E27" s="60" t="s">
        <v>60</v>
      </c>
      <c r="F27" s="52">
        <v>2</v>
      </c>
      <c r="G27" s="52">
        <v>187647000</v>
      </c>
      <c r="H27" s="52">
        <f t="shared" ref="H27" si="6">F27*G27</f>
        <v>375294000</v>
      </c>
      <c r="I27" s="58">
        <v>40000000</v>
      </c>
      <c r="J27" s="57">
        <f t="shared" ref="J27" si="7">F27*I27</f>
        <v>80000000</v>
      </c>
    </row>
    <row r="28" spans="1:16" s="2" customFormat="1" ht="120" customHeight="1">
      <c r="A28" s="55">
        <v>5</v>
      </c>
      <c r="B28" s="59" t="s">
        <v>48</v>
      </c>
      <c r="C28" s="53" t="s">
        <v>55</v>
      </c>
      <c r="D28" s="53" t="s">
        <v>56</v>
      </c>
      <c r="E28" s="60" t="s">
        <v>57</v>
      </c>
      <c r="F28" s="52">
        <v>1</v>
      </c>
      <c r="G28" s="52">
        <v>1888710000</v>
      </c>
      <c r="H28" s="52">
        <f t="shared" ref="H28:H32" si="8">F28*G28</f>
        <v>1888710000</v>
      </c>
      <c r="I28" s="58">
        <v>430000000</v>
      </c>
      <c r="J28" s="57">
        <f t="shared" ref="J28:J32" si="9">F28*I28</f>
        <v>430000000</v>
      </c>
    </row>
    <row r="29" spans="1:16" s="2" customFormat="1" ht="94.95" customHeight="1">
      <c r="A29" s="55">
        <v>6</v>
      </c>
      <c r="B29" s="59" t="s">
        <v>48</v>
      </c>
      <c r="C29" s="53" t="s">
        <v>70</v>
      </c>
      <c r="D29" s="53" t="s">
        <v>71</v>
      </c>
      <c r="E29" s="60" t="s">
        <v>72</v>
      </c>
      <c r="F29" s="52">
        <v>2</v>
      </c>
      <c r="G29" s="52">
        <v>400076000</v>
      </c>
      <c r="H29" s="52">
        <f t="shared" si="8"/>
        <v>800152000</v>
      </c>
      <c r="I29" s="58">
        <v>75000000</v>
      </c>
      <c r="J29" s="57">
        <f t="shared" si="9"/>
        <v>150000000</v>
      </c>
    </row>
    <row r="30" spans="1:16" s="2" customFormat="1" ht="75" customHeight="1">
      <c r="A30" s="55">
        <v>7</v>
      </c>
      <c r="B30" s="59" t="s">
        <v>48</v>
      </c>
      <c r="C30" s="53" t="s">
        <v>65</v>
      </c>
      <c r="D30" s="53" t="s">
        <v>66</v>
      </c>
      <c r="E30" s="60" t="s">
        <v>74</v>
      </c>
      <c r="F30" s="52">
        <v>2</v>
      </c>
      <c r="G30" s="52">
        <v>17014000</v>
      </c>
      <c r="H30" s="52">
        <f t="shared" ref="H30" si="10">F30*G30</f>
        <v>34028000</v>
      </c>
      <c r="I30" s="58">
        <v>6000000</v>
      </c>
      <c r="J30" s="57">
        <f t="shared" ref="J30" si="11">F30*I30</f>
        <v>12000000</v>
      </c>
    </row>
    <row r="31" spans="1:16" s="2" customFormat="1" ht="94.95" customHeight="1">
      <c r="A31" s="55">
        <v>8</v>
      </c>
      <c r="B31" s="59" t="s">
        <v>67</v>
      </c>
      <c r="C31" s="53" t="s">
        <v>69</v>
      </c>
      <c r="D31" s="53" t="s">
        <v>68</v>
      </c>
      <c r="E31" s="60" t="s">
        <v>73</v>
      </c>
      <c r="F31" s="52">
        <v>2</v>
      </c>
      <c r="G31" s="52">
        <v>209821000</v>
      </c>
      <c r="H31" s="52">
        <f t="shared" ref="H31" si="12">F31*G31</f>
        <v>419642000</v>
      </c>
      <c r="I31" s="58">
        <v>41000000</v>
      </c>
      <c r="J31" s="57">
        <f t="shared" ref="J31" si="13">F31*I31</f>
        <v>82000000</v>
      </c>
    </row>
    <row r="32" spans="1:16" s="2" customFormat="1" ht="90" customHeight="1">
      <c r="A32" s="55">
        <v>9</v>
      </c>
      <c r="B32" s="59" t="s">
        <v>64</v>
      </c>
      <c r="C32" s="53" t="s">
        <v>51</v>
      </c>
      <c r="D32" s="53" t="s">
        <v>61</v>
      </c>
      <c r="E32" s="60" t="s">
        <v>75</v>
      </c>
      <c r="F32" s="52">
        <v>30</v>
      </c>
      <c r="G32" s="52">
        <v>2550000</v>
      </c>
      <c r="H32" s="52">
        <f t="shared" si="8"/>
        <v>76500000</v>
      </c>
      <c r="I32" s="58">
        <v>1200000</v>
      </c>
      <c r="J32" s="57">
        <f t="shared" si="9"/>
        <v>36000000</v>
      </c>
    </row>
    <row r="33" spans="1:10" s="2" customFormat="1" ht="100.05" customHeight="1">
      <c r="A33" s="55">
        <v>10</v>
      </c>
      <c r="B33" s="59" t="s">
        <v>64</v>
      </c>
      <c r="C33" s="53" t="s">
        <v>51</v>
      </c>
      <c r="D33" s="53" t="s">
        <v>62</v>
      </c>
      <c r="E33" s="60" t="s">
        <v>63</v>
      </c>
      <c r="F33" s="52">
        <v>67</v>
      </c>
      <c r="G33" s="52">
        <v>450000</v>
      </c>
      <c r="H33" s="52">
        <f t="shared" ref="H33" si="14">F33*G33</f>
        <v>30150000</v>
      </c>
      <c r="I33" s="58">
        <v>300000</v>
      </c>
      <c r="J33" s="57">
        <f t="shared" ref="J33" si="15">F33*I33</f>
        <v>20100000</v>
      </c>
    </row>
    <row r="34" spans="1:10" s="2" customFormat="1" ht="13.2">
      <c r="A34" s="73" t="s">
        <v>32</v>
      </c>
      <c r="B34" s="74"/>
      <c r="C34" s="74"/>
      <c r="D34" s="74"/>
      <c r="E34" s="74"/>
      <c r="F34" s="74"/>
      <c r="G34" s="56"/>
      <c r="H34" s="56"/>
      <c r="I34" s="37"/>
      <c r="J34" s="43">
        <f>SUM(J24:J33)</f>
        <v>2453500000</v>
      </c>
    </row>
    <row r="35" spans="1:10" ht="13.5" customHeight="1">
      <c r="A35" s="30"/>
      <c r="B35" s="7"/>
      <c r="C35" s="7"/>
      <c r="D35" s="7"/>
      <c r="E35" s="7"/>
      <c r="F35" s="7"/>
      <c r="G35" s="7"/>
      <c r="H35" s="7"/>
      <c r="I35" s="7"/>
      <c r="J35" s="19"/>
    </row>
    <row r="36" spans="1:10" ht="21" customHeight="1">
      <c r="A36" s="49" t="s">
        <v>19</v>
      </c>
      <c r="B36" s="46"/>
      <c r="C36" s="46"/>
      <c r="D36" s="8"/>
      <c r="E36" s="9"/>
      <c r="F36" s="9"/>
      <c r="G36" s="9"/>
      <c r="H36" s="9"/>
      <c r="I36" s="9"/>
      <c r="J36" s="44"/>
    </row>
    <row r="37" spans="1:10" ht="21" customHeight="1">
      <c r="A37" s="50" t="s">
        <v>20</v>
      </c>
      <c r="B37" s="3" t="s">
        <v>35</v>
      </c>
      <c r="C37" s="3"/>
      <c r="D37" s="10"/>
      <c r="E37" s="7"/>
      <c r="F37" s="7"/>
      <c r="G37" s="7"/>
      <c r="H37" s="7"/>
      <c r="I37" s="7"/>
      <c r="J37" s="19"/>
    </row>
    <row r="38" spans="1:10" ht="21" customHeight="1">
      <c r="A38" s="50"/>
      <c r="B38" s="3" t="s">
        <v>36</v>
      </c>
      <c r="C38" s="3"/>
      <c r="D38" s="10"/>
      <c r="E38" s="7"/>
      <c r="F38" s="7"/>
      <c r="G38" s="7"/>
      <c r="H38" s="7"/>
      <c r="I38" s="7"/>
      <c r="J38" s="19"/>
    </row>
    <row r="39" spans="1:10" ht="21" customHeight="1">
      <c r="A39" s="50"/>
      <c r="B39" s="4" t="s">
        <v>37</v>
      </c>
      <c r="C39" s="4"/>
      <c r="D39" s="10"/>
      <c r="E39" s="7"/>
      <c r="F39" s="7"/>
      <c r="G39" s="7"/>
      <c r="H39" s="7"/>
      <c r="I39" s="7"/>
      <c r="J39" s="19"/>
    </row>
    <row r="40" spans="1:10" ht="21" customHeight="1">
      <c r="A40" s="50">
        <v>2</v>
      </c>
      <c r="B40" s="3" t="s">
        <v>38</v>
      </c>
      <c r="C40" s="3"/>
      <c r="D40" s="10"/>
      <c r="E40" s="7"/>
      <c r="F40" s="7"/>
      <c r="G40" s="7"/>
      <c r="H40" s="7"/>
      <c r="I40" s="7"/>
      <c r="J40" s="19"/>
    </row>
    <row r="41" spans="1:10" ht="21" customHeight="1">
      <c r="A41" s="51"/>
      <c r="B41" s="3" t="s">
        <v>39</v>
      </c>
      <c r="C41" s="3"/>
      <c r="D41" s="10"/>
      <c r="E41" s="7"/>
      <c r="F41" s="7"/>
      <c r="G41" s="7"/>
      <c r="H41" s="7"/>
      <c r="I41" s="7"/>
      <c r="J41" s="19"/>
    </row>
    <row r="42" spans="1:10" ht="21" customHeight="1">
      <c r="A42" s="51"/>
      <c r="B42" s="3" t="s">
        <v>40</v>
      </c>
      <c r="C42" s="3"/>
      <c r="D42" s="10"/>
      <c r="E42" s="7"/>
      <c r="F42" s="7"/>
      <c r="G42" s="7"/>
      <c r="H42" s="7"/>
      <c r="I42" s="7"/>
      <c r="J42" s="19"/>
    </row>
    <row r="43" spans="1:10" ht="21" customHeight="1">
      <c r="A43" s="51"/>
      <c r="B43" s="3" t="s">
        <v>41</v>
      </c>
      <c r="C43" s="3"/>
      <c r="D43" s="10"/>
      <c r="E43" s="7"/>
      <c r="F43" s="7"/>
      <c r="G43" s="7"/>
      <c r="H43" s="7"/>
      <c r="I43" s="7"/>
      <c r="J43" s="19"/>
    </row>
    <row r="44" spans="1:10" ht="21" customHeight="1">
      <c r="A44" s="51"/>
      <c r="B44" s="3" t="s">
        <v>42</v>
      </c>
      <c r="C44" s="3"/>
      <c r="D44" s="10"/>
      <c r="E44" s="7"/>
      <c r="F44" s="7"/>
      <c r="G44" s="7"/>
      <c r="H44" s="7"/>
      <c r="I44" s="7"/>
      <c r="J44" s="19"/>
    </row>
    <row r="45" spans="1:10" ht="21" customHeight="1">
      <c r="A45" s="50">
        <v>3</v>
      </c>
      <c r="B45" s="3" t="s">
        <v>43</v>
      </c>
      <c r="C45" s="5"/>
      <c r="D45" s="10"/>
      <c r="E45" s="7"/>
      <c r="F45" s="7"/>
      <c r="G45" s="7"/>
      <c r="H45" s="7"/>
      <c r="I45" s="7"/>
      <c r="J45" s="19"/>
    </row>
    <row r="46" spans="1:10" ht="21" customHeight="1">
      <c r="A46" s="50"/>
      <c r="B46" s="3" t="s">
        <v>44</v>
      </c>
      <c r="C46" s="5"/>
      <c r="D46" s="10"/>
      <c r="E46" s="7"/>
      <c r="F46" s="7"/>
      <c r="G46" s="7"/>
      <c r="H46" s="7"/>
      <c r="I46" s="7"/>
      <c r="J46" s="19"/>
    </row>
    <row r="47" spans="1:10" ht="21" customHeight="1">
      <c r="A47" s="50"/>
      <c r="B47" s="3" t="s">
        <v>45</v>
      </c>
      <c r="C47" s="5"/>
      <c r="D47" s="10"/>
      <c r="E47" s="7"/>
      <c r="F47" s="7"/>
      <c r="G47" s="7"/>
      <c r="H47" s="7"/>
      <c r="I47" s="7"/>
      <c r="J47" s="19"/>
    </row>
    <row r="48" spans="1:10" ht="21" customHeight="1">
      <c r="A48" s="47"/>
      <c r="B48" s="48"/>
      <c r="C48" s="6"/>
      <c r="D48" s="11"/>
      <c r="E48" s="12"/>
      <c r="F48" s="12"/>
      <c r="G48" s="12"/>
      <c r="H48" s="12"/>
      <c r="I48" s="12"/>
      <c r="J48" s="45"/>
    </row>
    <row r="49" spans="1:10" ht="21" customHeight="1" thickBot="1">
      <c r="A49" s="31"/>
      <c r="B49" s="32"/>
      <c r="C49" s="32"/>
      <c r="D49" s="32"/>
      <c r="E49" s="32"/>
      <c r="F49" s="32"/>
      <c r="G49" s="32"/>
      <c r="H49" s="32"/>
      <c r="I49" s="32"/>
      <c r="J49" s="33"/>
    </row>
    <row r="50" spans="1:10" ht="13.5" customHeight="1" thickBot="1">
      <c r="A50" s="31"/>
      <c r="B50" s="32"/>
      <c r="C50" s="32"/>
      <c r="D50" s="32"/>
      <c r="E50" s="32"/>
      <c r="F50" s="32"/>
      <c r="G50" s="32"/>
      <c r="H50" s="32"/>
      <c r="I50" s="32"/>
      <c r="J50" s="33"/>
    </row>
    <row r="51" spans="1:10" ht="13.5" customHeight="1">
      <c r="A51" s="7"/>
      <c r="B51" s="7"/>
      <c r="C51" s="7"/>
      <c r="D51" s="7"/>
      <c r="E51" s="7"/>
      <c r="F51" s="7"/>
      <c r="G51" s="7"/>
      <c r="H51" s="7"/>
      <c r="I51" s="7"/>
      <c r="J51" s="7"/>
    </row>
    <row r="52" spans="1:10" ht="13.5" customHeight="1">
      <c r="A52" s="7"/>
      <c r="B52" s="7"/>
      <c r="C52" s="7"/>
      <c r="D52" s="7"/>
      <c r="E52" s="7"/>
      <c r="F52" s="7"/>
      <c r="G52" s="7"/>
      <c r="H52" s="7"/>
      <c r="I52" s="7"/>
      <c r="J52" s="7"/>
    </row>
    <row r="53" spans="1:10" ht="13.5" customHeight="1">
      <c r="A53" s="7"/>
      <c r="B53" s="7"/>
      <c r="C53" s="7"/>
      <c r="D53" s="7"/>
      <c r="E53" s="7"/>
      <c r="F53" s="7"/>
      <c r="G53" s="7"/>
      <c r="H53" s="7"/>
      <c r="I53" s="7"/>
      <c r="J53" s="7"/>
    </row>
    <row r="54" spans="1:10" ht="13.5" customHeight="1"/>
    <row r="55" spans="1:10" ht="13.5" customHeight="1"/>
    <row r="56" spans="1:10" ht="13.5" customHeight="1"/>
    <row r="57" spans="1:10" ht="13.5" customHeight="1"/>
    <row r="58" spans="1:10" ht="13.5" customHeight="1"/>
    <row r="59" spans="1:10" ht="13.5" customHeight="1"/>
    <row r="60" spans="1:10" ht="13.5" customHeight="1"/>
    <row r="61" spans="1:10" ht="13.5" customHeight="1"/>
    <row r="62" spans="1:10" ht="13.5" customHeight="1"/>
    <row r="63" spans="1:10" ht="13.5" customHeight="1"/>
    <row r="64" spans="1:10" ht="13.5" customHeight="1"/>
    <row r="65" ht="13.5" customHeight="1"/>
    <row r="66" ht="13.5" customHeight="1"/>
    <row r="67" ht="13.5" customHeight="1"/>
    <row r="68" ht="13.5" customHeight="1"/>
    <row r="69" ht="13.5" customHeight="1"/>
    <row r="70" ht="13.5" customHeight="1"/>
    <row r="71" ht="13.5" customHeight="1"/>
    <row r="72" ht="13.5" customHeight="1"/>
    <row r="73" ht="13.5" customHeight="1"/>
    <row r="74" ht="13.5" customHeight="1"/>
    <row r="75" ht="13.5" customHeight="1"/>
    <row r="76" ht="13.5" customHeight="1"/>
    <row r="77" ht="13.5" customHeight="1"/>
    <row r="78" ht="13.5" customHeight="1"/>
    <row r="79" ht="13.5" customHeight="1"/>
    <row r="80" ht="13.5" customHeight="1"/>
    <row r="81" ht="13.5" customHeight="1"/>
    <row r="82" ht="13.5" customHeight="1"/>
    <row r="83" ht="13.5" customHeight="1"/>
    <row r="84" ht="13.5" customHeight="1"/>
    <row r="85" ht="13.5" customHeight="1"/>
    <row r="86" ht="13.5" customHeight="1"/>
    <row r="87" ht="13.5" customHeight="1"/>
    <row r="88" ht="13.5" customHeight="1"/>
    <row r="89" ht="13.5" customHeight="1"/>
    <row r="90" ht="13.5" customHeight="1"/>
    <row r="91" ht="13.5" customHeight="1"/>
    <row r="92" ht="13.5" customHeight="1"/>
    <row r="93" ht="13.5" customHeight="1"/>
    <row r="94" ht="13.5" customHeight="1"/>
    <row r="95" ht="13.5" customHeight="1"/>
    <row r="96" ht="13.5" customHeight="1"/>
    <row r="97" ht="13.5" customHeight="1"/>
    <row r="98" ht="13.5" customHeight="1"/>
    <row r="99" ht="13.5" customHeight="1"/>
    <row r="100" ht="13.5" customHeight="1"/>
    <row r="101" ht="13.5" customHeight="1"/>
    <row r="102" ht="13.5" customHeight="1"/>
    <row r="103" ht="13.5" customHeight="1"/>
    <row r="104" ht="13.5" customHeight="1"/>
    <row r="105" ht="13.5" customHeight="1"/>
    <row r="106" ht="13.5" customHeight="1"/>
    <row r="107" ht="13.5" customHeight="1"/>
    <row r="108" ht="13.5" customHeight="1"/>
    <row r="109" ht="13.5" customHeight="1"/>
    <row r="110" ht="13.5" customHeight="1"/>
    <row r="111" ht="13.5" customHeight="1"/>
    <row r="112" ht="13.5" customHeight="1"/>
    <row r="113" ht="13.5" customHeight="1"/>
    <row r="114" ht="13.5" customHeight="1"/>
    <row r="115" ht="13.5" customHeight="1"/>
    <row r="116" ht="13.5" customHeight="1"/>
    <row r="117" ht="13.5" customHeight="1"/>
    <row r="118" ht="13.5" customHeight="1"/>
    <row r="119" ht="13.5" customHeight="1"/>
    <row r="120" ht="13.5" customHeight="1"/>
    <row r="121" ht="13.5" customHeight="1"/>
    <row r="122" ht="13.5" customHeight="1"/>
    <row r="123" ht="13.5" customHeight="1"/>
    <row r="124" ht="13.5" customHeight="1"/>
    <row r="125" ht="13.5" customHeight="1"/>
    <row r="126" ht="13.5" customHeight="1"/>
    <row r="127" ht="13.5" customHeight="1"/>
    <row r="128" ht="13.5" customHeight="1"/>
    <row r="129" ht="13.5" customHeight="1"/>
    <row r="130" ht="13.5" customHeight="1"/>
    <row r="131" ht="13.5" customHeight="1"/>
    <row r="132" ht="13.5" customHeight="1"/>
    <row r="133" ht="13.5" customHeight="1"/>
    <row r="134" ht="13.5" customHeight="1"/>
    <row r="135" ht="13.5" customHeight="1"/>
    <row r="136" ht="13.5" customHeight="1"/>
    <row r="137" ht="13.5" customHeight="1"/>
    <row r="138" ht="13.5" customHeight="1"/>
    <row r="139" ht="13.5" customHeight="1"/>
    <row r="140" ht="13.5" customHeight="1"/>
    <row r="141" ht="13.5" customHeight="1"/>
    <row r="142" ht="13.5" customHeight="1"/>
    <row r="143" ht="13.5" customHeight="1"/>
    <row r="144" ht="13.5" customHeight="1"/>
    <row r="145" ht="13.5" customHeight="1"/>
    <row r="146" ht="13.5" customHeight="1"/>
    <row r="147" ht="13.5" customHeight="1"/>
    <row r="148" ht="13.5" customHeight="1"/>
    <row r="149" ht="13.5" customHeight="1"/>
    <row r="150" ht="13.5" customHeight="1"/>
    <row r="151" ht="13.5" customHeight="1"/>
    <row r="152" ht="13.5" customHeight="1"/>
    <row r="153" ht="13.5" customHeight="1"/>
    <row r="154" ht="13.5" customHeight="1"/>
    <row r="155" ht="13.5" customHeight="1"/>
    <row r="156" ht="13.5" customHeight="1"/>
    <row r="157" ht="13.5" customHeight="1"/>
    <row r="158" ht="13.5" customHeight="1"/>
    <row r="159" ht="13.5" customHeight="1"/>
    <row r="160" ht="13.5" customHeight="1"/>
    <row r="161" ht="13.5" customHeight="1"/>
    <row r="162" ht="13.5" customHeight="1"/>
    <row r="163" ht="13.5" customHeight="1"/>
    <row r="164" ht="13.5" customHeight="1"/>
    <row r="165" ht="13.5" customHeight="1"/>
    <row r="166" ht="13.5" customHeight="1"/>
    <row r="167" ht="13.5" customHeight="1"/>
    <row r="168" ht="13.5" customHeight="1"/>
    <row r="169" ht="13.5" customHeight="1"/>
    <row r="170" ht="13.5" customHeight="1"/>
    <row r="171" ht="13.5" customHeight="1"/>
    <row r="172" ht="13.5" customHeight="1"/>
    <row r="173" ht="13.5" customHeight="1"/>
    <row r="174" ht="13.5" customHeight="1"/>
    <row r="175" ht="13.5" customHeight="1"/>
    <row r="176" ht="13.5" customHeight="1"/>
    <row r="177" ht="13.5" customHeight="1"/>
    <row r="178" ht="13.5" customHeight="1"/>
    <row r="179" ht="13.5" customHeight="1"/>
    <row r="180" ht="13.5" customHeight="1"/>
    <row r="181" ht="13.5" customHeight="1"/>
    <row r="182" ht="13.5" customHeight="1"/>
    <row r="183" ht="13.5" customHeight="1"/>
    <row r="184" ht="13.5" customHeight="1"/>
    <row r="185" ht="13.5" customHeight="1"/>
    <row r="186" ht="13.5" customHeight="1"/>
    <row r="187" ht="13.5" customHeight="1"/>
    <row r="188" ht="13.5" customHeight="1"/>
    <row r="189" ht="13.5" customHeight="1"/>
    <row r="190" ht="13.5" customHeight="1"/>
    <row r="191" ht="13.5" customHeight="1"/>
    <row r="192" ht="13.5" customHeight="1"/>
    <row r="193" ht="13.5" customHeight="1"/>
    <row r="194" ht="13.5" customHeight="1"/>
    <row r="195" ht="13.5" customHeight="1"/>
    <row r="196" ht="13.5" customHeight="1"/>
    <row r="197" ht="13.5" customHeight="1"/>
    <row r="198" ht="13.5" customHeight="1"/>
    <row r="199" ht="13.5" customHeight="1"/>
    <row r="200" ht="13.5" customHeight="1"/>
    <row r="201" ht="13.5" customHeight="1"/>
    <row r="202" ht="13.5" customHeight="1"/>
    <row r="203" ht="13.5" customHeight="1"/>
    <row r="204" ht="13.5" customHeight="1"/>
    <row r="205" ht="13.5" customHeight="1"/>
    <row r="206" ht="13.5" customHeight="1"/>
    <row r="207" ht="13.5" customHeight="1"/>
    <row r="208" ht="13.5" customHeight="1"/>
    <row r="209" ht="13.5" customHeight="1"/>
    <row r="210" ht="13.5" customHeight="1"/>
    <row r="211" ht="13.5" customHeight="1"/>
    <row r="212" ht="13.5" customHeight="1"/>
    <row r="213" ht="13.5" customHeight="1"/>
    <row r="214" ht="13.5" customHeight="1"/>
    <row r="215" ht="13.5" customHeight="1"/>
    <row r="216" ht="13.5" customHeight="1"/>
    <row r="217" ht="13.5" customHeight="1"/>
    <row r="218" ht="13.5" customHeight="1"/>
    <row r="219" ht="13.5" customHeight="1"/>
    <row r="220" ht="13.5" customHeight="1"/>
    <row r="221" ht="13.5" customHeight="1"/>
    <row r="222" ht="13.5" customHeight="1"/>
    <row r="223" ht="13.5" customHeight="1"/>
    <row r="224" ht="13.5" customHeight="1"/>
    <row r="225" ht="13.5" customHeight="1"/>
    <row r="226" ht="13.5" customHeight="1"/>
    <row r="227" ht="13.5" customHeight="1"/>
    <row r="228" ht="13.5" customHeight="1"/>
    <row r="229" ht="13.5" customHeight="1"/>
    <row r="230" ht="13.5" customHeight="1"/>
    <row r="231" ht="13.5" customHeight="1"/>
    <row r="232" ht="13.5" customHeight="1"/>
    <row r="233" ht="13.5" customHeight="1"/>
    <row r="234" ht="13.5" customHeight="1"/>
    <row r="235" ht="13.5" customHeight="1"/>
    <row r="236" ht="13.5" customHeight="1"/>
    <row r="237" ht="13.5" customHeight="1"/>
    <row r="238" ht="13.5" customHeight="1"/>
    <row r="239" ht="13.5" customHeight="1"/>
    <row r="240" ht="13.5" customHeight="1"/>
    <row r="241" ht="13.5" customHeight="1"/>
    <row r="242" ht="13.5" customHeight="1"/>
    <row r="243" ht="13.5" customHeight="1"/>
    <row r="244" ht="13.5" customHeight="1"/>
    <row r="245" ht="13.5" customHeight="1"/>
    <row r="246" ht="13.5" customHeight="1"/>
    <row r="247" ht="13.5" customHeight="1"/>
    <row r="248" ht="13.5" customHeight="1"/>
    <row r="249" ht="13.5" customHeight="1"/>
    <row r="250" ht="13.5" customHeight="1"/>
    <row r="251" ht="13.5" customHeight="1"/>
    <row r="252" ht="13.5" customHeight="1"/>
    <row r="253" ht="13.5" customHeight="1"/>
    <row r="254" ht="13.5" customHeight="1"/>
    <row r="255" ht="13.5" customHeight="1"/>
    <row r="256" ht="13.5" customHeight="1"/>
    <row r="257" ht="13.5" customHeight="1"/>
    <row r="258" ht="13.5" customHeight="1"/>
    <row r="259" ht="13.5" customHeight="1"/>
    <row r="260" ht="13.5" customHeight="1"/>
    <row r="261" ht="13.5" customHeight="1"/>
    <row r="262" ht="13.5" customHeight="1"/>
    <row r="263" ht="13.5" customHeight="1"/>
    <row r="264" ht="13.5" customHeight="1"/>
    <row r="265" ht="13.5" customHeight="1"/>
    <row r="266" ht="13.5" customHeight="1"/>
    <row r="267" ht="13.5" customHeight="1"/>
    <row r="268" ht="13.5" customHeight="1"/>
    <row r="269" ht="13.5" customHeight="1"/>
    <row r="270" ht="13.5" customHeight="1"/>
    <row r="271" ht="13.5" customHeight="1"/>
    <row r="272" ht="13.5" customHeight="1"/>
    <row r="273" ht="13.5" customHeight="1"/>
    <row r="274" ht="13.5" customHeight="1"/>
    <row r="275" ht="13.5" customHeight="1"/>
    <row r="276" ht="13.5" customHeight="1"/>
    <row r="277" ht="13.5" customHeight="1"/>
    <row r="278" ht="13.5" customHeight="1"/>
    <row r="279" ht="13.5" customHeight="1"/>
    <row r="280" ht="13.5" customHeight="1"/>
    <row r="281" ht="13.5" customHeight="1"/>
    <row r="282" ht="13.5" customHeight="1"/>
    <row r="283" ht="13.5" customHeight="1"/>
    <row r="284" ht="13.5" customHeight="1"/>
    <row r="285" ht="13.5" customHeight="1"/>
    <row r="286" ht="13.5" customHeight="1"/>
    <row r="287" ht="13.5" customHeight="1"/>
    <row r="288" ht="13.5" customHeight="1"/>
    <row r="289" ht="13.5" customHeight="1"/>
    <row r="290" ht="13.5" customHeight="1"/>
    <row r="291" ht="13.5" customHeight="1"/>
    <row r="292" ht="13.5" customHeight="1"/>
    <row r="293" ht="13.5" customHeight="1"/>
    <row r="294" ht="13.5" customHeight="1"/>
    <row r="295" ht="13.5" customHeight="1"/>
    <row r="296" ht="13.5" customHeight="1"/>
    <row r="297" ht="13.5" customHeight="1"/>
    <row r="298" ht="13.5" customHeight="1"/>
    <row r="299" ht="13.5" customHeight="1"/>
    <row r="300" ht="13.5" customHeight="1"/>
    <row r="301" ht="13.5" customHeight="1"/>
    <row r="302" ht="13.5" customHeight="1"/>
    <row r="303" ht="13.5" customHeight="1"/>
    <row r="304" ht="13.5" customHeight="1"/>
    <row r="305" ht="13.5" customHeight="1"/>
    <row r="306" ht="13.5" customHeight="1"/>
    <row r="307" ht="13.5" customHeight="1"/>
    <row r="308" ht="13.5" customHeight="1"/>
    <row r="309" ht="13.5" customHeight="1"/>
    <row r="310" ht="13.5" customHeight="1"/>
    <row r="311" ht="13.5" customHeight="1"/>
    <row r="312" ht="13.5" customHeight="1"/>
    <row r="313" ht="13.5" customHeight="1"/>
    <row r="314" ht="13.5" customHeight="1"/>
    <row r="315" ht="13.5" customHeight="1"/>
    <row r="316" ht="13.5" customHeight="1"/>
    <row r="317" ht="13.5" customHeight="1"/>
    <row r="318" ht="13.5" customHeight="1"/>
    <row r="319" ht="13.5" customHeight="1"/>
    <row r="320" ht="13.5" customHeight="1"/>
    <row r="321" ht="13.5" customHeight="1"/>
    <row r="322" ht="13.5" customHeight="1"/>
    <row r="323" ht="13.5" customHeight="1"/>
    <row r="324" ht="13.5" customHeight="1"/>
    <row r="325" ht="13.5" customHeight="1"/>
    <row r="326" ht="13.5" customHeight="1"/>
    <row r="327" ht="13.5" customHeight="1"/>
    <row r="328" ht="13.5" customHeight="1"/>
    <row r="329" ht="13.5" customHeight="1"/>
    <row r="330" ht="13.5" customHeight="1"/>
    <row r="331" ht="13.5" customHeight="1"/>
    <row r="332" ht="13.5" customHeight="1"/>
    <row r="333" ht="13.5" customHeight="1"/>
    <row r="334" ht="13.5" customHeight="1"/>
    <row r="335" ht="13.5" customHeight="1"/>
    <row r="336" ht="13.5" customHeight="1"/>
    <row r="337" ht="13.5" customHeight="1"/>
    <row r="338" ht="13.5" customHeight="1"/>
    <row r="339" ht="13.5" customHeight="1"/>
    <row r="340" ht="13.5" customHeight="1"/>
    <row r="341" ht="13.5" customHeight="1"/>
    <row r="342" ht="13.5" customHeight="1"/>
    <row r="343" ht="13.5" customHeight="1"/>
    <row r="344" ht="13.5" customHeight="1"/>
    <row r="345" ht="13.5" customHeight="1"/>
    <row r="346" ht="13.5" customHeight="1"/>
    <row r="347" ht="13.5" customHeight="1"/>
    <row r="348" ht="13.5" customHeight="1"/>
    <row r="349" ht="13.5" customHeight="1"/>
    <row r="350" ht="13.5" customHeight="1"/>
    <row r="351" ht="13.5" customHeight="1"/>
    <row r="352" ht="13.5" customHeight="1"/>
    <row r="353" ht="13.5" customHeight="1"/>
    <row r="354" ht="13.5" customHeight="1"/>
    <row r="355" ht="13.5" customHeight="1"/>
    <row r="356" ht="13.5" customHeight="1"/>
    <row r="357" ht="13.5" customHeight="1"/>
    <row r="358" ht="13.5" customHeight="1"/>
    <row r="359" ht="13.5" customHeight="1"/>
    <row r="360" ht="13.5" customHeight="1"/>
    <row r="361" ht="13.5" customHeight="1"/>
    <row r="362" ht="13.5" customHeight="1"/>
    <row r="363" ht="13.5" customHeight="1"/>
    <row r="364" ht="13.5" customHeight="1"/>
    <row r="365" ht="13.5" customHeight="1"/>
    <row r="366" ht="13.5" customHeight="1"/>
    <row r="367" ht="13.5" customHeight="1"/>
    <row r="368" ht="13.5" customHeight="1"/>
    <row r="369" ht="13.5" customHeight="1"/>
    <row r="370" ht="13.5" customHeight="1"/>
    <row r="371" ht="13.5" customHeight="1"/>
    <row r="372" ht="13.5" customHeight="1"/>
    <row r="373" ht="13.5" customHeight="1"/>
    <row r="374" ht="13.5" customHeight="1"/>
    <row r="375" ht="13.5" customHeight="1"/>
    <row r="376" ht="13.5" customHeight="1"/>
    <row r="377" ht="13.5" customHeight="1"/>
    <row r="378" ht="13.5" customHeight="1"/>
    <row r="379" ht="13.5" customHeight="1"/>
    <row r="380" ht="13.5" customHeight="1"/>
    <row r="381" ht="13.5" customHeight="1"/>
    <row r="382" ht="13.5" customHeight="1"/>
    <row r="383" ht="13.5" customHeight="1"/>
    <row r="384" ht="13.5" customHeight="1"/>
    <row r="385" ht="13.5" customHeight="1"/>
    <row r="386" ht="13.5" customHeight="1"/>
    <row r="387" ht="13.5" customHeight="1"/>
    <row r="388" ht="13.5" customHeight="1"/>
    <row r="389" ht="13.5" customHeight="1"/>
    <row r="390" ht="13.5" customHeight="1"/>
    <row r="391" ht="13.5" customHeight="1"/>
    <row r="392" ht="13.5" customHeight="1"/>
    <row r="393" ht="13.5" customHeight="1"/>
    <row r="394" ht="13.5" customHeight="1"/>
    <row r="395" ht="13.5" customHeight="1"/>
    <row r="396" ht="13.5" customHeight="1"/>
    <row r="397" ht="13.5" customHeight="1"/>
    <row r="398" ht="13.5" customHeight="1"/>
    <row r="399" ht="13.5" customHeight="1"/>
    <row r="400" ht="13.5" customHeight="1"/>
    <row r="401" ht="13.5" customHeight="1"/>
    <row r="402" ht="13.5" customHeight="1"/>
    <row r="403" ht="13.5" customHeight="1"/>
    <row r="404" ht="13.5" customHeight="1"/>
    <row r="405" ht="13.5" customHeight="1"/>
    <row r="406" ht="13.5" customHeight="1"/>
    <row r="407" ht="13.5" customHeight="1"/>
    <row r="408" ht="13.5" customHeight="1"/>
    <row r="409" ht="13.5" customHeight="1"/>
    <row r="410" ht="13.5" customHeight="1"/>
    <row r="411" ht="13.5" customHeight="1"/>
    <row r="412" ht="13.5" customHeight="1"/>
    <row r="413" ht="13.5" customHeight="1"/>
    <row r="414" ht="13.5" customHeight="1"/>
    <row r="415" ht="13.5" customHeight="1"/>
    <row r="416" ht="13.5" customHeight="1"/>
    <row r="417" ht="13.5" customHeight="1"/>
    <row r="418" ht="13.5" customHeight="1"/>
    <row r="419" ht="13.5" customHeight="1"/>
    <row r="420" ht="13.5" customHeight="1"/>
    <row r="421" ht="13.5" customHeight="1"/>
    <row r="422" ht="13.5" customHeight="1"/>
    <row r="423" ht="13.5" customHeight="1"/>
    <row r="424" ht="13.5" customHeight="1"/>
    <row r="425" ht="13.5" customHeight="1"/>
    <row r="426" ht="13.5" customHeight="1"/>
    <row r="427" ht="13.5" customHeight="1"/>
    <row r="428" ht="13.5" customHeight="1"/>
    <row r="429" ht="13.5" customHeight="1"/>
    <row r="430" ht="13.5" customHeight="1"/>
    <row r="431" ht="13.5" customHeight="1"/>
    <row r="432" ht="13.5" customHeight="1"/>
    <row r="433" ht="13.5" customHeight="1"/>
    <row r="434" ht="13.5" customHeight="1"/>
    <row r="435" ht="13.5" customHeight="1"/>
    <row r="436" ht="13.5" customHeight="1"/>
    <row r="437" ht="13.5" customHeight="1"/>
    <row r="438" ht="13.5" customHeight="1"/>
    <row r="439" ht="13.5" customHeight="1"/>
    <row r="440" ht="13.5" customHeight="1"/>
    <row r="441" ht="13.5" customHeight="1"/>
    <row r="442" ht="13.5" customHeight="1"/>
    <row r="443" ht="13.5" customHeight="1"/>
    <row r="444" ht="13.5" customHeight="1"/>
    <row r="445" ht="13.5" customHeight="1"/>
    <row r="446" ht="13.5" customHeight="1"/>
    <row r="447" ht="13.5" customHeight="1"/>
    <row r="448" ht="13.5" customHeight="1"/>
    <row r="449" ht="13.5" customHeight="1"/>
    <row r="450" ht="13.5" customHeight="1"/>
    <row r="451" ht="13.5" customHeight="1"/>
    <row r="452" ht="13.5" customHeight="1"/>
    <row r="453" ht="13.5" customHeight="1"/>
    <row r="454" ht="13.5" customHeight="1"/>
    <row r="455" ht="13.5" customHeight="1"/>
    <row r="456" ht="13.5" customHeight="1"/>
    <row r="457" ht="13.5" customHeight="1"/>
    <row r="458" ht="13.5" customHeight="1"/>
    <row r="459" ht="13.5" customHeight="1"/>
    <row r="460" ht="13.5" customHeight="1"/>
    <row r="461" ht="13.5" customHeight="1"/>
    <row r="462" ht="13.5" customHeight="1"/>
    <row r="463" ht="13.5" customHeight="1"/>
    <row r="464" ht="13.5" customHeight="1"/>
    <row r="465" ht="13.5" customHeight="1"/>
    <row r="466" ht="13.5" customHeight="1"/>
    <row r="467" ht="13.5" customHeight="1"/>
    <row r="468" ht="13.5" customHeight="1"/>
    <row r="469" ht="13.5" customHeight="1"/>
    <row r="470" ht="13.5" customHeight="1"/>
    <row r="471" ht="13.5" customHeight="1"/>
    <row r="472" ht="13.5" customHeight="1"/>
    <row r="473" ht="13.5" customHeight="1"/>
    <row r="474" ht="13.5" customHeight="1"/>
    <row r="475" ht="13.5" customHeight="1"/>
    <row r="476" ht="13.5" customHeight="1"/>
    <row r="477" ht="13.5" customHeight="1"/>
    <row r="478" ht="13.5" customHeight="1"/>
    <row r="479" ht="13.5" customHeight="1"/>
    <row r="480" ht="13.5" customHeight="1"/>
    <row r="481" ht="13.5" customHeight="1"/>
    <row r="482" ht="13.5" customHeight="1"/>
    <row r="483" ht="13.5" customHeight="1"/>
    <row r="484" ht="13.5" customHeight="1"/>
    <row r="485" ht="13.5" customHeight="1"/>
    <row r="486" ht="13.5" customHeight="1"/>
    <row r="487" ht="13.5" customHeight="1"/>
    <row r="488" ht="13.5" customHeight="1"/>
    <row r="489" ht="13.5" customHeight="1"/>
    <row r="490" ht="13.5" customHeight="1"/>
    <row r="491" ht="13.5" customHeight="1"/>
    <row r="492" ht="13.5" customHeight="1"/>
    <row r="493" ht="13.5" customHeight="1"/>
    <row r="494" ht="13.5" customHeight="1"/>
    <row r="495" ht="13.5" customHeight="1"/>
    <row r="496" ht="13.5" customHeight="1"/>
    <row r="497" ht="13.5" customHeight="1"/>
    <row r="498" ht="13.5" customHeight="1"/>
    <row r="499" ht="13.5" customHeight="1"/>
    <row r="500" ht="13.5" customHeight="1"/>
    <row r="501" ht="13.5" customHeight="1"/>
    <row r="502" ht="13.5" customHeight="1"/>
    <row r="503" ht="13.5" customHeight="1"/>
    <row r="504" ht="13.5" customHeight="1"/>
    <row r="505" ht="13.5" customHeight="1"/>
    <row r="506" ht="13.5" customHeight="1"/>
    <row r="507" ht="13.5" customHeight="1"/>
    <row r="508" ht="13.5" customHeight="1"/>
    <row r="509" ht="13.5" customHeight="1"/>
    <row r="510" ht="13.5" customHeight="1"/>
    <row r="511" ht="13.5" customHeight="1"/>
    <row r="512" ht="13.5" customHeight="1"/>
    <row r="513" ht="13.5" customHeight="1"/>
    <row r="514" ht="13.5" customHeight="1"/>
    <row r="515" ht="13.5" customHeight="1"/>
    <row r="516" ht="13.5" customHeight="1"/>
    <row r="517" ht="13.5" customHeight="1"/>
    <row r="518" ht="13.5" customHeight="1"/>
    <row r="519" ht="13.5" customHeight="1"/>
    <row r="520" ht="13.5" customHeight="1"/>
    <row r="521" ht="13.5" customHeight="1"/>
    <row r="522" ht="13.5" customHeight="1"/>
    <row r="523" ht="13.5" customHeight="1"/>
    <row r="524" ht="13.5" customHeight="1"/>
    <row r="525" ht="13.5" customHeight="1"/>
    <row r="526" ht="13.5" customHeight="1"/>
    <row r="527" ht="13.5" customHeight="1"/>
    <row r="528" ht="13.5" customHeight="1"/>
    <row r="529" ht="13.5" customHeight="1"/>
    <row r="530" ht="13.5" customHeight="1"/>
    <row r="531" ht="13.5" customHeight="1"/>
    <row r="532" ht="13.5" customHeight="1"/>
    <row r="533" ht="13.5" customHeight="1"/>
    <row r="534" ht="13.5" customHeight="1"/>
    <row r="535" ht="13.5" customHeight="1"/>
    <row r="536" ht="13.5" customHeight="1"/>
    <row r="537" ht="13.5" customHeight="1"/>
    <row r="538" ht="13.5" customHeight="1"/>
    <row r="539" ht="13.5" customHeight="1"/>
    <row r="540" ht="13.5" customHeight="1"/>
    <row r="541" ht="13.5" customHeight="1"/>
    <row r="542" ht="13.5" customHeight="1"/>
    <row r="543" ht="13.5" customHeight="1"/>
    <row r="544" ht="13.5" customHeight="1"/>
    <row r="545" ht="13.5" customHeight="1"/>
    <row r="546" ht="13.5" customHeight="1"/>
    <row r="547" ht="13.5" customHeight="1"/>
    <row r="548" ht="13.5" customHeight="1"/>
    <row r="549" ht="13.5" customHeight="1"/>
    <row r="550" ht="13.5" customHeight="1"/>
    <row r="551" ht="13.5" customHeight="1"/>
    <row r="552" ht="13.5" customHeight="1"/>
    <row r="553" ht="13.5" customHeight="1"/>
    <row r="554" ht="13.5" customHeight="1"/>
    <row r="555" ht="13.5" customHeight="1"/>
    <row r="556" ht="13.5" customHeight="1"/>
    <row r="557" ht="13.5" customHeight="1"/>
    <row r="558" ht="13.5" customHeight="1"/>
    <row r="559" ht="13.5" customHeight="1"/>
    <row r="560" ht="13.5" customHeight="1"/>
    <row r="561" ht="13.5" customHeight="1"/>
    <row r="562" ht="13.5" customHeight="1"/>
    <row r="563" ht="13.5" customHeight="1"/>
    <row r="564" ht="13.5" customHeight="1"/>
    <row r="565" ht="13.5" customHeight="1"/>
    <row r="566" ht="13.5" customHeight="1"/>
    <row r="567" ht="13.5" customHeight="1"/>
    <row r="568" ht="13.5" customHeight="1"/>
    <row r="569" ht="13.5" customHeight="1"/>
    <row r="570" ht="13.5" customHeight="1"/>
    <row r="571" ht="13.5" customHeight="1"/>
    <row r="572" ht="13.5" customHeight="1"/>
    <row r="573" ht="13.5" customHeight="1"/>
    <row r="574" ht="13.5" customHeight="1"/>
    <row r="575" ht="13.5" customHeight="1"/>
    <row r="576" ht="13.5" customHeight="1"/>
    <row r="577" ht="13.5" customHeight="1"/>
    <row r="578" ht="13.5" customHeight="1"/>
    <row r="579" ht="13.5" customHeight="1"/>
    <row r="580" ht="13.5" customHeight="1"/>
    <row r="581" ht="13.5" customHeight="1"/>
    <row r="582" ht="13.5" customHeight="1"/>
    <row r="583" ht="13.5" customHeight="1"/>
    <row r="584" ht="13.5" customHeight="1"/>
    <row r="585" ht="13.5" customHeight="1"/>
    <row r="586" ht="13.5" customHeight="1"/>
    <row r="587" ht="13.5" customHeight="1"/>
    <row r="588" ht="13.5" customHeight="1"/>
    <row r="589" ht="13.5" customHeight="1"/>
    <row r="590" ht="13.5" customHeight="1"/>
    <row r="591" ht="13.5" customHeight="1"/>
    <row r="592" ht="13.5" customHeight="1"/>
    <row r="593" ht="13.5" customHeight="1"/>
    <row r="594" ht="13.5" customHeight="1"/>
    <row r="595" ht="13.5" customHeight="1"/>
    <row r="596" ht="13.5" customHeight="1"/>
    <row r="597" ht="13.5" customHeight="1"/>
    <row r="598" ht="13.5" customHeight="1"/>
    <row r="599" ht="13.5" customHeight="1"/>
    <row r="600" ht="13.5" customHeight="1"/>
    <row r="601" ht="13.5" customHeight="1"/>
    <row r="602" ht="13.5" customHeight="1"/>
    <row r="603" ht="13.5" customHeight="1"/>
    <row r="604" ht="13.5" customHeight="1"/>
    <row r="605" ht="13.5" customHeight="1"/>
    <row r="606" ht="13.5" customHeight="1"/>
    <row r="607" ht="13.5" customHeight="1"/>
    <row r="608" ht="13.5" customHeight="1"/>
    <row r="609" ht="13.5" customHeight="1"/>
    <row r="610" ht="13.5" customHeight="1"/>
    <row r="611" ht="13.5" customHeight="1"/>
    <row r="612" ht="13.5" customHeight="1"/>
    <row r="613" ht="13.5" customHeight="1"/>
    <row r="614" ht="13.5" customHeight="1"/>
    <row r="615" ht="13.5" customHeight="1"/>
    <row r="616" ht="13.5" customHeight="1"/>
    <row r="617" ht="13.5" customHeight="1"/>
    <row r="618" ht="13.5" customHeight="1"/>
    <row r="619" ht="13.5" customHeight="1"/>
    <row r="620" ht="13.5" customHeight="1"/>
    <row r="621" ht="13.5" customHeight="1"/>
    <row r="622" ht="13.5" customHeight="1"/>
    <row r="623" ht="13.5" customHeight="1"/>
    <row r="624" ht="13.5" customHeight="1"/>
    <row r="625" ht="13.5" customHeight="1"/>
    <row r="626" ht="13.5" customHeight="1"/>
    <row r="627" ht="13.5" customHeight="1"/>
    <row r="628" ht="13.5" customHeight="1"/>
    <row r="629" ht="13.5" customHeight="1"/>
    <row r="630" ht="13.5" customHeight="1"/>
    <row r="631" ht="13.5" customHeight="1"/>
    <row r="632" ht="13.5" customHeight="1"/>
    <row r="633" ht="13.5" customHeight="1"/>
    <row r="634" ht="13.5" customHeight="1"/>
    <row r="635" ht="13.5" customHeight="1"/>
    <row r="636" ht="13.5" customHeight="1"/>
    <row r="637" ht="13.5" customHeight="1"/>
    <row r="638" ht="13.5" customHeight="1"/>
    <row r="639" ht="13.5" customHeight="1"/>
    <row r="640" ht="13.5" customHeight="1"/>
    <row r="641" ht="13.5" customHeight="1"/>
    <row r="642" ht="13.5" customHeight="1"/>
    <row r="643" ht="13.5" customHeight="1"/>
    <row r="644" ht="13.5" customHeight="1"/>
    <row r="645" ht="13.5" customHeight="1"/>
    <row r="646" ht="13.5" customHeight="1"/>
    <row r="647" ht="13.5" customHeight="1"/>
    <row r="648" ht="13.5" customHeight="1"/>
    <row r="649" ht="13.5" customHeight="1"/>
    <row r="650" ht="13.5" customHeight="1"/>
    <row r="651" ht="13.5" customHeight="1"/>
    <row r="652" ht="13.5" customHeight="1"/>
    <row r="653" ht="13.5" customHeight="1"/>
    <row r="654" ht="13.5" customHeight="1"/>
    <row r="655" ht="13.5" customHeight="1"/>
    <row r="656" ht="13.5" customHeight="1"/>
    <row r="657" ht="13.5" customHeight="1"/>
    <row r="658" ht="13.5" customHeight="1"/>
    <row r="659" ht="13.5" customHeight="1"/>
    <row r="660" ht="13.5" customHeight="1"/>
    <row r="661" ht="13.5" customHeight="1"/>
    <row r="662" ht="13.5" customHeight="1"/>
    <row r="663" ht="13.5" customHeight="1"/>
    <row r="664" ht="13.5" customHeight="1"/>
    <row r="665" ht="13.5" customHeight="1"/>
    <row r="666" ht="13.5" customHeight="1"/>
    <row r="667" ht="13.5" customHeight="1"/>
    <row r="668" ht="13.5" customHeight="1"/>
    <row r="669" ht="13.5" customHeight="1"/>
    <row r="670" ht="13.5" customHeight="1"/>
    <row r="671" ht="13.5" customHeight="1"/>
    <row r="672" ht="13.5" customHeight="1"/>
    <row r="673" ht="13.5" customHeight="1"/>
    <row r="674" ht="13.5" customHeight="1"/>
    <row r="675" ht="13.5" customHeight="1"/>
    <row r="676" ht="13.5" customHeight="1"/>
    <row r="677" ht="13.5" customHeight="1"/>
    <row r="678" ht="13.5" customHeight="1"/>
    <row r="679" ht="13.5" customHeight="1"/>
    <row r="680" ht="13.5" customHeight="1"/>
    <row r="681" ht="13.5" customHeight="1"/>
    <row r="682" ht="13.5" customHeight="1"/>
    <row r="683" ht="13.5" customHeight="1"/>
    <row r="684" ht="13.5" customHeight="1"/>
    <row r="685" ht="13.5" customHeight="1"/>
    <row r="686" ht="13.5" customHeight="1"/>
    <row r="687" ht="13.5" customHeight="1"/>
    <row r="688" ht="13.5" customHeight="1"/>
    <row r="689" ht="13.5" customHeight="1"/>
    <row r="690" ht="13.5" customHeight="1"/>
    <row r="691" ht="13.5" customHeight="1"/>
    <row r="692" ht="13.5" customHeight="1"/>
    <row r="693" ht="13.5" customHeight="1"/>
    <row r="694" ht="13.5" customHeight="1"/>
    <row r="695" ht="13.5" customHeight="1"/>
    <row r="696" ht="13.5" customHeight="1"/>
    <row r="697" ht="13.5" customHeight="1"/>
    <row r="698" ht="13.5" customHeight="1"/>
    <row r="699" ht="13.5" customHeight="1"/>
    <row r="700" ht="13.5" customHeight="1"/>
    <row r="701" ht="13.5" customHeight="1"/>
    <row r="702" ht="13.5" customHeight="1"/>
    <row r="703" ht="13.5" customHeight="1"/>
    <row r="704" ht="13.5" customHeight="1"/>
    <row r="705" ht="13.5" customHeight="1"/>
    <row r="706" ht="13.5" customHeight="1"/>
    <row r="707" ht="13.5" customHeight="1"/>
    <row r="708" ht="13.5" customHeight="1"/>
    <row r="709" ht="13.5" customHeight="1"/>
    <row r="710" ht="13.5" customHeight="1"/>
    <row r="711" ht="13.5" customHeight="1"/>
    <row r="712" ht="13.5" customHeight="1"/>
    <row r="713" ht="13.5" customHeight="1"/>
    <row r="714" ht="13.5" customHeight="1"/>
    <row r="715" ht="13.5" customHeight="1"/>
    <row r="716" ht="13.5" customHeight="1"/>
    <row r="717" ht="13.5" customHeight="1"/>
    <row r="718" ht="13.5" customHeight="1"/>
    <row r="719" ht="13.5" customHeight="1"/>
    <row r="720" ht="13.5" customHeight="1"/>
    <row r="721" ht="13.5" customHeight="1"/>
    <row r="722" ht="13.5" customHeight="1"/>
    <row r="723" ht="13.5" customHeight="1"/>
    <row r="724" ht="13.5" customHeight="1"/>
    <row r="725" ht="13.5" customHeight="1"/>
    <row r="726" ht="13.5" customHeight="1"/>
    <row r="727" ht="13.5" customHeight="1"/>
    <row r="728" ht="13.5" customHeight="1"/>
    <row r="729" ht="13.5" customHeight="1"/>
    <row r="730" ht="13.5" customHeight="1"/>
    <row r="731" ht="13.5" customHeight="1"/>
    <row r="732" ht="13.5" customHeight="1"/>
    <row r="733" ht="13.5" customHeight="1"/>
    <row r="734" ht="13.5" customHeight="1"/>
    <row r="735" ht="13.5" customHeight="1"/>
    <row r="736" ht="13.5" customHeight="1"/>
    <row r="737" ht="13.5" customHeight="1"/>
    <row r="738" ht="13.5" customHeight="1"/>
    <row r="739" ht="13.5" customHeight="1"/>
    <row r="740" ht="13.5" customHeight="1"/>
    <row r="741" ht="13.5" customHeight="1"/>
    <row r="742" ht="13.5" customHeight="1"/>
    <row r="743" ht="13.5" customHeight="1"/>
    <row r="744" ht="13.5" customHeight="1"/>
    <row r="745" ht="13.5" customHeight="1"/>
    <row r="746" ht="13.5" customHeight="1"/>
    <row r="747" ht="13.5" customHeight="1"/>
    <row r="748" ht="13.5" customHeight="1"/>
    <row r="749" ht="13.5" customHeight="1"/>
    <row r="750" ht="13.5" customHeight="1"/>
    <row r="751" ht="13.5" customHeight="1"/>
    <row r="752" ht="13.5" customHeight="1"/>
    <row r="753" ht="13.5" customHeight="1"/>
    <row r="754" ht="13.5" customHeight="1"/>
    <row r="755" ht="13.5" customHeight="1"/>
    <row r="756" ht="13.5" customHeight="1"/>
    <row r="757" ht="13.5" customHeight="1"/>
    <row r="758" ht="13.5" customHeight="1"/>
    <row r="759" ht="13.5" customHeight="1"/>
    <row r="760" ht="13.5" customHeight="1"/>
    <row r="761" ht="13.5" customHeight="1"/>
    <row r="762" ht="13.5" customHeight="1"/>
    <row r="763" ht="13.5" customHeight="1"/>
    <row r="764" ht="13.5" customHeight="1"/>
    <row r="765" ht="13.5" customHeight="1"/>
    <row r="766" ht="13.5" customHeight="1"/>
    <row r="767" ht="13.5" customHeight="1"/>
    <row r="768" ht="13.5" customHeight="1"/>
    <row r="769" ht="13.5" customHeight="1"/>
    <row r="770" ht="13.5" customHeight="1"/>
    <row r="771" ht="13.5" customHeight="1"/>
    <row r="772" ht="13.5" customHeight="1"/>
    <row r="773" ht="13.5" customHeight="1"/>
    <row r="774" ht="13.5" customHeight="1"/>
    <row r="775" ht="13.5" customHeight="1"/>
    <row r="776" ht="13.5" customHeight="1"/>
    <row r="777" ht="13.5" customHeight="1"/>
    <row r="778" ht="13.5" customHeight="1"/>
    <row r="779" ht="13.5" customHeight="1"/>
    <row r="780" ht="13.5" customHeight="1"/>
    <row r="781" ht="13.5" customHeight="1"/>
    <row r="782" ht="13.5" customHeight="1"/>
    <row r="783" ht="13.5" customHeight="1"/>
    <row r="784" ht="13.5" customHeight="1"/>
    <row r="785" ht="13.5" customHeight="1"/>
    <row r="786" ht="13.5" customHeight="1"/>
    <row r="787" ht="13.5" customHeight="1"/>
    <row r="788" ht="13.5" customHeight="1"/>
    <row r="789" ht="13.5" customHeight="1"/>
    <row r="790" ht="13.5" customHeight="1"/>
    <row r="791" ht="13.5" customHeight="1"/>
    <row r="792" ht="13.5" customHeight="1"/>
    <row r="793" ht="13.5" customHeight="1"/>
    <row r="794" ht="13.5" customHeight="1"/>
    <row r="795" ht="13.5" customHeight="1"/>
    <row r="796" ht="13.5" customHeight="1"/>
    <row r="797" ht="13.5" customHeight="1"/>
    <row r="798" ht="13.5" customHeight="1"/>
    <row r="799" ht="13.5" customHeight="1"/>
    <row r="800" ht="13.5" customHeight="1"/>
    <row r="801" ht="13.5" customHeight="1"/>
    <row r="802" ht="13.5" customHeight="1"/>
    <row r="803" ht="13.5" customHeight="1"/>
    <row r="804" ht="13.5" customHeight="1"/>
    <row r="805" ht="13.5" customHeight="1"/>
    <row r="806" ht="13.5" customHeight="1"/>
    <row r="807" ht="13.5" customHeight="1"/>
    <row r="808" ht="13.5" customHeight="1"/>
    <row r="809" ht="13.5" customHeight="1"/>
    <row r="810" ht="13.5" customHeight="1"/>
    <row r="811" ht="13.5" customHeight="1"/>
    <row r="812" ht="13.5" customHeight="1"/>
    <row r="813" ht="13.5" customHeight="1"/>
    <row r="814" ht="13.5" customHeight="1"/>
    <row r="815" ht="13.5" customHeight="1"/>
    <row r="816" ht="13.5" customHeight="1"/>
    <row r="817" ht="13.5" customHeight="1"/>
    <row r="818" ht="13.5" customHeight="1"/>
    <row r="819" ht="13.5" customHeight="1"/>
    <row r="820" ht="13.5" customHeight="1"/>
    <row r="821" ht="13.5" customHeight="1"/>
    <row r="822" ht="13.5" customHeight="1"/>
    <row r="823" ht="13.5" customHeight="1"/>
    <row r="824" ht="13.5" customHeight="1"/>
    <row r="825" ht="13.5" customHeight="1"/>
    <row r="826" ht="13.5" customHeight="1"/>
    <row r="827" ht="13.5" customHeight="1"/>
    <row r="828" ht="13.5" customHeight="1"/>
    <row r="829" ht="13.5" customHeight="1"/>
    <row r="830" ht="13.5" customHeight="1"/>
    <row r="831" ht="13.5" customHeight="1"/>
    <row r="832" ht="13.5" customHeight="1"/>
    <row r="833" ht="13.5" customHeight="1"/>
    <row r="834" ht="13.5" customHeight="1"/>
    <row r="835" ht="13.5" customHeight="1"/>
    <row r="836" ht="13.5" customHeight="1"/>
    <row r="837" ht="13.5" customHeight="1"/>
    <row r="838" ht="13.5" customHeight="1"/>
    <row r="839" ht="13.5" customHeight="1"/>
    <row r="840" ht="13.5" customHeight="1"/>
    <row r="841" ht="13.5" customHeight="1"/>
    <row r="842" ht="13.5" customHeight="1"/>
    <row r="843" ht="13.5" customHeight="1"/>
    <row r="844" ht="13.5" customHeight="1"/>
    <row r="845" ht="13.5" customHeight="1"/>
    <row r="846" ht="13.5" customHeight="1"/>
    <row r="847" ht="13.5" customHeight="1"/>
    <row r="848" ht="13.5" customHeight="1"/>
    <row r="849" ht="13.5" customHeight="1"/>
    <row r="850" ht="13.5" customHeight="1"/>
    <row r="851" ht="13.5" customHeight="1"/>
    <row r="852" ht="13.5" customHeight="1"/>
  </sheetData>
  <mergeCells count="10">
    <mergeCell ref="A13:B13"/>
    <mergeCell ref="A14:B14"/>
    <mergeCell ref="B23:C23"/>
    <mergeCell ref="A34:F34"/>
    <mergeCell ref="A12:B12"/>
    <mergeCell ref="A5:J5"/>
    <mergeCell ref="A6:J6"/>
    <mergeCell ref="B8:D8"/>
    <mergeCell ref="B9:D9"/>
    <mergeCell ref="B10:D10"/>
  </mergeCells>
  <phoneticPr fontId="19" type="noConversion"/>
  <pageMargins left="0.98" right="0.98" top="0.98" bottom="0.98" header="0.51" footer="0.51"/>
  <pageSetup paperSize="9" scale="40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Pages>2</Pages>
  <Words>0</Words>
  <Characters>0</Characters>
  <Application>Microsoft Excel</Application>
  <DocSecurity>0</DocSecurity>
  <Lines>0</Lines>
  <Paragraphs>0</Paragraphs>
  <MMClips>0</MMClips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KDB_VDI서버교체</vt:lpstr>
    </vt:vector>
  </TitlesOfParts>
  <LinksUpToDate>false</LinksUpToDate>
  <CharactersWithSpaces>0</CharactersWithSpaces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정전진</dc:creator>
  <cp:lastModifiedBy>상은 김</cp:lastModifiedBy>
  <cp:revision>3</cp:revision>
  <dcterms:created xsi:type="dcterms:W3CDTF">2020-09-16T11:18:34Z</dcterms:created>
  <dcterms:modified xsi:type="dcterms:W3CDTF">2025-09-26T05:22:38Z</dcterms:modified>
  <cp:version>9.101.23.39576</cp:version>
</cp:coreProperties>
</file>