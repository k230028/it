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My files\3.금융영업\2025\02.산업은행 ITO\00.24년 운영\ISMP컨설팅\"/>
    </mc:Choice>
  </mc:AlternateContent>
  <bookViews>
    <workbookView xWindow="0" yWindow="0" windowWidth="17055" windowHeight="8280" tabRatio="728"/>
  </bookViews>
  <sheets>
    <sheet name="견적서" sheetId="4" r:id="rId1"/>
    <sheet name="인력투입계획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dsfsadfasdfa">#REF!</definedName>
    <definedName name="asdmadf">#REF!</definedName>
    <definedName name="B">[1]손익!#REF!</definedName>
    <definedName name="CZ">#REF!</definedName>
    <definedName name="NICE할인율">'[2]60명당사(총괄)'!#REF!</definedName>
    <definedName name="_xlnm.Print_Area">#REF!</definedName>
    <definedName name="PSU">'[3]참고1. L4(PSU)'!$B$2:$C$89</definedName>
    <definedName name="PSU명">'[4]참고1. L4(PSU)'!$B$2:$B$89</definedName>
    <definedName name="_xlnm.Recorder">#REF!</definedName>
    <definedName name="sdfsadf">#REF!</definedName>
    <definedName name="WBS구분">[5]이름정의!$G$229:$G$230</definedName>
    <definedName name="국가급지구분">[6]기준자료!$A$109:$A$142</definedName>
    <definedName name="급지지역">[6]기준자료!$A$196:$A$332</definedName>
    <definedName name="기술등급">[7]유효성체크!$Q$2:$Q$21</definedName>
    <definedName name="기술분야">[7]유효성체크!$B$2:$B$30</definedName>
    <definedName name="나이스">#REF!</definedName>
    <definedName name="나이스이익">#REF!</definedName>
    <definedName name="담당업무">[7]유효성체크!$C$1:$C$13</definedName>
    <definedName name="등급">'[3]참고2. 등급(LEVEL)가이드'!$B$3:$C$10</definedName>
    <definedName name="레벨2011">[5]이름정의!$G$116:$G$120</definedName>
    <definedName name="루슨트">#REF!</definedName>
    <definedName name="루슨트할인율">'[2]60명당사(총괄)'!#REF!</definedName>
    <definedName name="ㅁ1">#REF!</definedName>
    <definedName name="배수">#REF!</definedName>
    <definedName name="부대비용">#REF!</definedName>
    <definedName name="사전">#REF!</definedName>
    <definedName name="산업분야">[7]유효성체크!$A$2:$A$26</definedName>
    <definedName name="서비스셀목록">[5]서비스셀!$C$2:$C$51</definedName>
    <definedName name="업무상세">OFFSET([7]유효성체크!$D$2,,MATCH([8]표준견적서!$F1,[7]유효성체크!$D$1:$P$1,0)-1,14)</definedName>
    <definedName name="외주등급">[5]이름정의!$E$229:$E$235</definedName>
    <definedName name="외주인건비구분">[9]이름정의!$I$240:$I$244</definedName>
    <definedName name="원가환율">#REF!</definedName>
    <definedName name="이익">#REF!</definedName>
    <definedName name="인력투입계획">#REF!</definedName>
    <definedName name="직무">[5]이름정의!$D$116:$D$163</definedName>
    <definedName name="직무코드">#REF!</definedName>
    <definedName name="채용구분">[7]유효성체크!$S$2:$S$4</definedName>
    <definedName name="통관비">#REF!</definedName>
    <definedName name="할인">#REF!</definedName>
    <definedName name="항공기등급">[6]기준자료!$A$189:$A$191</definedName>
    <definedName name="항인">#REF!</definedName>
    <definedName name="해외출장직급">[6]기준자료!$C$144:$C$147</definedName>
    <definedName name="행사구분">[6]기준자료!$G$8:$G$9</definedName>
    <definedName name="행사국해외">[6]기준자료!$H$8:$H$9</definedName>
    <definedName name="행사명">[6]기준자료!$F$8:$F$16</definedName>
    <definedName name="환">#REF!</definedName>
    <definedName name="환율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4" l="1"/>
  <c r="N23" i="4" s="1"/>
  <c r="J18" i="6" l="1"/>
  <c r="I18" i="6"/>
  <c r="H18" i="6"/>
  <c r="G18" i="6"/>
  <c r="K18" i="6" s="1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G23" i="4" l="1"/>
  <c r="H23" i="4" l="1"/>
  <c r="I23" i="4" s="1"/>
  <c r="J23" i="4" l="1"/>
  <c r="N24" i="4" l="1"/>
  <c r="N25" i="4" s="1"/>
  <c r="C20" i="4" s="1"/>
</calcChain>
</file>

<file path=xl/sharedStrings.xml><?xml version="1.0" encoding="utf-8"?>
<sst xmlns="http://schemas.openxmlformats.org/spreadsheetml/2006/main" count="83" uniqueCount="60">
  <si>
    <t>견     적     서</t>
    <phoneticPr fontId="5" type="noConversion"/>
  </si>
  <si>
    <t>아래와 같이 견적합니다.</t>
  </si>
  <si>
    <t>- 아         래 -</t>
    <phoneticPr fontId="5" type="noConversion"/>
  </si>
  <si>
    <t>수신 : 한국산업은행 귀중</t>
    <phoneticPr fontId="5" type="noConversion"/>
  </si>
  <si>
    <t>주소 : 서울특별시 송파구 올림픽로 35길 125</t>
    <phoneticPr fontId="5" type="noConversion"/>
  </si>
  <si>
    <t xml:space="preserve">       삼성에스디에스주식회사</t>
    <phoneticPr fontId="5" type="noConversion"/>
  </si>
  <si>
    <t>구분</t>
    <phoneticPr fontId="5" type="noConversion"/>
  </si>
  <si>
    <t>기술자단가</t>
    <phoneticPr fontId="4" type="noConversion"/>
  </si>
  <si>
    <t>등급</t>
    <phoneticPr fontId="4" type="noConversion"/>
  </si>
  <si>
    <t>삼성SDS</t>
    <phoneticPr fontId="4" type="noConversion"/>
  </si>
  <si>
    <t>직무구분</t>
    <phoneticPr fontId="5" type="noConversion"/>
  </si>
  <si>
    <t xml:space="preserve">       대표이사    이    준   희   (인)</t>
    <phoneticPr fontId="5" type="noConversion"/>
  </si>
  <si>
    <t>최종(부가가치세 포함)</t>
    <phoneticPr fontId="5" type="noConversion"/>
  </si>
  <si>
    <t>투입M/M</t>
    <phoneticPr fontId="5" type="noConversion"/>
  </si>
  <si>
    <t>제안금액</t>
    <phoneticPr fontId="5" type="noConversion"/>
  </si>
  <si>
    <t>비고</t>
    <phoneticPr fontId="5" type="noConversion"/>
  </si>
  <si>
    <t xml:space="preserve">  . 기술료 계산 = (직접인건비 + 제경비) × 30%</t>
    <phoneticPr fontId="5" type="noConversion"/>
  </si>
  <si>
    <t>(단위 : 원, 부가가치세 제외)</t>
    <phoneticPr fontId="5" type="noConversion"/>
  </si>
  <si>
    <t>(부가가치세 제외)</t>
    <phoneticPr fontId="4" type="noConversion"/>
  </si>
  <si>
    <t>- 견적문의 : 삼성SDS 박진현 프로(010-7471-7015)</t>
    <phoneticPr fontId="5" type="noConversion"/>
  </si>
  <si>
    <t>- 한국소프트웨어산업협회에서 공표한 ‘SW기술자 평균임금 공표' 또는 ‘SW사업대가산정가이드’ 내 SW기술자 분류 기준표 준용</t>
    <phoneticPr fontId="5" type="noConversion"/>
  </si>
  <si>
    <t>할인율(%)</t>
    <phoneticPr fontId="5" type="noConversion"/>
  </si>
  <si>
    <t>IT컨설턴트</t>
    <phoneticPr fontId="4" type="noConversion"/>
  </si>
  <si>
    <t xml:space="preserve">  . 제경비 계산 = 직접인건비 × 140%</t>
    <phoneticPr fontId="5" type="noConversion"/>
  </si>
  <si>
    <t>IT컨설턴트</t>
    <phoneticPr fontId="4" type="noConversion"/>
  </si>
  <si>
    <t>1. 단가 산정 기준</t>
    <phoneticPr fontId="5" type="noConversion"/>
  </si>
  <si>
    <t>2. 기타</t>
    <phoneticPr fontId="5" type="noConversion"/>
  </si>
  <si>
    <t>- 견적유효기간 : 견적일로부터 30일</t>
    <phoneticPr fontId="5" type="noConversion"/>
  </si>
  <si>
    <t>직접인건비(월)
(a)</t>
    <phoneticPr fontId="4" type="noConversion"/>
  </si>
  <si>
    <t>제경비(140%)
(b)</t>
    <phoneticPr fontId="5" type="noConversion"/>
  </si>
  <si>
    <t>기술료(30%)
(c)</t>
    <phoneticPr fontId="5" type="noConversion"/>
  </si>
  <si>
    <t>단가(월)
(a+b+c)</t>
    <phoneticPr fontId="4" type="noConversion"/>
  </si>
  <si>
    <t>제안단가(월)</t>
    <phoneticPr fontId="4" type="noConversion"/>
  </si>
  <si>
    <t>건명 : 한국산업은행 인프라 ISMP사업</t>
    <phoneticPr fontId="5" type="noConversion"/>
  </si>
  <si>
    <t>만단위 절사</t>
    <phoneticPr fontId="4" type="noConversion"/>
  </si>
  <si>
    <t>합계(부가가치세 제외)</t>
    <phoneticPr fontId="5" type="noConversion"/>
  </si>
  <si>
    <t>분류</t>
    <phoneticPr fontId="5" type="noConversion"/>
  </si>
  <si>
    <t>주요 업무</t>
    <phoneticPr fontId="4" type="noConversion"/>
  </si>
  <si>
    <t>월별 투입계획</t>
    <phoneticPr fontId="4" type="noConversion"/>
  </si>
  <si>
    <t>M+1</t>
  </si>
  <si>
    <t>M+2</t>
  </si>
  <si>
    <t>M+3</t>
  </si>
  <si>
    <t>M+4</t>
  </si>
  <si>
    <t>총괄 (PM)</t>
    <phoneticPr fontId="4" type="noConversion"/>
  </si>
  <si>
    <t>프로젝트 관리 및 진행관리</t>
    <phoneticPr fontId="4" type="noConversion"/>
  </si>
  <si>
    <t>특급컨설턴트</t>
    <phoneticPr fontId="4" type="noConversion"/>
  </si>
  <si>
    <t>CL4</t>
    <phoneticPr fontId="4" type="noConversion"/>
  </si>
  <si>
    <t>현황분석 및
정의</t>
    <phoneticPr fontId="4" type="noConversion"/>
  </si>
  <si>
    <t>대내외 환경분석 및 추진방안수립</t>
    <phoneticPr fontId="4" type="noConversion"/>
  </si>
  <si>
    <t>고급컨설턴트</t>
    <phoneticPr fontId="4" type="noConversion"/>
  </si>
  <si>
    <t>CL3</t>
    <phoneticPr fontId="4" type="noConversion"/>
  </si>
  <si>
    <t>중급컨설턴트</t>
    <phoneticPr fontId="4" type="noConversion"/>
  </si>
  <si>
    <t>CL2</t>
    <phoneticPr fontId="4" type="noConversion"/>
  </si>
  <si>
    <t>To-be 인프라 수립</t>
    <phoneticPr fontId="4" type="noConversion"/>
  </si>
  <si>
    <t>인프라별 대응방안 수립 및
과제 정의</t>
    <phoneticPr fontId="4" type="noConversion"/>
  </si>
  <si>
    <t>To-Be Roadmap/
MP수립</t>
    <phoneticPr fontId="4" type="noConversion"/>
  </si>
  <si>
    <t>이행방안 및 로드맵 수립
(예산, 인력, RFP, 운영관리)</t>
    <phoneticPr fontId="4" type="noConversion"/>
  </si>
  <si>
    <t>계</t>
  </si>
  <si>
    <t>총합</t>
    <phoneticPr fontId="5" type="noConversion"/>
  </si>
  <si>
    <t>일자 : 2025년 09월 16일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</si>
</sst>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\(&quot;₩&quot;#,##0\)"/>
    <numFmt numFmtId="177" formatCode="0_ ;[Red]\-0\ "/>
    <numFmt numFmtId="179" formatCode="_-* #,##0.0_-;\-* #,##0.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u/>
      <sz val="11"/>
      <name val="바탕체"/>
      <family val="1"/>
      <charset val="129"/>
    </font>
    <font>
      <sz val="11"/>
      <name val="굴림체"/>
      <family val="3"/>
      <charset val="129"/>
    </font>
    <font>
      <b/>
      <sz val="14"/>
      <name val="바탕체"/>
      <family val="1"/>
      <charset val="129"/>
    </font>
    <font>
      <sz val="16"/>
      <name val="굴림체"/>
      <family val="3"/>
      <charset val="129"/>
    </font>
    <font>
      <sz val="16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돋움"/>
      <family val="3"/>
      <charset val="129"/>
    </font>
    <font>
      <sz val="14"/>
      <name val="바탕체"/>
      <family val="1"/>
      <charset val="129"/>
    </font>
    <font>
      <sz val="11"/>
      <name val="굴림"/>
      <family val="3"/>
      <charset val="129"/>
    </font>
    <font>
      <b/>
      <sz val="12"/>
      <color rgb="FF000000"/>
      <name val="바탕체"/>
      <family val="1"/>
      <charset val="129"/>
    </font>
    <font>
      <sz val="12"/>
      <color rgb="FF000000"/>
      <name val="바탕체"/>
      <family val="1"/>
      <charset val="129"/>
    </font>
    <font>
      <b/>
      <sz val="10"/>
      <name val="바탕체"/>
      <family val="1"/>
      <charset val="129"/>
    </font>
    <font>
      <b/>
      <u/>
      <sz val="24"/>
      <name val="견고딕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124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3" fillId="0" borderId="0" xfId="2" applyFont="1"/>
    <xf numFmtId="0" fontId="3" fillId="0" borderId="2" xfId="2" applyFont="1" applyBorder="1"/>
    <xf numFmtId="0" fontId="3" fillId="0" borderId="3" xfId="2" applyFont="1" applyBorder="1"/>
    <xf numFmtId="0" fontId="3" fillId="0" borderId="3" xfId="2" applyFont="1" applyBorder="1" applyAlignment="1">
      <alignment horizontal="center"/>
    </xf>
    <xf numFmtId="0" fontId="3" fillId="0" borderId="4" xfId="2" applyFont="1" applyBorder="1"/>
    <xf numFmtId="0" fontId="3" fillId="0" borderId="5" xfId="2" applyFont="1" applyBorder="1"/>
    <xf numFmtId="0" fontId="3" fillId="0" borderId="0" xfId="2" applyFont="1" applyBorder="1"/>
    <xf numFmtId="0" fontId="3" fillId="0" borderId="0" xfId="2" applyFont="1" applyBorder="1" applyAlignment="1">
      <alignment horizontal="center"/>
    </xf>
    <xf numFmtId="0" fontId="3" fillId="0" borderId="6" xfId="2" applyFont="1" applyBorder="1"/>
    <xf numFmtId="0" fontId="6" fillId="0" borderId="5" xfId="2" applyFont="1" applyBorder="1"/>
    <xf numFmtId="0" fontId="6" fillId="0" borderId="0" xfId="2" applyFont="1" applyBorder="1"/>
    <xf numFmtId="0" fontId="6" fillId="0" borderId="0" xfId="2" applyFont="1" applyBorder="1" applyAlignment="1">
      <alignment horizontal="center"/>
    </xf>
    <xf numFmtId="0" fontId="6" fillId="0" borderId="6" xfId="2" applyFont="1" applyBorder="1"/>
    <xf numFmtId="0" fontId="7" fillId="0" borderId="0" xfId="2" applyFont="1" applyBorder="1" applyAlignment="1">
      <alignment horizontal="left" indent="2"/>
    </xf>
    <xf numFmtId="0" fontId="7" fillId="0" borderId="0" xfId="2" applyFont="1" applyBorder="1" applyAlignment="1">
      <alignment horizontal="left"/>
    </xf>
    <xf numFmtId="0" fontId="7" fillId="0" borderId="0" xfId="2" applyFont="1" applyBorder="1"/>
    <xf numFmtId="0" fontId="8" fillId="0" borderId="0" xfId="2" applyFont="1" applyBorder="1" applyAlignment="1">
      <alignment horizontal="left" indent="2"/>
    </xf>
    <xf numFmtId="176" fontId="7" fillId="0" borderId="0" xfId="2" applyNumberFormat="1" applyFont="1" applyBorder="1" applyAlignment="1">
      <alignment horizontal="left" indent="5"/>
    </xf>
    <xf numFmtId="0" fontId="9" fillId="0" borderId="0" xfId="2" applyFont="1"/>
    <xf numFmtId="0" fontId="6" fillId="0" borderId="5" xfId="2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0" xfId="2" applyFont="1" applyBorder="1" applyAlignment="1">
      <alignment horizontal="center" vertical="center"/>
    </xf>
    <xf numFmtId="0" fontId="6" fillId="0" borderId="0" xfId="2" applyFont="1" applyBorder="1" applyAlignment="1">
      <alignment horizontal="right" vertical="center"/>
    </xf>
    <xf numFmtId="0" fontId="6" fillId="0" borderId="6" xfId="2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2" fillId="0" borderId="5" xfId="2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41" fontId="14" fillId="0" borderId="7" xfId="1" applyFont="1" applyFill="1" applyBorder="1" applyAlignment="1">
      <alignment vertical="center"/>
    </xf>
    <xf numFmtId="43" fontId="3" fillId="0" borderId="0" xfId="2" applyNumberFormat="1" applyFont="1" applyAlignment="1">
      <alignment vertical="center"/>
    </xf>
    <xf numFmtId="0" fontId="3" fillId="0" borderId="5" xfId="2" applyFont="1" applyBorder="1" applyAlignment="1">
      <alignment vertical="center"/>
    </xf>
    <xf numFmtId="177" fontId="13" fillId="0" borderId="0" xfId="2" applyNumberFormat="1" applyFont="1" applyFill="1" applyBorder="1" applyAlignment="1">
      <alignment horizontal="right" vertical="center"/>
    </xf>
    <xf numFmtId="0" fontId="14" fillId="0" borderId="0" xfId="2" quotePrefix="1" applyFont="1" applyFill="1" applyBorder="1" applyAlignment="1">
      <alignment horizontal="left" vertical="center"/>
    </xf>
    <xf numFmtId="0" fontId="3" fillId="0" borderId="6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4" fillId="0" borderId="0" xfId="2" applyFont="1" applyFill="1" applyBorder="1" applyAlignment="1">
      <alignment horizontal="center" vertical="center"/>
    </xf>
    <xf numFmtId="177" fontId="14" fillId="0" borderId="0" xfId="2" applyNumberFormat="1" applyFont="1" applyFill="1" applyBorder="1" applyAlignment="1">
      <alignment horizontal="right" vertical="center"/>
    </xf>
    <xf numFmtId="0" fontId="14" fillId="0" borderId="0" xfId="2" applyFont="1" applyFill="1" applyBorder="1" applyAlignment="1">
      <alignment vertical="center"/>
    </xf>
    <xf numFmtId="0" fontId="3" fillId="0" borderId="9" xfId="2" applyFont="1" applyBorder="1" applyAlignment="1">
      <alignment vertical="center"/>
    </xf>
    <xf numFmtId="0" fontId="17" fillId="0" borderId="1" xfId="3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0" fontId="6" fillId="0" borderId="0" xfId="2" applyFont="1" applyAlignment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14" fillId="0" borderId="7" xfId="2" applyFont="1" applyFill="1" applyBorder="1" applyAlignment="1">
      <alignment horizontal="center" vertical="center"/>
    </xf>
    <xf numFmtId="41" fontId="14" fillId="0" borderId="7" xfId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41" fontId="6" fillId="0" borderId="0" xfId="2" applyNumberFormat="1" applyFont="1" applyBorder="1"/>
    <xf numFmtId="41" fontId="13" fillId="2" borderId="7" xfId="1" applyFont="1" applyFill="1" applyBorder="1" applyAlignment="1">
      <alignment horizontal="right" vertical="center"/>
    </xf>
    <xf numFmtId="41" fontId="13" fillId="4" borderId="7" xfId="1" applyFont="1" applyFill="1" applyBorder="1" applyAlignment="1">
      <alignment vertical="center"/>
    </xf>
    <xf numFmtId="41" fontId="14" fillId="0" borderId="0" xfId="1" quotePrefix="1" applyFont="1" applyFill="1" applyBorder="1" applyAlignment="1">
      <alignment horizontal="left" vertical="center"/>
    </xf>
    <xf numFmtId="41" fontId="14" fillId="0" borderId="0" xfId="1" applyFont="1" applyFill="1" applyBorder="1" applyAlignment="1">
      <alignment horizontal="right" vertical="center"/>
    </xf>
    <xf numFmtId="41" fontId="14" fillId="0" borderId="0" xfId="2" quotePrefix="1" applyNumberFormat="1" applyFont="1" applyFill="1" applyBorder="1" applyAlignment="1">
      <alignment horizontal="left" vertical="center"/>
    </xf>
    <xf numFmtId="0" fontId="13" fillId="2" borderId="8" xfId="2" applyFont="1" applyFill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/>
    </xf>
    <xf numFmtId="49" fontId="10" fillId="0" borderId="0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0" fontId="13" fillId="2" borderId="7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vertical="center"/>
    </xf>
    <xf numFmtId="10" fontId="14" fillId="0" borderId="13" xfId="4" applyNumberFormat="1" applyFont="1" applyBorder="1" applyAlignment="1">
      <alignment vertical="center"/>
    </xf>
    <xf numFmtId="0" fontId="0" fillId="0" borderId="0" xfId="0" applyBorder="1" applyAlignment="1"/>
    <xf numFmtId="0" fontId="0" fillId="0" borderId="6" xfId="0" applyBorder="1" applyAlignment="1"/>
    <xf numFmtId="41" fontId="14" fillId="0" borderId="0" xfId="1" applyFont="1" applyFill="1" applyBorder="1" applyAlignment="1">
      <alignment horizontal="center" vertical="center"/>
    </xf>
    <xf numFmtId="0" fontId="0" fillId="0" borderId="0" xfId="0" applyFont="1" applyBorder="1" applyAlignment="1"/>
    <xf numFmtId="0" fontId="10" fillId="0" borderId="0" xfId="2" applyNumberFormat="1" applyFont="1" applyBorder="1" applyAlignment="1"/>
    <xf numFmtId="177" fontId="6" fillId="0" borderId="0" xfId="2" applyNumberFormat="1" applyFont="1" applyFill="1" applyBorder="1" applyAlignment="1">
      <alignment horizontal="right" vertical="center"/>
    </xf>
    <xf numFmtId="0" fontId="17" fillId="0" borderId="0" xfId="3" applyFont="1" applyBorder="1" applyAlignment="1">
      <alignment horizontal="left" vertical="center"/>
    </xf>
    <xf numFmtId="0" fontId="3" fillId="0" borderId="0" xfId="2" applyFont="1" applyBorder="1" applyAlignment="1">
      <alignment horizontal="center" vertical="center"/>
    </xf>
    <xf numFmtId="0" fontId="7" fillId="0" borderId="0" xfId="2" quotePrefix="1" applyFont="1" applyFill="1" applyBorder="1" applyAlignment="1">
      <alignment horizontal="left" vertical="center"/>
    </xf>
    <xf numFmtId="0" fontId="13" fillId="2" borderId="12" xfId="2" applyFont="1" applyFill="1" applyBorder="1" applyAlignment="1">
      <alignment horizontal="center" vertical="center"/>
    </xf>
    <xf numFmtId="0" fontId="13" fillId="4" borderId="12" xfId="2" applyFont="1" applyFill="1" applyBorder="1" applyAlignment="1">
      <alignment horizontal="center" vertical="center"/>
    </xf>
    <xf numFmtId="49" fontId="10" fillId="0" borderId="0" xfId="2" applyNumberFormat="1" applyFont="1" applyBorder="1" applyAlignment="1">
      <alignment horizontal="center"/>
    </xf>
    <xf numFmtId="0" fontId="13" fillId="2" borderId="7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41" fontId="19" fillId="3" borderId="14" xfId="1" applyFont="1" applyFill="1" applyBorder="1" applyAlignment="1">
      <alignment vertical="center" wrapText="1"/>
    </xf>
    <xf numFmtId="41" fontId="19" fillId="3" borderId="0" xfId="1" applyFont="1" applyFill="1" applyBorder="1" applyAlignment="1">
      <alignment vertical="center" wrapText="1"/>
    </xf>
    <xf numFmtId="41" fontId="14" fillId="0" borderId="7" xfId="2" applyNumberFormat="1" applyFont="1" applyFill="1" applyBorder="1" applyAlignment="1">
      <alignment horizontal="center" vertical="center"/>
    </xf>
    <xf numFmtId="41" fontId="13" fillId="0" borderId="7" xfId="1" applyNumberFormat="1" applyFont="1" applyFill="1" applyBorder="1" applyAlignment="1">
      <alignment vertical="center"/>
    </xf>
    <xf numFmtId="41" fontId="13" fillId="0" borderId="7" xfId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3" fillId="4" borderId="11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3" fillId="4" borderId="12" xfId="2" applyFont="1" applyFill="1" applyBorder="1" applyAlignment="1">
      <alignment horizontal="center" vertical="center"/>
    </xf>
    <xf numFmtId="0" fontId="21" fillId="0" borderId="5" xfId="2" applyFont="1" applyBorder="1" applyAlignment="1">
      <alignment horizontal="center"/>
    </xf>
    <xf numFmtId="0" fontId="21" fillId="0" borderId="0" xfId="2" applyFont="1" applyBorder="1" applyAlignment="1">
      <alignment horizontal="center"/>
    </xf>
    <xf numFmtId="0" fontId="21" fillId="0" borderId="6" xfId="2" applyFont="1" applyBorder="1" applyAlignment="1">
      <alignment horizontal="center"/>
    </xf>
    <xf numFmtId="49" fontId="10" fillId="0" borderId="5" xfId="2" applyNumberFormat="1" applyFont="1" applyBorder="1" applyAlignment="1">
      <alignment horizontal="center"/>
    </xf>
    <xf numFmtId="49" fontId="10" fillId="0" borderId="0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0" fontId="13" fillId="2" borderId="7" xfId="2" applyFont="1" applyFill="1" applyBorder="1" applyAlignment="1">
      <alignment horizontal="center" vertical="center"/>
    </xf>
    <xf numFmtId="0" fontId="14" fillId="0" borderId="5" xfId="2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center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12" xfId="2" applyFont="1" applyFill="1" applyBorder="1" applyAlignment="1">
      <alignment horizontal="center" vertical="center"/>
    </xf>
    <xf numFmtId="10" fontId="13" fillId="0" borderId="7" xfId="1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0" fontId="23" fillId="5" borderId="7" xfId="9" applyFont="1" applyFill="1" applyBorder="1" applyAlignment="1">
      <alignment horizontal="center" vertical="center"/>
    </xf>
    <xf numFmtId="0" fontId="24" fillId="5" borderId="7" xfId="9" applyFont="1" applyFill="1" applyBorder="1" applyAlignment="1">
      <alignment horizontal="center" vertical="center" wrapText="1"/>
    </xf>
    <xf numFmtId="0" fontId="23" fillId="5" borderId="7" xfId="9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6" fillId="0" borderId="7" xfId="9" quotePrefix="1" applyFont="1" applyBorder="1" applyAlignment="1">
      <alignment horizontal="center" vertical="center"/>
    </xf>
    <xf numFmtId="0" fontId="27" fillId="0" borderId="7" xfId="9" applyFont="1" applyBorder="1" applyAlignment="1">
      <alignment horizontal="center" vertical="center" wrapText="1"/>
    </xf>
    <xf numFmtId="179" fontId="25" fillId="0" borderId="7" xfId="1" applyNumberFormat="1" applyFont="1" applyFill="1" applyBorder="1" applyAlignment="1" applyProtection="1">
      <alignment horizontal="center" vertical="center"/>
      <protection locked="0"/>
    </xf>
    <xf numFmtId="0" fontId="26" fillId="0" borderId="7" xfId="9" quotePrefix="1" applyFont="1" applyBorder="1" applyAlignment="1">
      <alignment horizontal="center" vertical="center" wrapText="1"/>
    </xf>
    <xf numFmtId="0" fontId="27" fillId="0" borderId="7" xfId="9" applyFont="1" applyBorder="1" applyAlignment="1">
      <alignment horizontal="center" vertical="center" wrapText="1"/>
    </xf>
    <xf numFmtId="0" fontId="26" fillId="0" borderId="7" xfId="9" quotePrefix="1" applyFont="1" applyBorder="1" applyAlignment="1">
      <alignment horizontal="center" vertical="center"/>
    </xf>
    <xf numFmtId="0" fontId="26" fillId="0" borderId="7" xfId="9" applyFont="1" applyBorder="1" applyAlignment="1">
      <alignment horizontal="center" vertical="center" wrapText="1"/>
    </xf>
    <xf numFmtId="0" fontId="28" fillId="2" borderId="7" xfId="0" applyFont="1" applyFill="1" applyBorder="1">
      <alignment vertical="center"/>
    </xf>
    <xf numFmtId="0" fontId="24" fillId="2" borderId="7" xfId="9" applyFont="1" applyFill="1" applyBorder="1" applyAlignment="1">
      <alignment horizontal="center" vertical="center" wrapText="1"/>
    </xf>
    <xf numFmtId="0" fontId="24" fillId="2" borderId="7" xfId="9" applyFont="1" applyFill="1" applyBorder="1" applyAlignment="1">
      <alignment horizontal="center" vertical="center" wrapText="1"/>
    </xf>
    <xf numFmtId="179" fontId="23" fillId="2" borderId="7" xfId="1" applyNumberFormat="1" applyFont="1" applyFill="1" applyBorder="1" applyAlignment="1">
      <alignment horizontal="center" vertical="center"/>
    </xf>
    <xf numFmtId="179" fontId="23" fillId="6" borderId="7" xfId="1" applyNumberFormat="1" applyFont="1" applyFill="1" applyBorder="1" applyAlignment="1">
      <alignment vertical="center"/>
    </xf>
    <xf numFmtId="179" fontId="25" fillId="5" borderId="7" xfId="1" applyNumberFormat="1" applyFont="1" applyFill="1" applyBorder="1" applyAlignment="1" applyProtection="1">
      <alignment horizontal="center" vertical="center"/>
      <protection locked="0"/>
    </xf>
  </cellXfs>
  <cellStyles count="10">
    <cellStyle name="백분율" xfId="4" builtinId="5"/>
    <cellStyle name="백분율 2" xfId="8"/>
    <cellStyle name="쉼표 [0]" xfId="1" builtinId="6"/>
    <cellStyle name="표준" xfId="0" builtinId="0"/>
    <cellStyle name="표준 2" xfId="5"/>
    <cellStyle name="표준 2 2" xfId="7"/>
    <cellStyle name="표준 3" xfId="6"/>
    <cellStyle name="표준 4 91" xfId="9"/>
    <cellStyle name="표준_견적 제출_코닝 ICMS 구축_20041209" xfId="2"/>
    <cellStyle name="표준_견적_mySAPcomPLM_17948" xfId="3"/>
  </cellStyles>
  <dxfs count="2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816909</xdr:colOff>
      <xdr:row>1</xdr:row>
      <xdr:rowOff>181535</xdr:rowOff>
    </xdr:from>
    <xdr:to>
      <xdr:col>8</xdr:col>
      <xdr:colOff>474570</xdr:colOff>
      <xdr:row>3</xdr:row>
      <xdr:rowOff>181535</xdr:rowOff>
    </xdr:to>
    <xdr:pic>
      <xdr:nvPicPr>
        <xdr:cNvPr id="2" name="Picture 2" descr="삼성심볼화이트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74" y="338417"/>
          <a:ext cx="275048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5&#44060;&#54200;\96&#45800;&#4403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552;&#50997;&#49324;&#50629;2&#54016;\&#54532;&#47196;&#51229;&#53944;\&#44552;&#54840;&#49373;&#47749;\&#51060;&#48120;&#51648;%20&#48143;%20CTI\&#51228;&#52636;&#50857;\&#53084;&#49468;&#53552;&#44204;&#51201;&#52572;&#51333;&#48376;&#47196;&#52964;&#49828;04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Single\TEMP\&#51221;&#44508;_&#50808;&#51452;%20&#51064;&#47141;&#53804;&#51077;&#44228;&#54925;__&#46972;&#51060;&#45208;%20TMR%20Assistant%20&#44396;&#52629;_1903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(&#50836;&#52397;&#50577;&#49885;)%20PE&#54876;&#46041;&#50836;&#52397;%20&#51064;&#47141;&#53804;&#51077;&#44228;&#54925;&#49436;-190514_&#51060;&#44600;&#54805;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&#48512;&#49436;&#54632;\03.&#44204;&#51201;&#51088;&#47308;\03.&#44552;&#50997;\2012\20120316%20&#49340;&#49457;&#54868;&#51116;%20&#44544;&#47196;&#48268;%20IT&#49884;&#49828;&#53596;(&#51473;&#44397;&#48277;&#51064;)&#44396;&#52629;\&#44204;&#51201;&#53812;\&#49340;&#49457;&#54868;&#51116;%20&#51473;&#44397;&#48277;&#51064;_&#53685;&#54633;&#44204;&#51201;&#53812;_CE&#50857;_20120320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&#48512;&#49436;&#54632;\03.&#44204;&#51201;&#51088;&#47308;\03.&#44552;&#50997;&#49436;&#48708;&#49828;\2013\20130709%20&#49340;&#49457;&#54868;&#51116;%20ERP%20TO-BE%20&#49444;&#44228;%20(2&#52264;)\02.%20&#51228;&#50504;&#44204;&#51201;\05.%20&#44221;&#48708;\1.%20&#44221;&#48708;&#53812;%20v.1.0(20130601)_&#52572;&#49888;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files/PA&#44060;&#51064;&#54260;&#45908;(joongyoun.hwang)/HJY/00.KDB/0.&#49884;&#48044;/&#48373;&#49324;&#48376;%20&#44204;&#51201;&#50836;&#52397;_KDB&#49328;&#50629;&#51008;&#54665;%20&#51221;&#48372;&#49884;&#49828;&#53596;%20&#50868;&#50689;&#50629;&#47924;%20&#50808;&#51452;&#50857;&#50669;_&#54172;&#53440;&#53356;&#47532;&#46300;_2020525_15908244689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2264;&#50689;&#54840;\02%20&#51068;&#48152;\02%20&#50629;&#47924;&#51088;&#47308;\02%20&#50629;&#47924;&#50577;&#49885;\&#50808;&#51452;_SKCC&#54364;&#51456;&#44204;&#51201;&#49436;_&#54532;&#47196;&#51229;&#53944;&#47749;_&#50629;&#52404;&#47749;_201805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&#48512;&#49436;&#54632;\03.&#44204;&#51201;&#51088;&#47308;\03.&#44552;&#50997;\2012\20121015%20&#44221;&#45224;&#51008;&#54665;%20&#52264;&#49464;&#45824;%20&#44396;&#52629;\02.%20&#51228;&#50504;&#44204;&#51201;\CE&#53812;\&#44221;&#45224;&#51008;&#54665;%20&#52264;&#49464;&#45824;_CE&#50857;_v1.5.1_2012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사전원가"/>
      <sheetName val="견적표지"/>
      <sheetName val="4. 개발용역비"/>
      <sheetName val="인력투입계획"/>
      <sheetName val="1.2 단가산출"/>
      <sheetName val="1.1 UNIX서버"/>
      <sheetName val="1.2 NT서버"/>
      <sheetName val="2.1.3 DISK"/>
      <sheetName val="2.2 SW&amp;Tool"/>
      <sheetName val="HP서버"/>
      <sheetName val="변수값"/>
      <sheetName val="중기상차"/>
      <sheetName val="AS복구"/>
      <sheetName val="중기터파기"/>
      <sheetName val="전체제품"/>
      <sheetName val="5지역자재"/>
      <sheetName val="Sheet1"/>
      <sheetName val="1_2 단가산출"/>
      <sheetName val="96단가"/>
      <sheetName val="일위대가"/>
      <sheetName val="컨설팅"/>
      <sheetName val="Miser-P"/>
      <sheetName val="분석"/>
      <sheetName val="시뮬"/>
      <sheetName val="INPUT (4)"/>
      <sheetName val="INPUT (1)"/>
      <sheetName val="Date Table"/>
      <sheetName val="INPUT (2)"/>
      <sheetName val="INPUT (3)"/>
      <sheetName val="Loan Sched (M)"/>
      <sheetName val="Balance Sheet"/>
      <sheetName val="단가표"/>
      <sheetName val="수량산출"/>
      <sheetName val="기계경비"/>
      <sheetName val="입력변수"/>
      <sheetName val="DB구축"/>
      <sheetName val="상수구조화편집부표"/>
      <sheetName val="(실사조정)총괄"/>
      <sheetName val="TPMC수치"/>
      <sheetName val="setup"/>
      <sheetName val="허들기준"/>
      <sheetName val="Sheet2"/>
      <sheetName val="버전정보"/>
      <sheetName val="tpmC"/>
      <sheetName val="참조용(기존비용포함)"/>
      <sheetName val="Slopes"/>
      <sheetName val="Flat Priced Products"/>
      <sheetName val="Pricelist"/>
      <sheetName val="FlatPriceByCountry"/>
      <sheetName val="TierPriceByCountry"/>
      <sheetName val="인건비"/>
      <sheetName val="LH3 동양시스템"/>
      <sheetName val="Care"/>
      <sheetName val="OPT7"/>
      <sheetName val="Option"/>
      <sheetName val="60명당사(총괄)"/>
      <sheetName val="DATA"/>
      <sheetName val="노임단가"/>
      <sheetName val="판가"/>
      <sheetName val="금액내역서"/>
      <sheetName val="매립"/>
      <sheetName val="포장복구집계"/>
      <sheetName val="PBX"/>
      <sheetName val="Recording,Phone,Headset"/>
      <sheetName val="목록"/>
      <sheetName val="단가"/>
      <sheetName val="list price"/>
      <sheetName val="Curves"/>
      <sheetName val="Tables"/>
      <sheetName val="2월가격"/>
      <sheetName val="견적서(갑지)"/>
      <sheetName val="#REF"/>
      <sheetName val="BQ"/>
      <sheetName val="DWDM 10M+SEC"/>
      <sheetName val="소방현물"/>
      <sheetName val="SECE-2016 NW Equipment Maintena"/>
      <sheetName val="작성기준"/>
      <sheetName val="Data Base"/>
      <sheetName val="Linkage Quote"/>
      <sheetName val="Racking"/>
      <sheetName val="구분분류"/>
      <sheetName val="임대료 산정"/>
      <sheetName val="清单1"/>
      <sheetName val="SDSLA_KRW"/>
      <sheetName val="환율"/>
      <sheetName val="정부노임단가"/>
      <sheetName val="4__개발용역비"/>
      <sheetName val="1_2_단가산출"/>
      <sheetName val="1_1_UNIX서버"/>
      <sheetName val="1_2_NT서버"/>
      <sheetName val="2_1_3_DISK"/>
      <sheetName val="2_2_SW&amp;Tool"/>
      <sheetName val="목록표"/>
      <sheetName val="CAPVC"/>
      <sheetName val="LH3_동양시스템"/>
      <sheetName val="Flat_Priced_Products"/>
      <sheetName val="list_price"/>
      <sheetName val="DWDM_10M+SEC"/>
      <sheetName val="SECE-2016_NW_Equipment_Maintena"/>
      <sheetName val="Data_Base"/>
      <sheetName val="Linkage_Quote"/>
      <sheetName val="임대료_산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표지(150명)"/>
      <sheetName val="150명당사(총괄)"/>
      <sheetName val="150명당사(세부내역)"/>
      <sheetName val="150명고객(총괄)"/>
      <sheetName val="150명고객(세부내역)"/>
      <sheetName val="60명당사(총괄)"/>
      <sheetName val="60명당사(세부내역)"/>
      <sheetName val="표지(60명)"/>
      <sheetName val="60명고객(총괄)"/>
      <sheetName val="60명고객(세부내역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력투입정보"/>
      <sheetName val="PE활동요청 인력투입계획"/>
      <sheetName val="참고1. L4(PSU)"/>
      <sheetName val="참고2. 등급(LEVEL)가이드"/>
    </sheetNames>
    <sheetDataSet>
      <sheetData sheetId="0"/>
      <sheetData sheetId="1"/>
      <sheetData sheetId="2">
        <row r="2">
          <cell r="B2" t="str">
            <v>컨설팅-전략/ICT컨설팅-국내업체(Major)</v>
          </cell>
          <cell r="C2" t="str">
            <v>Domestic Company (Major)-Strat/ICT Con</v>
          </cell>
        </row>
        <row r="3">
          <cell r="B3" t="str">
            <v>컨설팅-전략/ICT컨설팅-국내업체(Medium/Small)</v>
          </cell>
          <cell r="C3" t="str">
            <v>Domestic Company (Medium/Small)-Strat/ICT Con</v>
          </cell>
        </row>
        <row r="4">
          <cell r="B4" t="str">
            <v>컨설팅-전략/ICT컨설팅-외산업체</v>
          </cell>
          <cell r="C4" t="str">
            <v>Foreign Company-Strat/ICT Con</v>
          </cell>
        </row>
        <row r="5">
          <cell r="B5" t="str">
            <v>컨설팅-전략/ICT컨설팅-기타</v>
          </cell>
          <cell r="C5" t="str">
            <v>Etc.-Strat/ICT Con</v>
          </cell>
        </row>
        <row r="6">
          <cell r="B6" t="str">
            <v>컨설팅-전략/ICT컨설팅-아키텍쳐(DA/TA/SA)</v>
          </cell>
          <cell r="C6" t="str">
            <v>Architecture (DA/TA/SA)-Strat/ICT Con</v>
          </cell>
        </row>
        <row r="7">
          <cell r="B7" t="str">
            <v>컨설팅-솔루션컨설팅-SCM</v>
          </cell>
          <cell r="C7" t="str">
            <v>SCM-Solu Con</v>
          </cell>
        </row>
        <row r="8">
          <cell r="B8" t="str">
            <v>컨설팅-솔루션컨설팅-MES(자체)</v>
          </cell>
          <cell r="C8" t="str">
            <v>MES(MIRACOM)-Solu Con</v>
          </cell>
        </row>
        <row r="9">
          <cell r="B9" t="str">
            <v>컨설팅-솔루션컨설팅-ERP</v>
          </cell>
          <cell r="C9" t="str">
            <v>ERP-Solu Con</v>
          </cell>
        </row>
        <row r="10">
          <cell r="B10" t="str">
            <v>컨설팅-솔루션컨설팅-CAD/PLM</v>
          </cell>
          <cell r="C10" t="str">
            <v>CAD/PLM-Solu Con</v>
          </cell>
        </row>
        <row r="11">
          <cell r="B11" t="str">
            <v>컨설팅-솔루션컨설팅-BI</v>
          </cell>
          <cell r="C11" t="str">
            <v>BI-Solu Con</v>
          </cell>
        </row>
        <row r="12">
          <cell r="B12" t="str">
            <v>컨설팅-솔루션컨설팅-보안(진단)</v>
          </cell>
          <cell r="C12" t="str">
            <v>Information Security-Solu Con</v>
          </cell>
        </row>
        <row r="13">
          <cell r="B13" t="str">
            <v>컨설팅-솔루션컨설팅-기타</v>
          </cell>
          <cell r="C13" t="str">
            <v>Etc.-Solu Con</v>
          </cell>
        </row>
        <row r="14">
          <cell r="B14" t="str">
            <v>IT개발-어플리케이션 분석/설계/개발-ABAP-CoreABAP</v>
          </cell>
          <cell r="C14" t="str">
            <v>Anl/Dsn/Dev-ABAP-Core ABAP-Dev</v>
          </cell>
        </row>
        <row r="15">
          <cell r="B15" t="str">
            <v>IT개발-어플리케이션 분석/설계/개발-ABAP-특수ABAP</v>
          </cell>
          <cell r="C15" t="str">
            <v>Anl/Dsn/Dev-ABAP-Special ABAP-Dev</v>
          </cell>
        </row>
        <row r="16">
          <cell r="B16" t="str">
            <v>IT개발-어플리케이션 분석/설계/개발-ABAP-Core모듈</v>
          </cell>
          <cell r="C16" t="str">
            <v>Anl/Dsn/Dev-ABAP-Core Module-Dev</v>
          </cell>
        </row>
        <row r="17">
          <cell r="B17" t="str">
            <v>IT개발-어플리케이션 분석/설계/개발-ABAP-특수모듈</v>
          </cell>
          <cell r="C17" t="str">
            <v>Anl/Dsn/Dev-ABAP-Special Module-Dev</v>
          </cell>
        </row>
        <row r="18">
          <cell r="B18" t="str">
            <v>IT개발-어플리케이션 분석/설계/개발-JAVA</v>
          </cell>
          <cell r="C18" t="str">
            <v>Analysis/Design/Development-JAVA-Dev</v>
          </cell>
        </row>
        <row r="19">
          <cell r="B19" t="str">
            <v>IT개발-어플리케이션 분석/설계/개발-범용기술(자체)</v>
          </cell>
          <cell r="C19" t="str">
            <v>Anl/Dsn/Dev-JAVA(OTS)-Dev</v>
          </cell>
        </row>
        <row r="20">
          <cell r="B20" t="str">
            <v>IT개발-어플리케이션 분석/설계/개발-C/C++</v>
          </cell>
          <cell r="C20" t="str">
            <v>Anl/Dsn/Dev-C/C++-Dev</v>
          </cell>
        </row>
        <row r="21">
          <cell r="B21" t="str">
            <v>IT개발-어플리케이션 분석/설계/개발-아키텍쳐(DA/TA/SA)</v>
          </cell>
          <cell r="C21" t="str">
            <v>Anl/Dsn/Dev-Architecture (DA/TA/SA)-Dev</v>
          </cell>
        </row>
        <row r="22">
          <cell r="B22" t="str">
            <v>IT개발-어플리케이션 분석/설계/개발-Power Builder/Delphi</v>
          </cell>
          <cell r="C22" t="str">
            <v>Anl/Dsn/Dev-PB/Delphi-Dev</v>
          </cell>
        </row>
        <row r="23">
          <cell r="B23" t="str">
            <v>IT개발-어플리케이션 분석/설계/개발-VB/ASP/C#</v>
          </cell>
          <cell r="C23" t="str">
            <v>Anl/Dsn/Dev-VB/ASP/C#-Dev</v>
          </cell>
        </row>
        <row r="24">
          <cell r="B24" t="str">
            <v>IT개발-어플리케이션 분석/설계/개발-웹디자인</v>
          </cell>
          <cell r="C24" t="str">
            <v>Anl/Dsn/Dev-Web Design-GD</v>
          </cell>
        </row>
        <row r="25">
          <cell r="B25" t="str">
            <v>IT개발-어플리케이션 분석/설계/개발-테스트(일반)</v>
          </cell>
          <cell r="C25" t="str">
            <v>Anl/Dsn/Dev-Test(Normal)-Dev</v>
          </cell>
        </row>
        <row r="26">
          <cell r="B26" t="str">
            <v>IT개발-어플리케이션 분석/설계/개발-모바일기반</v>
          </cell>
          <cell r="C26" t="str">
            <v>Anl/Dsn/Dev-Mobile based-Dev</v>
          </cell>
        </row>
        <row r="27">
          <cell r="B27" t="str">
            <v>IT개발-어플리케이션 분석/설계/개발-금융범용(turn-key)</v>
          </cell>
          <cell r="C27" t="str">
            <v>Anl/Dsn/Dev-Fin(universal, TK)-Dev</v>
          </cell>
        </row>
        <row r="28">
          <cell r="B28" t="str">
            <v>IT개발-어플리케이션 분석/설계/개발-금융특화(turn-key)</v>
          </cell>
          <cell r="C28" t="str">
            <v>Anl/Dsn/Dev-Fin(Specialized, TK)-Dev</v>
          </cell>
        </row>
        <row r="29">
          <cell r="B29" t="str">
            <v>IT개발-어플리케이션 분석/설계/개발-turn-key구축</v>
          </cell>
          <cell r="C29" t="str">
            <v>Anl/Dsn/Dev-TurnKey-Dev</v>
          </cell>
        </row>
        <row r="30">
          <cell r="B30" t="str">
            <v>IT개발-어플리케이션 분석/설계/개발-기타</v>
          </cell>
          <cell r="C30" t="str">
            <v>Anl/Dsn/Dev-Etc.-Dev</v>
          </cell>
        </row>
        <row r="31">
          <cell r="B31" t="str">
            <v>IT개발-어플리케이션 분석/설계/개발-솔루션기반(BI)</v>
          </cell>
          <cell r="C31" t="str">
            <v>Anl/Dsn/Dev-S-based(BI)-Dev</v>
          </cell>
        </row>
        <row r="32">
          <cell r="B32" t="str">
            <v>IT개발-어플리케이션 분석/설계/개발-솔루션기반(Cax)</v>
          </cell>
          <cell r="C32" t="str">
            <v>Anl/Dsn/Dev-S-based(Cax)-Dev</v>
          </cell>
        </row>
        <row r="33">
          <cell r="B33" t="str">
            <v>IT개발-어플리케이션 분석/설계/개발-솔루션기반(CRM)</v>
          </cell>
          <cell r="C33" t="str">
            <v>Anl/Dsn/Dev-S-based(CRM)-Dev</v>
          </cell>
        </row>
        <row r="34">
          <cell r="B34" t="str">
            <v>IT개발-어플리케이션 분석/설계/개발-솔루션기반(DW)</v>
          </cell>
          <cell r="C34" t="str">
            <v>Anl/Dsn/Dev-S-based(DW)-Dev</v>
          </cell>
        </row>
        <row r="35">
          <cell r="B35" t="str">
            <v>IT개발-어플리케이션 분석/설계/개발-솔루션기반(EAI)</v>
          </cell>
          <cell r="C35" t="str">
            <v>Anl/Dsn/Dev-S-based(EAI)-Dev</v>
          </cell>
        </row>
        <row r="36">
          <cell r="B36" t="str">
            <v>IT개발-어플리케이션 분석/설계/개발-솔루션기반(ECM)</v>
          </cell>
          <cell r="C36" t="str">
            <v>Anl/Dsn/Dev-S-based(ECM)-Dev</v>
          </cell>
        </row>
        <row r="37">
          <cell r="B37" t="str">
            <v>IT개발-어플리케이션 분석/설계/개발-솔루션기반(EP)</v>
          </cell>
          <cell r="C37" t="str">
            <v>Anl/Dsn/Dev-S-based(EP)-Dev</v>
          </cell>
        </row>
        <row r="38">
          <cell r="B38" t="str">
            <v>IT개발-어플리케이션 분석/설계/개발-솔루션기반(MES-일반)</v>
          </cell>
          <cell r="C38" t="str">
            <v>Anl/Dsn/Dev-S-based(MES-Normal)-Dev</v>
          </cell>
        </row>
        <row r="39">
          <cell r="B39" t="str">
            <v>IT개발-어플리케이션 분석/설계/개발-솔루션기반(MES-특수)</v>
          </cell>
          <cell r="C39" t="str">
            <v>Anl/Dsn/Dev-S-based(MES-Special)-Dev</v>
          </cell>
        </row>
        <row r="40">
          <cell r="B40" t="str">
            <v>IT개발-어플리케이션 분석/설계/개발-솔루션기반(MES-자체)</v>
          </cell>
          <cell r="C40" t="str">
            <v>Anl/Dsn/Dev-S-based(MES-MIRACOM)-Dev</v>
          </cell>
        </row>
        <row r="41">
          <cell r="B41" t="str">
            <v>IT개발-어플리케이션 분석/설계/개발-솔루션기반(MS솔루션)</v>
          </cell>
          <cell r="C41" t="str">
            <v>Anl/Dsn/Dev-S-based(MS Solution)-Dev</v>
          </cell>
        </row>
        <row r="42">
          <cell r="B42" t="str">
            <v>IT개발-어플리케이션 분석/설계/개발-솔루션기반(PLM)</v>
          </cell>
          <cell r="C42" t="str">
            <v>Anl/Dsn/Dev-S-based(PLM)-Dev</v>
          </cell>
        </row>
        <row r="43">
          <cell r="B43" t="str">
            <v>IT개발-어플리케이션 분석/설계/개발-솔루션기반(SCM-일반)</v>
          </cell>
          <cell r="C43" t="str">
            <v>Anl/Dsn/Dev-S-based(SCM-Normal)-Dev</v>
          </cell>
        </row>
        <row r="44">
          <cell r="B44" t="str">
            <v>IT개발-어플리케이션 분석/설계/개발-솔루션기반(SCM-특수)</v>
          </cell>
          <cell r="C44" t="str">
            <v>Anl/Dsn/Dev-S-based(SCM-Special)-Dev</v>
          </cell>
        </row>
        <row r="45">
          <cell r="B45" t="str">
            <v>IT개발-어플리케이션 분석/설계/개발-솔루션기반(UI/UX-일반)</v>
          </cell>
          <cell r="C45" t="str">
            <v>Anl/Dsn/Dev-S-based(UI/UX-Normal)-UX/UI(Plan)</v>
          </cell>
        </row>
        <row r="46">
          <cell r="B46" t="str">
            <v>IT개발-어플리케이션 분석/설계/개발-솔루션기반(UI/UX-특수)</v>
          </cell>
          <cell r="C46" t="str">
            <v>Anl/Dsn/Dev-S-based(UI/UX-Special)-UX/UI(Plan)</v>
          </cell>
        </row>
        <row r="47">
          <cell r="B47" t="str">
            <v>IT개발-어플리케이션 분석/설계/개발-솔루션기반(UI/UX-전략/기획)</v>
          </cell>
          <cell r="C47" t="str">
            <v>Anl/Dsn/Dev-S-based(UI/UX-Strategy/Planning)-UX/UI(Plan)</v>
          </cell>
        </row>
        <row r="48">
          <cell r="B48" t="str">
            <v>IT개발-어플리케이션 분석/설계/개발-솔루션기반(설비제어)</v>
          </cell>
          <cell r="C48" t="str">
            <v>Anl/Dsn/Dev-S-based(EC)-Dev</v>
          </cell>
        </row>
        <row r="49">
          <cell r="B49" t="str">
            <v>IT개발-어플리케이션 분석/설계/개발-솔루션기반(전자상거래-web)</v>
          </cell>
          <cell r="C49" t="str">
            <v>Anl/Dsn/Dev-S-based(E comm-web)-Dev</v>
          </cell>
        </row>
        <row r="50">
          <cell r="B50" t="str">
            <v>IT개발-어플리케이션 분석/설계/개발-솔루션기반(전자상거래-Mobile wallet)</v>
          </cell>
          <cell r="C50" t="str">
            <v>Anl/Dsn/Dev-S-based(E comm-MW)-Dev</v>
          </cell>
        </row>
        <row r="51">
          <cell r="B51" t="str">
            <v>IT개발-어플리케이션 분석/설계/개발-솔루션기반(에너지/환경)</v>
          </cell>
          <cell r="C51" t="str">
            <v>Anl/Dsn/Dev-S-based(Energy/Envt)-Dev</v>
          </cell>
        </row>
        <row r="52">
          <cell r="B52" t="str">
            <v>IT개발-어플리케이션 분석/설계/개발-솔루션기반(검색엔진)</v>
          </cell>
          <cell r="C52" t="str">
            <v>Anl/Dsn/Dev-S-based(SE)-Dev</v>
          </cell>
        </row>
        <row r="53">
          <cell r="B53" t="str">
            <v>IT개발-어플리케이션 분석/설계/개발-솔루션기반(OS-자체)</v>
          </cell>
          <cell r="C53" t="str">
            <v>Anl/Dsn/Dev-S-based(OS-SCOREco.)-Dev</v>
          </cell>
        </row>
        <row r="54">
          <cell r="B54" t="str">
            <v>IT개발-어플리케이션 분석/설계/개발-솔루션기반(기타)</v>
          </cell>
          <cell r="C54" t="str">
            <v>Anl/Dsn/Dev-S-based(Etc.)-Dev</v>
          </cell>
        </row>
        <row r="55">
          <cell r="B55" t="str">
            <v>IT개발-어플리케이션 분석/설계/개발-SIE설치/시공(IBS/SMART-CITY/U-Media)</v>
          </cell>
          <cell r="C55" t="str">
            <v>SIE Dsn/Dev-I/C(IBS/S-CITY/U-M)-Dev</v>
          </cell>
        </row>
        <row r="56">
          <cell r="B56" t="str">
            <v>IT개발-어플리케이션 분석/설계/개발-SIE시스템설계</v>
          </cell>
          <cell r="C56" t="str">
            <v>SIE Dsn/Dev-System Design-Dev</v>
          </cell>
        </row>
        <row r="57">
          <cell r="B57" t="str">
            <v>IT개발-어플리케이션 분석/설계/개발-SIE엔지니어링설계</v>
          </cell>
          <cell r="C57" t="str">
            <v>SIE Dsn/Dev-Engineering Design-Dev</v>
          </cell>
        </row>
        <row r="58">
          <cell r="B58" t="str">
            <v>IT개발-어플리케이션 분석/설계/개발-SIE프로젝트 관리(IBS/SMART-CITY/U-Media)</v>
          </cell>
          <cell r="C58" t="str">
            <v>SIE Dsn/Dev-PJT Mgmt(IBS/S-CITY/U-M)-Dev</v>
          </cell>
        </row>
        <row r="59">
          <cell r="B59" t="str">
            <v>IT개발-어플리케이션 분석/설계/개발-SIE현장관리(공무/안전)</v>
          </cell>
          <cell r="C59" t="str">
            <v>SIE Dsn/Dev-On Site(OD/Safety)-Dev</v>
          </cell>
        </row>
        <row r="60">
          <cell r="B60" t="str">
            <v>IT운영-어플리케이션개선/운영(ICTO)-ABAP</v>
          </cell>
          <cell r="C60" t="str">
            <v>Improvement/Operation(ICTO)-ABAP-O&amp;M</v>
          </cell>
        </row>
        <row r="61">
          <cell r="B61" t="str">
            <v>IT운영-어플리케이션개선/운영(ICTO)-ABAP(모듈)</v>
          </cell>
          <cell r="C61" t="str">
            <v>Impv/Opr(ICTO)-ABAP(Module)-O&amp;M</v>
          </cell>
        </row>
        <row r="62">
          <cell r="B62" t="str">
            <v>IT운영-어플리케이션개선/운영(ICTO)-C/C++</v>
          </cell>
          <cell r="C62" t="str">
            <v>Impv/Opr(ICTO)-C/C++-O&amp;M</v>
          </cell>
        </row>
        <row r="63">
          <cell r="B63" t="str">
            <v>IT운영-어플리케이션개선/운영(ICTO)-JAVA</v>
          </cell>
          <cell r="C63" t="str">
            <v>Improvement/Operation(ICTO)-JAVA-O&amp;M</v>
          </cell>
        </row>
        <row r="64">
          <cell r="B64" t="str">
            <v>IT운영-어플리케이션개선/운영(ICTO)-범용기술(자체)</v>
          </cell>
          <cell r="C64" t="str">
            <v>Impv/Opr(ICTO)-JAVA(OTS)-O&amp;M</v>
          </cell>
        </row>
        <row r="65">
          <cell r="B65" t="str">
            <v>IT운영-어플리케이션개선/운영(ICTO)-Power Builder/Delphi</v>
          </cell>
          <cell r="C65" t="str">
            <v>Impv/Opr(ICTO)-PB/Delphi-O&amp;M</v>
          </cell>
        </row>
        <row r="66">
          <cell r="B66" t="str">
            <v>IT운영-어플리케이션개선/운영(ICTO)-MES(자체)</v>
          </cell>
          <cell r="C66" t="str">
            <v>Impv/Opr(ICTO)-MES(MIRACOM)-O&amp;M</v>
          </cell>
        </row>
        <row r="67">
          <cell r="B67" t="str">
            <v>IT운영-어플리케이션개선/운영(ICTO)-웹디자인</v>
          </cell>
          <cell r="C67" t="str">
            <v>Impv/Opr(ICTO)-Web Design-O&amp;M</v>
          </cell>
        </row>
        <row r="68">
          <cell r="B68" t="str">
            <v>IT운영-어플리케이션개선/운영(ICTO)-Handicap(IT부문)</v>
          </cell>
          <cell r="C68" t="str">
            <v>Impv/Opr(ICTO)-OH(IT Field)-O&amp;M</v>
          </cell>
        </row>
        <row r="69">
          <cell r="B69" t="str">
            <v>IT운영-어플리케이션개선/운영(ICTO)-기타</v>
          </cell>
          <cell r="C69" t="str">
            <v>Improvement/Operation(ICTO)-Etc.-O&amp;M</v>
          </cell>
        </row>
        <row r="70">
          <cell r="B70" t="str">
            <v>인프라-DB관리-DBA</v>
          </cell>
          <cell r="C70" t="str">
            <v>DB Management-DBA-O&amp;M</v>
          </cell>
        </row>
        <row r="71">
          <cell r="B71" t="str">
            <v>인프라-DB관리-기타</v>
          </cell>
          <cell r="C71" t="str">
            <v>DB Management-Etc.-O&amp;M</v>
          </cell>
        </row>
        <row r="72">
          <cell r="B72" t="str">
            <v>인프라-서버관리-서버관리</v>
          </cell>
          <cell r="C72" t="str">
            <v>Server Management-Server Management-O&amp;M</v>
          </cell>
        </row>
        <row r="73">
          <cell r="B73" t="str">
            <v>인프라-서버관리-기타</v>
          </cell>
          <cell r="C73" t="str">
            <v>Server Management-Etc.-O&amp;M</v>
          </cell>
        </row>
        <row r="74">
          <cell r="B74" t="str">
            <v>인프라-시스템오퍼레이션-OP</v>
          </cell>
          <cell r="C74" t="str">
            <v>System Operation-OP-O&amp;M</v>
          </cell>
        </row>
        <row r="75">
          <cell r="B75" t="str">
            <v>인프라-시스템오퍼레이션-SP</v>
          </cell>
          <cell r="C75" t="str">
            <v>System Operation-SP-O&amp;M</v>
          </cell>
        </row>
        <row r="76">
          <cell r="B76" t="str">
            <v>인프라-정보보호-보안솔루션 튜닝/커스터마이징</v>
          </cell>
          <cell r="C76" t="str">
            <v>Info Protection-Secu Solution T/C-O&amp;M</v>
          </cell>
        </row>
        <row r="77">
          <cell r="B77" t="str">
            <v>인프라-통신망관리-컨택센터운영</v>
          </cell>
          <cell r="C77" t="str">
            <v>Net Maint-Operating Contact Center-O&amp;M</v>
          </cell>
        </row>
        <row r="78">
          <cell r="B78" t="str">
            <v>인프라-통신망관리-통신거점운영</v>
          </cell>
          <cell r="C78" t="str">
            <v>Net Maint-OC Base-O&amp;M</v>
          </cell>
        </row>
        <row r="79">
          <cell r="B79" t="str">
            <v>인프라-통신망관리-설비운영(NW)</v>
          </cell>
          <cell r="C79" t="str">
            <v>Net Maint-Equip Operation(NW)-O&amp;M</v>
          </cell>
        </row>
        <row r="80">
          <cell r="B80" t="str">
            <v>인프라-통신망관리-기타</v>
          </cell>
          <cell r="C80" t="str">
            <v>Network Maintenance-Etc.-O&amp;M</v>
          </cell>
        </row>
        <row r="81">
          <cell r="B81" t="str">
            <v>경영지원-총무-보안용역</v>
          </cell>
          <cell r="C81" t="str">
            <v>General Affairs-Security Service-Assis</v>
          </cell>
        </row>
        <row r="82">
          <cell r="B82" t="str">
            <v>경영지원-총무-교육운영</v>
          </cell>
          <cell r="C82" t="str">
            <v>General Affairs-Education Operation-Assis</v>
          </cell>
        </row>
        <row r="83">
          <cell r="B83" t="str">
            <v>경영지원-총무-제안디자인</v>
          </cell>
          <cell r="C83" t="str">
            <v>General Affairs-Proposal Design-Assis</v>
          </cell>
        </row>
        <row r="84">
          <cell r="B84" t="str">
            <v>경영지원-총무-서비스데스크</v>
          </cell>
          <cell r="C84" t="str">
            <v>General Affairs-Service Desk-Assis</v>
          </cell>
        </row>
        <row r="85">
          <cell r="B85" t="str">
            <v>경영지원-총무-서비스데스크(외국어)</v>
          </cell>
          <cell r="C85" t="str">
            <v>Gen-Aff-Service Desk(Foreign Lang)-Assis</v>
          </cell>
        </row>
        <row r="86">
          <cell r="B86" t="str">
            <v>경영지원-총무-통합서비스</v>
          </cell>
          <cell r="C86" t="str">
            <v>General Affairs-Integrated Service-Assis</v>
          </cell>
        </row>
        <row r="87">
          <cell r="B87" t="str">
            <v>경영지원-총무-번역(영문)</v>
          </cell>
          <cell r="C87" t="str">
            <v>Gen-Aff-Translation(English)-Trans</v>
          </cell>
        </row>
        <row r="88">
          <cell r="B88" t="str">
            <v>경영지원-총무-Handicap(비IT부문)</v>
          </cell>
          <cell r="C88" t="str">
            <v>Gen-Aff-OH(Non-IT Field)-Assis</v>
          </cell>
        </row>
        <row r="89">
          <cell r="B89" t="str">
            <v>경영지원-총무-기타</v>
          </cell>
          <cell r="C89" t="str">
            <v>General Affairs-Etc.-Assis</v>
          </cell>
        </row>
      </sheetData>
      <sheetData sheetId="3">
        <row r="3">
          <cell r="B3" t="str">
            <v>특급2</v>
          </cell>
          <cell r="C3" t="str">
            <v>LEVEL7</v>
          </cell>
        </row>
        <row r="4">
          <cell r="B4" t="str">
            <v>특급1</v>
          </cell>
          <cell r="C4" t="str">
            <v>LEVEL6</v>
          </cell>
        </row>
        <row r="5">
          <cell r="B5" t="str">
            <v>고급2</v>
          </cell>
          <cell r="C5" t="str">
            <v>LEVEL5</v>
          </cell>
        </row>
        <row r="6">
          <cell r="B6" t="str">
            <v>고급1</v>
          </cell>
          <cell r="C6" t="str">
            <v>LEVEL4</v>
          </cell>
        </row>
        <row r="7">
          <cell r="B7" t="str">
            <v>중급</v>
          </cell>
          <cell r="C7" t="str">
            <v>LEVEL3</v>
          </cell>
        </row>
        <row r="8">
          <cell r="B8" t="str">
            <v>초급2</v>
          </cell>
          <cell r="C8" t="str">
            <v>LEVEL2</v>
          </cell>
        </row>
        <row r="9">
          <cell r="B9" t="str">
            <v>초급1</v>
          </cell>
          <cell r="C9" t="str">
            <v>LEVEL1</v>
          </cell>
        </row>
        <row r="10">
          <cell r="B10" t="str">
            <v>ETC</v>
          </cell>
          <cell r="C10" t="str">
            <v>LEVEL8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활동요청 인력투입계획 94"/>
      <sheetName val="참고1. L4(PSU)"/>
      <sheetName val="참고2. 등급(LEVEL)가이드"/>
    </sheetNames>
    <sheetDataSet>
      <sheetData sheetId="0" refreshError="1"/>
      <sheetData sheetId="1">
        <row r="2">
          <cell r="B2" t="str">
            <v>컨설팅-전략/ICT컨설팅-국내업체(Major)</v>
          </cell>
        </row>
        <row r="3">
          <cell r="B3" t="str">
            <v>컨설팅-전략/ICT컨설팅-국내업체(Medium/Small)</v>
          </cell>
        </row>
        <row r="4">
          <cell r="B4" t="str">
            <v>컨설팅-전략/ICT컨설팅-외산업체</v>
          </cell>
        </row>
        <row r="5">
          <cell r="B5" t="str">
            <v>컨설팅-전략/ICT컨설팅-기타</v>
          </cell>
        </row>
        <row r="6">
          <cell r="B6" t="str">
            <v>컨설팅-전략/ICT컨설팅-아키텍쳐(DA/TA/SA)</v>
          </cell>
        </row>
        <row r="7">
          <cell r="B7" t="str">
            <v>컨설팅-솔루션컨설팅-SCM</v>
          </cell>
        </row>
        <row r="8">
          <cell r="B8" t="str">
            <v>컨설팅-솔루션컨설팅-MES(자체)</v>
          </cell>
        </row>
        <row r="9">
          <cell r="B9" t="str">
            <v>컨설팅-솔루션컨설팅-ERP</v>
          </cell>
        </row>
        <row r="10">
          <cell r="B10" t="str">
            <v>컨설팅-솔루션컨설팅-CAD/PLM</v>
          </cell>
        </row>
        <row r="11">
          <cell r="B11" t="str">
            <v>컨설팅-솔루션컨설팅-BI</v>
          </cell>
        </row>
        <row r="12">
          <cell r="B12" t="str">
            <v>컨설팅-솔루션컨설팅-보안(진단)</v>
          </cell>
        </row>
        <row r="13">
          <cell r="B13" t="str">
            <v>컨설팅-솔루션컨설팅-기타</v>
          </cell>
        </row>
        <row r="14">
          <cell r="B14" t="str">
            <v>IT개발-어플리케이션 분석/설계/개발-ABAP-CoreABAP</v>
          </cell>
        </row>
        <row r="15">
          <cell r="B15" t="str">
            <v>IT개발-어플리케이션 분석/설계/개발-ABAP-특수ABAP</v>
          </cell>
        </row>
        <row r="16">
          <cell r="B16" t="str">
            <v>IT개발-어플리케이션 분석/설계/개발-ABAP-Core모듈</v>
          </cell>
        </row>
        <row r="17">
          <cell r="B17" t="str">
            <v>IT개발-어플리케이션 분석/설계/개발-ABAP-특수모듈</v>
          </cell>
        </row>
        <row r="18">
          <cell r="B18" t="str">
            <v>IT개발-어플리케이션 분석/설계/개발-JAVA</v>
          </cell>
        </row>
        <row r="19">
          <cell r="B19" t="str">
            <v>IT개발-어플리케이션 분석/설계/개발-범용기술(자체)</v>
          </cell>
        </row>
        <row r="20">
          <cell r="B20" t="str">
            <v>IT개발-어플리케이션 분석/설계/개발-C/C++</v>
          </cell>
        </row>
        <row r="21">
          <cell r="B21" t="str">
            <v>IT개발-어플리케이션 분석/설계/개발-아키텍쳐(DA/TA/SA)</v>
          </cell>
        </row>
        <row r="22">
          <cell r="B22" t="str">
            <v>IT개발-어플리케이션 분석/설계/개발-Power Builder/Delphi</v>
          </cell>
        </row>
        <row r="23">
          <cell r="B23" t="str">
            <v>IT개발-어플리케이션 분석/설계/개발-VB/ASP/C#</v>
          </cell>
        </row>
        <row r="24">
          <cell r="B24" t="str">
            <v>IT개발-어플리케이션 분석/설계/개발-웹디자인</v>
          </cell>
        </row>
        <row r="25">
          <cell r="B25" t="str">
            <v>IT개발-어플리케이션 분석/설계/개발-테스트(일반)</v>
          </cell>
        </row>
        <row r="26">
          <cell r="B26" t="str">
            <v>IT개발-어플리케이션 분석/설계/개발-모바일기반</v>
          </cell>
        </row>
        <row r="27">
          <cell r="B27" t="str">
            <v>IT개발-어플리케이션 분석/설계/개발-금융범용(turn-key)</v>
          </cell>
        </row>
        <row r="28">
          <cell r="B28" t="str">
            <v>IT개발-어플리케이션 분석/설계/개발-금융특화(turn-key)</v>
          </cell>
        </row>
        <row r="29">
          <cell r="B29" t="str">
            <v>IT개발-어플리케이션 분석/설계/개발-turn-key구축</v>
          </cell>
        </row>
        <row r="30">
          <cell r="B30" t="str">
            <v>IT개발-어플리케이션 분석/설계/개발-기타</v>
          </cell>
        </row>
        <row r="31">
          <cell r="B31" t="str">
            <v>IT개발-어플리케이션 분석/설계/개발-솔루션기반(BI)</v>
          </cell>
        </row>
        <row r="32">
          <cell r="B32" t="str">
            <v>IT개발-어플리케이션 분석/설계/개발-솔루션기반(Cax)</v>
          </cell>
        </row>
        <row r="33">
          <cell r="B33" t="str">
            <v>IT개발-어플리케이션 분석/설계/개발-솔루션기반(CRM)</v>
          </cell>
        </row>
        <row r="34">
          <cell r="B34" t="str">
            <v>IT개발-어플리케이션 분석/설계/개발-솔루션기반(DW)</v>
          </cell>
        </row>
        <row r="35">
          <cell r="B35" t="str">
            <v>IT개발-어플리케이션 분석/설계/개발-솔루션기반(EAI)</v>
          </cell>
        </row>
        <row r="36">
          <cell r="B36" t="str">
            <v>IT개발-어플리케이션 분석/설계/개발-솔루션기반(ECM)</v>
          </cell>
        </row>
        <row r="37">
          <cell r="B37" t="str">
            <v>IT개발-어플리케이션 분석/설계/개발-솔루션기반(EP)</v>
          </cell>
        </row>
        <row r="38">
          <cell r="B38" t="str">
            <v>IT개발-어플리케이션 분석/설계/개발-솔루션기반(MES-일반)</v>
          </cell>
        </row>
        <row r="39">
          <cell r="B39" t="str">
            <v>IT개발-어플리케이션 분석/설계/개발-솔루션기반(MES-특수)</v>
          </cell>
        </row>
        <row r="40">
          <cell r="B40" t="str">
            <v>IT개발-어플리케이션 분석/설계/개발-솔루션기반(MES-자체)</v>
          </cell>
        </row>
        <row r="41">
          <cell r="B41" t="str">
            <v>IT개발-어플리케이션 분석/설계/개발-솔루션기반(MS솔루션)</v>
          </cell>
        </row>
        <row r="42">
          <cell r="B42" t="str">
            <v>IT개발-어플리케이션 분석/설계/개발-솔루션기반(PLM)</v>
          </cell>
        </row>
        <row r="43">
          <cell r="B43" t="str">
            <v>IT개발-어플리케이션 분석/설계/개발-솔루션기반(SCM-일반)</v>
          </cell>
        </row>
        <row r="44">
          <cell r="B44" t="str">
            <v>IT개발-어플리케이션 분석/설계/개발-솔루션기반(SCM-특수)</v>
          </cell>
        </row>
        <row r="45">
          <cell r="B45" t="str">
            <v>IT개발-어플리케이션 분석/설계/개발-솔루션기반(UI/UX-일반)</v>
          </cell>
        </row>
        <row r="46">
          <cell r="B46" t="str">
            <v>IT개발-어플리케이션 분석/설계/개발-솔루션기반(UI/UX-특수)</v>
          </cell>
        </row>
        <row r="47">
          <cell r="B47" t="str">
            <v>IT개발-어플리케이션 분석/설계/개발-솔루션기반(UI/UX-전략/기획)</v>
          </cell>
        </row>
        <row r="48">
          <cell r="B48" t="str">
            <v>IT개발-어플리케이션 분석/설계/개발-솔루션기반(설비제어)</v>
          </cell>
        </row>
        <row r="49">
          <cell r="B49" t="str">
            <v>IT개발-어플리케이션 분석/설계/개발-솔루션기반(전자상거래-web)</v>
          </cell>
        </row>
        <row r="50">
          <cell r="B50" t="str">
            <v>IT개발-어플리케이션 분석/설계/개발-솔루션기반(전자상거래-Mobile wallet)</v>
          </cell>
        </row>
        <row r="51">
          <cell r="B51" t="str">
            <v>IT개발-어플리케이션 분석/설계/개발-솔루션기반(에너지/환경)</v>
          </cell>
        </row>
        <row r="52">
          <cell r="B52" t="str">
            <v>IT개발-어플리케이션 분석/설계/개발-솔루션기반(검색엔진)</v>
          </cell>
        </row>
        <row r="53">
          <cell r="B53" t="str">
            <v>IT개발-어플리케이션 분석/설계/개발-솔루션기반(OS-자체)</v>
          </cell>
        </row>
        <row r="54">
          <cell r="B54" t="str">
            <v>IT개발-어플리케이션 분석/설계/개발-솔루션기반(기타)</v>
          </cell>
        </row>
        <row r="55">
          <cell r="B55" t="str">
            <v>IT개발-어플리케이션 분석/설계/개발-SIE설치/시공(IBS/SMART-CITY/U-Media)</v>
          </cell>
        </row>
        <row r="56">
          <cell r="B56" t="str">
            <v>IT개발-어플리케이션 분석/설계/개발-SIE시스템설계</v>
          </cell>
        </row>
        <row r="57">
          <cell r="B57" t="str">
            <v>IT개발-어플리케이션 분석/설계/개발-SIE엔지니어링설계</v>
          </cell>
        </row>
        <row r="58">
          <cell r="B58" t="str">
            <v>IT개발-어플리케이션 분석/설계/개발-SIE프로젝트 관리(IBS/SMART-CITY/U-Media)</v>
          </cell>
        </row>
        <row r="59">
          <cell r="B59" t="str">
            <v>IT개발-어플리케이션 분석/설계/개발-SIE현장관리(공무/안전)</v>
          </cell>
        </row>
        <row r="60">
          <cell r="B60" t="str">
            <v>IT운영-어플리케이션개선/운영(ICTO)-ABAP</v>
          </cell>
        </row>
        <row r="61">
          <cell r="B61" t="str">
            <v>IT운영-어플리케이션개선/운영(ICTO)-ABAP(모듈)</v>
          </cell>
        </row>
        <row r="62">
          <cell r="B62" t="str">
            <v>IT운영-어플리케이션개선/운영(ICTO)-C/C++</v>
          </cell>
        </row>
        <row r="63">
          <cell r="B63" t="str">
            <v>IT운영-어플리케이션개선/운영(ICTO)-JAVA</v>
          </cell>
        </row>
        <row r="64">
          <cell r="B64" t="str">
            <v>IT운영-어플리케이션개선/운영(ICTO)-범용기술(자체)</v>
          </cell>
        </row>
        <row r="65">
          <cell r="B65" t="str">
            <v>IT운영-어플리케이션개선/운영(ICTO)-Power Builder/Delphi</v>
          </cell>
        </row>
        <row r="66">
          <cell r="B66" t="str">
            <v>IT운영-어플리케이션개선/운영(ICTO)-MES(자체)</v>
          </cell>
        </row>
        <row r="67">
          <cell r="B67" t="str">
            <v>IT운영-어플리케이션개선/운영(ICTO)-웹디자인</v>
          </cell>
        </row>
        <row r="68">
          <cell r="B68" t="str">
            <v>IT운영-어플리케이션개선/운영(ICTO)-Handicap(IT부문)</v>
          </cell>
        </row>
        <row r="69">
          <cell r="B69" t="str">
            <v>IT운영-어플리케이션개선/운영(ICTO)-기타</v>
          </cell>
        </row>
        <row r="70">
          <cell r="B70" t="str">
            <v>인프라-DB관리-DBA</v>
          </cell>
        </row>
        <row r="71">
          <cell r="B71" t="str">
            <v>인프라-DB관리-기타</v>
          </cell>
        </row>
        <row r="72">
          <cell r="B72" t="str">
            <v>인프라-서버관리-서버관리</v>
          </cell>
        </row>
        <row r="73">
          <cell r="B73" t="str">
            <v>인프라-서버관리-기타</v>
          </cell>
        </row>
        <row r="74">
          <cell r="B74" t="str">
            <v>인프라-시스템오퍼레이션-OP</v>
          </cell>
        </row>
        <row r="75">
          <cell r="B75" t="str">
            <v>인프라-시스템오퍼레이션-SP</v>
          </cell>
        </row>
        <row r="76">
          <cell r="B76" t="str">
            <v>인프라-정보보호-보안솔루션 튜닝/커스터마이징</v>
          </cell>
        </row>
        <row r="77">
          <cell r="B77" t="str">
            <v>인프라-통신망관리-컨택센터운영</v>
          </cell>
        </row>
        <row r="78">
          <cell r="B78" t="str">
            <v>인프라-통신망관리-통신거점운영</v>
          </cell>
        </row>
        <row r="79">
          <cell r="B79" t="str">
            <v>인프라-통신망관리-설비운영(NW)</v>
          </cell>
        </row>
        <row r="80">
          <cell r="B80" t="str">
            <v>인프라-통신망관리-기타</v>
          </cell>
        </row>
        <row r="81">
          <cell r="B81" t="str">
            <v>경영지원-총무-보안용역</v>
          </cell>
        </row>
        <row r="82">
          <cell r="B82" t="str">
            <v>경영지원-총무-교육운영</v>
          </cell>
        </row>
        <row r="83">
          <cell r="B83" t="str">
            <v>경영지원-총무-제안디자인</v>
          </cell>
        </row>
        <row r="84">
          <cell r="B84" t="str">
            <v>경영지원-총무-서비스데스크</v>
          </cell>
        </row>
        <row r="85">
          <cell r="B85" t="str">
            <v>경영지원-총무-서비스데스크(외국어)</v>
          </cell>
        </row>
        <row r="86">
          <cell r="B86" t="str">
            <v>경영지원-총무-통합서비스</v>
          </cell>
        </row>
        <row r="87">
          <cell r="B87" t="str">
            <v>경영지원-총무-번역(영문)</v>
          </cell>
        </row>
        <row r="88">
          <cell r="B88" t="str">
            <v>경영지원-총무-Handicap(비IT부문)</v>
          </cell>
        </row>
        <row r="89">
          <cell r="B89" t="str">
            <v>경영지원-총무-기타</v>
          </cell>
        </row>
      </sheetData>
      <sheetData sheetId="2">
        <row r="3">
          <cell r="B3" t="str">
            <v>특급2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단가2011"/>
      <sheetName val="사전원가지표201012"/>
      <sheetName val="사전원가지표201110"/>
      <sheetName val="사전원가지표201107"/>
      <sheetName val="이름정의"/>
      <sheetName val="인건비단가201004"/>
      <sheetName val="인건비단가201012"/>
      <sheetName val="인건비단가201104"/>
      <sheetName val="서브시스템일괄조회"/>
      <sheetName val="WBS모델총괄표"/>
      <sheetName val="경비가이드"/>
      <sheetName val="경비기준금액"/>
      <sheetName val="유사사업_DB"/>
      <sheetName val="모델방식선택"/>
      <sheetName val="위험비용"/>
      <sheetName val="기본정보설정"/>
      <sheetName val="도움말"/>
      <sheetName val="메인"/>
      <sheetName val="경쟁입찰 시뮬레이션"/>
      <sheetName val="가격점수표"/>
      <sheetName val="서브시스템등급비율편성"/>
      <sheetName val="서비스셀"/>
      <sheetName val="허들"/>
      <sheetName val="투입인력계획_원본"/>
      <sheetName val="경비가이드_임차료"/>
      <sheetName val="경비가이드_출장기준"/>
      <sheetName val="경비가이드_외주비"/>
      <sheetName val="업종베이스라인"/>
      <sheetName val="Size 유사사업참조"/>
      <sheetName val="서브시스템정보설정"/>
      <sheetName val="투입인력계획_1"/>
      <sheetName val="원가총괄표"/>
      <sheetName val="원가총괄표_업체별"/>
      <sheetName val="업무기준정보"/>
      <sheetName val="SIZE 서브시스템_원본"/>
      <sheetName val="예상공수조회"/>
      <sheetName val="Size모델총괄표"/>
      <sheetName val="산출내역서_원본"/>
      <sheetName val="산정_원본"/>
      <sheetName val="손익요약"/>
      <sheetName val="데이터_1"/>
      <sheetName val="데이터_2"/>
      <sheetName val="데이터_3"/>
      <sheetName val="자사인건비조회_1"/>
      <sheetName val="자사인건비조회_2"/>
      <sheetName val="자사인건비조회_3"/>
      <sheetName val="SDS정규인력투입_1"/>
      <sheetName val="SDS정규인력투입_2"/>
      <sheetName val="SDS정규인력투입_3"/>
      <sheetName val="외주인건비조회_1"/>
      <sheetName val="외주인건비조회_2"/>
      <sheetName val="외주인건비조회_3"/>
      <sheetName val="MM외주_상세_1"/>
      <sheetName val="MM외주_상세_2"/>
      <sheetName val="MM외주_상세_3"/>
      <sheetName val="재료비_상세"/>
      <sheetName val="재료비_상세_1"/>
      <sheetName val="재료비_상세_2"/>
      <sheetName val="재료비_상세_3"/>
      <sheetName val="경비산정"/>
      <sheetName val="경비산정_1"/>
      <sheetName val="경비산정_2"/>
      <sheetName val="경비산정_3"/>
      <sheetName val="행사비_1"/>
      <sheetName val="행사비_2"/>
      <sheetName val="행사비_3"/>
      <sheetName val="국내출장비_1"/>
      <sheetName val="국내출장비_2"/>
      <sheetName val="국내출장비_3"/>
      <sheetName val="해외출장비_1"/>
      <sheetName val="해외출장비_2"/>
      <sheetName val="해외출장비_3"/>
      <sheetName val="PJT파견비_1"/>
      <sheetName val="PJT파견비_2"/>
      <sheetName val="PJT파견비_3"/>
      <sheetName val="기타임차료_1"/>
      <sheetName val="기타임차료_2"/>
      <sheetName val="기타임차료_3"/>
      <sheetName val="MM연동경비_1"/>
      <sheetName val="MM연동경비_2"/>
      <sheetName val="MM연동경비_3"/>
      <sheetName val="SIE성경비_1"/>
      <sheetName val="SIE성경비_2"/>
      <sheetName val="SIE성경비_3"/>
      <sheetName val="손익계산서"/>
      <sheetName val="손익계산서_Master"/>
      <sheetName val="손익계산서_Total"/>
      <sheetName val="부서정보정의"/>
      <sheetName val="사전원가지표201202"/>
      <sheetName val="삼성화재 중국법인_통합견적툴_CE용_20120320"/>
    </sheetNames>
    <sheetDataSet>
      <sheetData sheetId="0"/>
      <sheetData sheetId="1"/>
      <sheetData sheetId="2"/>
      <sheetData sheetId="3"/>
      <sheetData sheetId="4">
        <row r="116">
          <cell r="D116" t="str">
            <v>전략컨설팅</v>
          </cell>
          <cell r="G116" t="str">
            <v>L1</v>
          </cell>
        </row>
        <row r="117">
          <cell r="D117" t="str">
            <v>프로세스컨설팅</v>
          </cell>
          <cell r="G117" t="str">
            <v>L2</v>
          </cell>
        </row>
        <row r="118">
          <cell r="D118" t="str">
            <v>솔루션컨설팅</v>
          </cell>
          <cell r="G118" t="str">
            <v>L3</v>
          </cell>
        </row>
        <row r="119">
          <cell r="D119" t="str">
            <v>ICT컨설팅</v>
          </cell>
          <cell r="G119" t="str">
            <v>L4</v>
          </cell>
        </row>
        <row r="120">
          <cell r="D120" t="str">
            <v>교육서비스</v>
          </cell>
          <cell r="G120" t="str">
            <v>L5</v>
          </cell>
        </row>
        <row r="121">
          <cell r="D121" t="str">
            <v>비즈니스아키텍처</v>
          </cell>
        </row>
        <row r="122">
          <cell r="D122" t="str">
            <v>소프트웨어아키텍처</v>
          </cell>
        </row>
        <row r="123">
          <cell r="D123" t="str">
            <v>데이터아키텍처</v>
          </cell>
        </row>
        <row r="124">
          <cell r="D124" t="str">
            <v>테크니컬아키텍처</v>
          </cell>
        </row>
        <row r="125">
          <cell r="D125" t="str">
            <v>인프라아키텍처</v>
          </cell>
        </row>
        <row r="126">
          <cell r="D126" t="str">
            <v>프로젝트관리</v>
          </cell>
        </row>
        <row r="127">
          <cell r="D127" t="str">
            <v>프로젝트사업관리</v>
          </cell>
        </row>
        <row r="128">
          <cell r="D128" t="str">
            <v>품질관리</v>
          </cell>
        </row>
        <row r="129">
          <cell r="D129" t="str">
            <v>ITO프로세스관리</v>
          </cell>
        </row>
        <row r="130">
          <cell r="D130" t="str">
            <v>기술기획</v>
          </cell>
        </row>
        <row r="131">
          <cell r="D131" t="str">
            <v>정보보호</v>
          </cell>
        </row>
        <row r="132">
          <cell r="D132" t="str">
            <v>비즈니스시스템분석</v>
          </cell>
        </row>
        <row r="133">
          <cell r="D133" t="str">
            <v>어플리케이션 설계/개발</v>
          </cell>
        </row>
        <row r="134">
          <cell r="D134" t="str">
            <v>연구개발</v>
          </cell>
        </row>
        <row r="135">
          <cell r="D135" t="str">
            <v>솔루션개발</v>
          </cell>
        </row>
        <row r="136">
          <cell r="D136" t="str">
            <v>SIE시스템 설계/개발</v>
          </cell>
        </row>
        <row r="137">
          <cell r="D137" t="str">
            <v>EO 설계/개발</v>
          </cell>
        </row>
        <row r="138">
          <cell r="D138" t="str">
            <v>UX디자인</v>
          </cell>
        </row>
        <row r="139">
          <cell r="D139" t="str">
            <v>업종전문기술</v>
          </cell>
        </row>
        <row r="140">
          <cell r="D140" t="str">
            <v>어플리케이션 개선/운영</v>
          </cell>
        </row>
        <row r="141">
          <cell r="D141" t="str">
            <v>비즈니스서비스분석</v>
          </cell>
        </row>
        <row r="142">
          <cell r="D142" t="str">
            <v>서버관리</v>
          </cell>
        </row>
        <row r="143">
          <cell r="D143" t="str">
            <v>DB관리</v>
          </cell>
        </row>
        <row r="144">
          <cell r="D144" t="str">
            <v>통신망관리</v>
          </cell>
        </row>
        <row r="145">
          <cell r="D145" t="str">
            <v>보안관리</v>
          </cell>
        </row>
        <row r="146">
          <cell r="D146" t="str">
            <v>센터운영관리</v>
          </cell>
        </row>
        <row r="147">
          <cell r="D147" t="str">
            <v>통신서비스엔지니어링</v>
          </cell>
        </row>
        <row r="148">
          <cell r="D148" t="str">
            <v>통신기술엔지니어링</v>
          </cell>
        </row>
        <row r="149">
          <cell r="D149" t="str">
            <v>응용서비스 설계/개발</v>
          </cell>
        </row>
        <row r="150">
          <cell r="D150" t="str">
            <v>수주영업</v>
          </cell>
        </row>
        <row r="151">
          <cell r="D151" t="str">
            <v>패키지영업</v>
          </cell>
        </row>
        <row r="152">
          <cell r="D152" t="str">
            <v>서비스영업</v>
          </cell>
        </row>
        <row r="153">
          <cell r="D153" t="str">
            <v>마케팅</v>
          </cell>
        </row>
        <row r="154">
          <cell r="D154" t="str">
            <v>서비스기획</v>
          </cell>
        </row>
        <row r="155">
          <cell r="D155" t="str">
            <v>기획</v>
          </cell>
        </row>
        <row r="156">
          <cell r="D156" t="str">
            <v>재무</v>
          </cell>
        </row>
        <row r="157">
          <cell r="D157" t="str">
            <v>인사/교육</v>
          </cell>
        </row>
        <row r="158">
          <cell r="D158" t="str">
            <v>구매</v>
          </cell>
        </row>
        <row r="159">
          <cell r="D159" t="str">
            <v>홍보</v>
          </cell>
        </row>
        <row r="160">
          <cell r="D160" t="str">
            <v>지식경영</v>
          </cell>
        </row>
        <row r="161">
          <cell r="D161" t="str">
            <v>법무</v>
          </cell>
        </row>
        <row r="162">
          <cell r="D162" t="str">
            <v>감사</v>
          </cell>
        </row>
        <row r="163">
          <cell r="D163" t="str">
            <v>총무</v>
          </cell>
        </row>
        <row r="229">
          <cell r="E229" t="str">
            <v>특급</v>
          </cell>
          <cell r="G229" t="str">
            <v>SDS</v>
          </cell>
        </row>
        <row r="230">
          <cell r="E230" t="str">
            <v>고급</v>
          </cell>
          <cell r="G230" t="str">
            <v>외주</v>
          </cell>
        </row>
        <row r="231">
          <cell r="E231" t="str">
            <v>중급상</v>
          </cell>
        </row>
        <row r="232">
          <cell r="E232" t="str">
            <v>중급하</v>
          </cell>
        </row>
        <row r="233">
          <cell r="E233" t="str">
            <v>초급상</v>
          </cell>
        </row>
        <row r="234">
          <cell r="E234" t="str">
            <v>초급중</v>
          </cell>
        </row>
        <row r="235">
          <cell r="E235" t="str">
            <v>초급하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2" t="str">
            <v>BI/CRM</v>
          </cell>
        </row>
        <row r="3">
          <cell r="C3" t="str">
            <v>ERP</v>
          </cell>
        </row>
        <row r="4">
          <cell r="C4" t="str">
            <v>EP</v>
          </cell>
        </row>
        <row r="5">
          <cell r="C5" t="str">
            <v>SCM</v>
          </cell>
        </row>
        <row r="6">
          <cell r="C6" t="str">
            <v>IBS</v>
          </cell>
        </row>
        <row r="7">
          <cell r="C7" t="str">
            <v>MAXIGENT</v>
          </cell>
        </row>
        <row r="8">
          <cell r="C8" t="str">
            <v>u-Media</v>
          </cell>
        </row>
        <row r="9">
          <cell r="C9" t="str">
            <v>PDSS</v>
          </cell>
        </row>
        <row r="10">
          <cell r="C10" t="str">
            <v>기업교육BPO</v>
          </cell>
        </row>
        <row r="11">
          <cell r="C11" t="str">
            <v>데이터센터</v>
          </cell>
        </row>
        <row r="12">
          <cell r="C12" t="str">
            <v>NI</v>
          </cell>
        </row>
        <row r="13">
          <cell r="C13" t="str">
            <v>ITS</v>
          </cell>
        </row>
        <row r="14">
          <cell r="C14" t="str">
            <v>공항/항만</v>
          </cell>
        </row>
        <row r="15">
          <cell r="C15" t="str">
            <v>철도신호/통신</v>
          </cell>
        </row>
        <row r="16">
          <cell r="C16" t="str">
            <v>MES</v>
          </cell>
        </row>
        <row r="17">
          <cell r="C17" t="str">
            <v>PLM</v>
          </cell>
        </row>
        <row r="18">
          <cell r="C18" t="str">
            <v>환경</v>
          </cell>
        </row>
        <row r="19">
          <cell r="C19" t="str">
            <v>SmartCity</v>
          </cell>
        </row>
        <row r="20">
          <cell r="C20" t="str">
            <v>ESDM</v>
          </cell>
        </row>
        <row r="21">
          <cell r="C21" t="str">
            <v>mySingle</v>
          </cell>
        </row>
        <row r="22">
          <cell r="C22" t="str">
            <v>통합보안</v>
          </cell>
        </row>
        <row r="23">
          <cell r="C23" t="str">
            <v>설비제어</v>
          </cell>
        </row>
        <row r="24">
          <cell r="C24" t="str">
            <v>철도AFC</v>
          </cell>
        </row>
        <row r="25">
          <cell r="C25" t="str">
            <v>EMS</v>
          </cell>
        </row>
        <row r="26">
          <cell r="C26" t="str">
            <v>App. ITO-공공</v>
          </cell>
        </row>
        <row r="27">
          <cell r="C27" t="str">
            <v>App. ITO-금융</v>
          </cell>
        </row>
        <row r="28">
          <cell r="C28" t="str">
            <v>App. ITO-전자</v>
          </cell>
        </row>
        <row r="29">
          <cell r="C29" t="str">
            <v>App. ITO-제조서비스</v>
          </cell>
        </row>
        <row r="30">
          <cell r="C30" t="str">
            <v>BLM</v>
          </cell>
        </row>
        <row r="31">
          <cell r="C31" t="str">
            <v>Biz컨설팅-공공</v>
          </cell>
        </row>
        <row r="32">
          <cell r="C32" t="str">
            <v>Biz컨설팅-금융</v>
          </cell>
        </row>
        <row r="33">
          <cell r="C33" t="str">
            <v>Biz컨설팅-하이테크</v>
          </cell>
        </row>
        <row r="34">
          <cell r="C34" t="str">
            <v>클라우드</v>
          </cell>
        </row>
        <row r="35">
          <cell r="C35" t="str">
            <v>업종기반SI-공공</v>
          </cell>
        </row>
        <row r="36">
          <cell r="C36" t="str">
            <v>업종기반SI-국방</v>
          </cell>
        </row>
        <row r="37">
          <cell r="C37" t="str">
            <v>업종기반SI-금융</v>
          </cell>
        </row>
        <row r="38">
          <cell r="C38" t="str">
            <v>업종기반SI-전자</v>
          </cell>
        </row>
        <row r="39">
          <cell r="C39" t="str">
            <v>업종기반SI-제조서비스</v>
          </cell>
        </row>
        <row r="40">
          <cell r="C40" t="str">
            <v>IMS</v>
          </cell>
        </row>
        <row r="41">
          <cell r="C41" t="str">
            <v>국제운송BPO</v>
          </cell>
        </row>
        <row r="42">
          <cell r="C42" t="str">
            <v>로컬운송BPO</v>
          </cell>
        </row>
        <row r="43">
          <cell r="C43" t="str">
            <v>창고운영BPO</v>
          </cell>
        </row>
        <row r="44">
          <cell r="C44" t="str">
            <v>기타</v>
          </cell>
        </row>
        <row r="45">
          <cell r="C45" t="str">
            <v>Customer Care BPO</v>
          </cell>
        </row>
        <row r="46">
          <cell r="C46" t="str">
            <v>네트워크서비스</v>
          </cell>
        </row>
        <row r="47">
          <cell r="C47" t="str">
            <v>통신망관리</v>
          </cell>
        </row>
        <row r="48">
          <cell r="C48" t="str">
            <v>UC응용</v>
          </cell>
        </row>
        <row r="49">
          <cell r="C49" t="str">
            <v>텔레포니</v>
          </cell>
        </row>
        <row r="50">
          <cell r="C50" t="str">
            <v>SOA</v>
          </cell>
        </row>
        <row r="51">
          <cell r="C51" t="str">
            <v>웹비즈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경비산정★"/>
      <sheetName val="기준자료"/>
      <sheetName val="감가상각비"/>
      <sheetName val="나라구분"/>
      <sheetName val="KOTRA정보"/>
      <sheetName val="위험"/>
      <sheetName val="경비국내가이드"/>
      <sheetName val="경비해외가이드"/>
      <sheetName val="국내출장비"/>
      <sheetName val="PJT파견비"/>
      <sheetName val="해외출장비"/>
      <sheetName val="환율정보"/>
      <sheetName val="장비리스료"/>
      <sheetName val="시내교통비"/>
      <sheetName val="기타외주비"/>
      <sheetName val="사무실임차료"/>
      <sheetName val="서비스비"/>
      <sheetName val="광고선전비"/>
      <sheetName val="세금과공과"/>
      <sheetName val="도서인쇄비"/>
      <sheetName val="기술사용료"/>
      <sheetName val="보험료"/>
      <sheetName val="기타복리후생비"/>
      <sheetName val="잡비교통비"/>
      <sheetName val="비품비"/>
      <sheetName val="수도광열비"/>
      <sheetName val="소모품비"/>
      <sheetName val="교육훈련비"/>
      <sheetName val="Sheet4"/>
      <sheetName val="지급수수료"/>
      <sheetName val="운반비"/>
      <sheetName val="수선유지비"/>
      <sheetName val="통신비"/>
      <sheetName val="기타임차료"/>
      <sheetName val="차량유지비"/>
      <sheetName val="행사비"/>
      <sheetName val="요식성경비"/>
      <sheetName val="경비가이드(국내)"/>
      <sheetName val="임차지역구분"/>
      <sheetName val="Sheet2"/>
      <sheetName val="Sheet1"/>
    </sheetNames>
    <sheetDataSet>
      <sheetData sheetId="0" refreshError="1"/>
      <sheetData sheetId="1">
        <row r="8">
          <cell r="F8" t="str">
            <v>착수보고회</v>
          </cell>
          <cell r="G8" t="str">
            <v>당일행사</v>
          </cell>
          <cell r="H8" t="str">
            <v>국내PJT</v>
          </cell>
        </row>
        <row r="9">
          <cell r="F9" t="str">
            <v>중간보고회</v>
          </cell>
          <cell r="G9" t="str">
            <v>출장행사</v>
          </cell>
          <cell r="H9" t="str">
            <v>해외PJT</v>
          </cell>
        </row>
        <row r="10">
          <cell r="F10" t="str">
            <v>종료보고회</v>
          </cell>
        </row>
        <row r="11">
          <cell r="F11" t="str">
            <v>워크샵</v>
          </cell>
        </row>
        <row r="12">
          <cell r="F12" t="str">
            <v>세미나</v>
          </cell>
        </row>
        <row r="13">
          <cell r="F13" t="str">
            <v>설명회</v>
          </cell>
        </row>
        <row r="14">
          <cell r="F14" t="str">
            <v>벤치마킹</v>
          </cell>
        </row>
        <row r="15">
          <cell r="F15" t="str">
            <v>공장검수(실사)</v>
          </cell>
        </row>
        <row r="16">
          <cell r="F16" t="str">
            <v>기타행사</v>
          </cell>
        </row>
        <row r="109">
          <cell r="A109" t="str">
            <v>뉴욕</v>
          </cell>
        </row>
        <row r="110">
          <cell r="A110" t="str">
            <v>뉴저지</v>
          </cell>
        </row>
        <row r="111">
          <cell r="A111" t="str">
            <v>보스톤</v>
          </cell>
        </row>
        <row r="112">
          <cell r="A112" t="str">
            <v>산호세</v>
          </cell>
        </row>
        <row r="113">
          <cell r="A113" t="str">
            <v>워싱턴DC</v>
          </cell>
        </row>
        <row r="114">
          <cell r="A114" t="str">
            <v>모스크바</v>
          </cell>
        </row>
        <row r="115">
          <cell r="A115" t="str">
            <v>중동구지역</v>
          </cell>
        </row>
        <row r="116">
          <cell r="A116" t="str">
            <v>인도</v>
          </cell>
        </row>
        <row r="117">
          <cell r="A117" t="str">
            <v>방글라데시</v>
          </cell>
        </row>
        <row r="118">
          <cell r="A118" t="str">
            <v>기타아프리카지역</v>
          </cell>
        </row>
        <row r="119">
          <cell r="A119" t="str">
            <v>기타 미주지역, 멕시코</v>
          </cell>
        </row>
        <row r="120">
          <cell r="A120" t="str">
            <v>서구 및 기타 CIS지역</v>
          </cell>
        </row>
        <row r="121">
          <cell r="A121" t="str">
            <v>싱가폴</v>
          </cell>
        </row>
        <row r="122">
          <cell r="A122" t="str">
            <v>중국</v>
          </cell>
        </row>
        <row r="123">
          <cell r="A123" t="str">
            <v>대만</v>
          </cell>
        </row>
        <row r="124">
          <cell r="A124" t="str">
            <v>홍콩</v>
          </cell>
        </row>
        <row r="125">
          <cell r="A125" t="str">
            <v>베트남</v>
          </cell>
        </row>
        <row r="126">
          <cell r="A126" t="str">
            <v>인도네시아</v>
          </cell>
        </row>
        <row r="127">
          <cell r="A127" t="str">
            <v>뉴질랜드</v>
          </cell>
        </row>
        <row r="128">
          <cell r="A128" t="str">
            <v>캄보디아</v>
          </cell>
        </row>
        <row r="129">
          <cell r="A129" t="str">
            <v>라오스</v>
          </cell>
        </row>
        <row r="130">
          <cell r="A130" t="str">
            <v>네팔</v>
          </cell>
        </row>
        <row r="131">
          <cell r="A131" t="str">
            <v>파키스탄</v>
          </cell>
        </row>
        <row r="132">
          <cell r="A132" t="str">
            <v>대양주 지역</v>
          </cell>
        </row>
        <row r="133">
          <cell r="A133" t="str">
            <v>중동지역</v>
          </cell>
        </row>
        <row r="134">
          <cell r="A134" t="str">
            <v>남아공</v>
          </cell>
        </row>
        <row r="135">
          <cell r="A135" t="str">
            <v>모로코</v>
          </cell>
        </row>
        <row r="136">
          <cell r="A136" t="str">
            <v>카타르</v>
          </cell>
        </row>
        <row r="137">
          <cell r="A137" t="str">
            <v>세네갈</v>
          </cell>
        </row>
        <row r="138">
          <cell r="A138" t="str">
            <v>케냐</v>
          </cell>
        </row>
        <row r="139">
          <cell r="A139" t="str">
            <v>캐나가</v>
          </cell>
        </row>
        <row r="140">
          <cell r="A140" t="str">
            <v>스리랑카</v>
          </cell>
        </row>
        <row r="141">
          <cell r="A141" t="str">
            <v>필리핀</v>
          </cell>
        </row>
        <row r="142">
          <cell r="A142" t="str">
            <v>기타아시아지역</v>
          </cell>
        </row>
        <row r="144">
          <cell r="C144" t="str">
            <v>사장이상</v>
          </cell>
        </row>
        <row r="145">
          <cell r="C145" t="str">
            <v>임원</v>
          </cell>
        </row>
        <row r="146">
          <cell r="C146" t="str">
            <v>책임/과장↑</v>
          </cell>
        </row>
        <row r="147">
          <cell r="C147" t="str">
            <v>선임/대리↓</v>
          </cell>
        </row>
        <row r="189">
          <cell r="A189" t="str">
            <v>First Class</v>
          </cell>
        </row>
        <row r="190">
          <cell r="A190" t="str">
            <v>Business Class</v>
          </cell>
        </row>
        <row r="191">
          <cell r="A191" t="str">
            <v>Economy Class</v>
          </cell>
        </row>
        <row r="196">
          <cell r="A196" t="str">
            <v>급지외</v>
          </cell>
        </row>
        <row r="197">
          <cell r="A197" t="str">
            <v>가나</v>
          </cell>
        </row>
        <row r="198">
          <cell r="A198" t="str">
            <v>가나(아크라)</v>
          </cell>
        </row>
        <row r="199">
          <cell r="A199" t="str">
            <v>과테말라</v>
          </cell>
        </row>
        <row r="200">
          <cell r="A200" t="str">
            <v>과테말라(과테말라시티)</v>
          </cell>
        </row>
        <row r="201">
          <cell r="A201" t="str">
            <v>나이지리아</v>
          </cell>
        </row>
        <row r="202">
          <cell r="A202" t="str">
            <v>나이지리아(라고스)</v>
          </cell>
        </row>
        <row r="203">
          <cell r="A203" t="str">
            <v>남아공</v>
          </cell>
        </row>
        <row r="204">
          <cell r="A204" t="str">
            <v>남아공(요하네스버그)</v>
          </cell>
        </row>
        <row r="205">
          <cell r="A205" t="str">
            <v>도미니카</v>
          </cell>
        </row>
        <row r="206">
          <cell r="A206" t="str">
            <v>도미니카(산토도밍고)</v>
          </cell>
        </row>
        <row r="207">
          <cell r="A207" t="str">
            <v>라트비아</v>
          </cell>
        </row>
        <row r="208">
          <cell r="A208" t="str">
            <v>라트비아(리가)</v>
          </cell>
        </row>
        <row r="209">
          <cell r="A209" t="str">
            <v>러시아</v>
          </cell>
        </row>
        <row r="210">
          <cell r="A210" t="str">
            <v>러시아(모스크바)</v>
          </cell>
        </row>
        <row r="211">
          <cell r="A211" t="str">
            <v>러시아(블라디보스톡)</v>
          </cell>
        </row>
        <row r="212">
          <cell r="A212" t="str">
            <v>러시아(상트페테르부르크)</v>
          </cell>
        </row>
        <row r="213">
          <cell r="A213" t="str">
            <v>러시아(예카테린부르크/우글레고르스크)</v>
          </cell>
        </row>
        <row r="214">
          <cell r="A214" t="str">
            <v>루마니아</v>
          </cell>
        </row>
        <row r="215">
          <cell r="A215" t="str">
            <v>루마니아(부카레스트)</v>
          </cell>
        </row>
        <row r="216">
          <cell r="A216" t="str">
            <v>루마니아(오라데아)</v>
          </cell>
        </row>
        <row r="217">
          <cell r="A217" t="str">
            <v>리비아</v>
          </cell>
        </row>
        <row r="218">
          <cell r="A218" t="str">
            <v>리비아(트리폴리)</v>
          </cell>
        </row>
        <row r="219">
          <cell r="A219" t="str">
            <v>리오그란데</v>
          </cell>
        </row>
        <row r="220">
          <cell r="A220" t="str">
            <v>마다가스카르</v>
          </cell>
        </row>
        <row r="221">
          <cell r="A221" t="str">
            <v>마다가스카르(토아마시나)</v>
          </cell>
        </row>
        <row r="222">
          <cell r="A222" t="str">
            <v>멕시코</v>
          </cell>
        </row>
        <row r="223">
          <cell r="A223" t="str">
            <v>멕시코(멕시코시티/께레따로/치와와)</v>
          </cell>
        </row>
        <row r="224">
          <cell r="A224" t="str">
            <v>모로코</v>
          </cell>
        </row>
        <row r="225">
          <cell r="A225" t="str">
            <v>모로코(카사블랑카)</v>
          </cell>
        </row>
        <row r="226">
          <cell r="A226" t="str">
            <v>모잠비크</v>
          </cell>
        </row>
        <row r="227">
          <cell r="A227" t="str">
            <v>모잠비크(마푸토)</v>
          </cell>
        </row>
        <row r="228">
          <cell r="A228" t="str">
            <v>몽고</v>
          </cell>
        </row>
        <row r="229">
          <cell r="A229" t="str">
            <v>몽고(울란바토로)</v>
          </cell>
        </row>
        <row r="230">
          <cell r="A230" t="str">
            <v>미얀마</v>
          </cell>
        </row>
        <row r="231">
          <cell r="A231" t="str">
            <v>미얀마(양곤),</v>
          </cell>
        </row>
        <row r="232">
          <cell r="A232" t="str">
            <v>방글라데시</v>
          </cell>
        </row>
        <row r="233">
          <cell r="A233" t="str">
            <v>방글라데시(다카)</v>
          </cell>
        </row>
        <row r="234">
          <cell r="A234" t="str">
            <v>베네수엘라</v>
          </cell>
        </row>
        <row r="235">
          <cell r="A235" t="str">
            <v>베네수엘라(카라카스)</v>
          </cell>
        </row>
        <row r="236">
          <cell r="A236" t="str">
            <v>베트남</v>
          </cell>
        </row>
        <row r="237">
          <cell r="A237" t="str">
            <v>베트남(하노이/호치민)</v>
          </cell>
        </row>
        <row r="238">
          <cell r="A238" t="str">
            <v>벨로루시</v>
          </cell>
        </row>
        <row r="239">
          <cell r="A239" t="str">
            <v>벨로루시(민스크)</v>
          </cell>
        </row>
        <row r="240">
          <cell r="A240" t="str">
            <v>볼리비아</v>
          </cell>
        </row>
        <row r="241">
          <cell r="A241" t="str">
            <v>볼리비아(라파스)</v>
          </cell>
        </row>
        <row r="242">
          <cell r="A242" t="str">
            <v>불가리아</v>
          </cell>
        </row>
        <row r="243">
          <cell r="A243" t="str">
            <v>불가리아(소피아)</v>
          </cell>
        </row>
        <row r="244">
          <cell r="A244" t="str">
            <v>브라질</v>
          </cell>
        </row>
        <row r="245">
          <cell r="A245" t="str">
            <v>브라질(마나우스)</v>
          </cell>
        </row>
        <row r="246">
          <cell r="A246" t="str">
            <v>브라질(상파울로/캄피나스/리우데자네이루)</v>
          </cell>
        </row>
        <row r="247">
          <cell r="A247" t="str">
            <v>브라질(헤시피)</v>
          </cell>
        </row>
        <row r="248">
          <cell r="A248" t="str">
            <v>사우디</v>
          </cell>
        </row>
        <row r="249">
          <cell r="A249" t="str">
            <v>사우디(리야드)</v>
          </cell>
        </row>
        <row r="250">
          <cell r="A250" t="str">
            <v>사우디(제다/담맘)</v>
          </cell>
        </row>
        <row r="251">
          <cell r="A251" t="str">
            <v>세네갈</v>
          </cell>
        </row>
        <row r="252">
          <cell r="A252" t="str">
            <v>세네갈(다카르)</v>
          </cell>
        </row>
        <row r="253">
          <cell r="A253" t="str">
            <v>세르비아</v>
          </cell>
        </row>
        <row r="254">
          <cell r="A254" t="str">
            <v>세르비아(베오그라드)</v>
          </cell>
        </row>
        <row r="255">
          <cell r="A255" t="str">
            <v>수단</v>
          </cell>
        </row>
        <row r="256">
          <cell r="A256" t="str">
            <v>수단(카르튬)</v>
          </cell>
        </row>
        <row r="257">
          <cell r="A257" t="str">
            <v>스리랑카</v>
          </cell>
        </row>
        <row r="258">
          <cell r="A258" t="str">
            <v>스리랑카(콜롬보)</v>
          </cell>
        </row>
        <row r="259">
          <cell r="A259" t="str">
            <v>슬로바키아</v>
          </cell>
        </row>
        <row r="260">
          <cell r="A260" t="str">
            <v>슬로바키아(브라티슬라바)</v>
          </cell>
        </row>
        <row r="261">
          <cell r="A261" t="str">
            <v>시리아</v>
          </cell>
        </row>
        <row r="262">
          <cell r="A262" t="str">
            <v>시리아(다마스커스)</v>
          </cell>
        </row>
        <row r="263">
          <cell r="A263" t="str">
            <v>아제르바이젠</v>
          </cell>
        </row>
        <row r="264">
          <cell r="A264" t="str">
            <v>아제르바이젠(바쿠)</v>
          </cell>
        </row>
        <row r="265">
          <cell r="A265" t="str">
            <v>알제리</v>
          </cell>
        </row>
        <row r="266">
          <cell r="A266" t="str">
            <v>알제리(알제)</v>
          </cell>
        </row>
        <row r="267">
          <cell r="A267" t="str">
            <v>앙골라</v>
          </cell>
        </row>
        <row r="268">
          <cell r="A268" t="str">
            <v>앙골라(루안다)</v>
          </cell>
        </row>
        <row r="269">
          <cell r="A269" t="str">
            <v>에콰도르</v>
          </cell>
        </row>
        <row r="270">
          <cell r="A270" t="str">
            <v>에콰도르(과야킬)</v>
          </cell>
        </row>
        <row r="271">
          <cell r="A271" t="str">
            <v>에티오피아</v>
          </cell>
        </row>
        <row r="272">
          <cell r="A272" t="str">
            <v>에티오피아(아디스아바바)</v>
          </cell>
        </row>
        <row r="273">
          <cell r="A273" t="str">
            <v>요르단</v>
          </cell>
        </row>
        <row r="274">
          <cell r="A274" t="str">
            <v>요르단(암만)</v>
          </cell>
        </row>
        <row r="275">
          <cell r="A275" t="str">
            <v>우즈벡</v>
          </cell>
        </row>
        <row r="276">
          <cell r="A276" t="str">
            <v>우즈벡(타쉬켄트)</v>
          </cell>
        </row>
        <row r="277">
          <cell r="A277" t="str">
            <v>우크라이나</v>
          </cell>
        </row>
        <row r="278">
          <cell r="A278" t="str">
            <v>우크라이나(키예프)</v>
          </cell>
        </row>
        <row r="279">
          <cell r="A279" t="str">
            <v>이란</v>
          </cell>
        </row>
        <row r="280">
          <cell r="A280" t="str">
            <v>이란(테헤란)</v>
          </cell>
        </row>
        <row r="281">
          <cell r="A281" t="str">
            <v>이스라엘</v>
          </cell>
        </row>
        <row r="282">
          <cell r="A282" t="str">
            <v>이스라엘(텔아비브)</v>
          </cell>
        </row>
        <row r="283">
          <cell r="A283" t="str">
            <v>이집트</v>
          </cell>
        </row>
        <row r="284">
          <cell r="A284" t="str">
            <v>이집트(카이로)</v>
          </cell>
        </row>
        <row r="285">
          <cell r="A285" t="str">
            <v>인도</v>
          </cell>
        </row>
        <row r="286">
          <cell r="A286" t="str">
            <v>인도(뉴델리/ /뭄바이/첸나이/꼴까따)</v>
          </cell>
        </row>
        <row r="287">
          <cell r="A287" t="str">
            <v>인도(방갈로르)</v>
          </cell>
        </row>
        <row r="288">
          <cell r="A288" t="str">
            <v>인도네시아</v>
          </cell>
        </row>
        <row r="289">
          <cell r="A289" t="str">
            <v>인도네시아(반자르마신)</v>
          </cell>
        </row>
        <row r="290">
          <cell r="A290" t="str">
            <v>인도네시아(자카르타/수라바야)</v>
          </cell>
        </row>
        <row r="291">
          <cell r="A291" t="str">
            <v>인도네시아(페칸바루)</v>
          </cell>
        </row>
        <row r="292">
          <cell r="A292" t="str">
            <v>중국(성도/해구/합비)</v>
          </cell>
        </row>
        <row r="293">
          <cell r="A293" t="str">
            <v>중국(소주/천진/대련/동관)</v>
          </cell>
        </row>
        <row r="294">
          <cell r="A294" t="str">
            <v>중국(혜주/영파/항주/심양/남경/청도/위해/순덕/중산/서안/중경)</v>
          </cell>
        </row>
        <row r="295">
          <cell r="A295" t="str">
            <v>카자흐스탄</v>
          </cell>
        </row>
        <row r="296">
          <cell r="A296" t="str">
            <v>카자흐스탄(알마티/아스타나)</v>
          </cell>
        </row>
        <row r="297">
          <cell r="A297" t="str">
            <v>카타르</v>
          </cell>
        </row>
        <row r="298">
          <cell r="A298" t="str">
            <v>카타르(도하)</v>
          </cell>
        </row>
        <row r="299">
          <cell r="A299" t="str">
            <v>캄보디아</v>
          </cell>
        </row>
        <row r="300">
          <cell r="A300" t="str">
            <v>캄보디아(프놈펜)</v>
          </cell>
        </row>
        <row r="301">
          <cell r="A301" t="str">
            <v>케냐</v>
          </cell>
        </row>
        <row r="302">
          <cell r="A302" t="str">
            <v>케냐(나이로비)</v>
          </cell>
        </row>
        <row r="303">
          <cell r="A303" t="str">
            <v>코트디부아르</v>
          </cell>
        </row>
        <row r="304">
          <cell r="A304" t="str">
            <v>코트디부아르(아비드잔)</v>
          </cell>
        </row>
        <row r="305">
          <cell r="A305" t="str">
            <v>콜롬비아</v>
          </cell>
        </row>
        <row r="306">
          <cell r="A306" t="str">
            <v>콜롬비아(보고타)</v>
          </cell>
        </row>
        <row r="307">
          <cell r="A307" t="str">
            <v>콩고</v>
          </cell>
        </row>
        <row r="308">
          <cell r="A308" t="str">
            <v>콩고(킨샤사)</v>
          </cell>
        </row>
        <row r="309">
          <cell r="A309" t="str">
            <v>쿠바</v>
          </cell>
        </row>
        <row r="310">
          <cell r="A310" t="str">
            <v>쿠바(산티아고)</v>
          </cell>
        </row>
        <row r="311">
          <cell r="A311" t="str">
            <v>쿠바(하바나)</v>
          </cell>
        </row>
        <row r="312">
          <cell r="A312" t="str">
            <v>탄자니아</v>
          </cell>
        </row>
        <row r="313">
          <cell r="A313" t="str">
            <v>탄자니아(도도마)</v>
          </cell>
        </row>
        <row r="314">
          <cell r="A314" t="str">
            <v>태국</v>
          </cell>
        </row>
        <row r="315">
          <cell r="A315" t="str">
            <v>태국(나콘라차시마)</v>
          </cell>
        </row>
        <row r="316">
          <cell r="A316" t="str">
            <v>태국(시라차)</v>
          </cell>
        </row>
        <row r="317">
          <cell r="A317" t="str">
            <v>터키</v>
          </cell>
        </row>
        <row r="318">
          <cell r="A318" t="str">
            <v>터키(이스탄불)</v>
          </cell>
        </row>
        <row r="319">
          <cell r="A319" t="str">
            <v>튀니지</v>
          </cell>
        </row>
        <row r="320">
          <cell r="A320" t="str">
            <v>튀니지(튀니스)</v>
          </cell>
        </row>
        <row r="321">
          <cell r="A321" t="str">
            <v>파나마</v>
          </cell>
        </row>
        <row r="322">
          <cell r="A322" t="str">
            <v>파나마(파나마시티)</v>
          </cell>
        </row>
        <row r="323">
          <cell r="A323" t="str">
            <v>파라과이</v>
          </cell>
        </row>
        <row r="324">
          <cell r="A324" t="str">
            <v>파라과이(아순시온)</v>
          </cell>
        </row>
        <row r="325">
          <cell r="A325" t="str">
            <v>파키스탄</v>
          </cell>
        </row>
        <row r="326">
          <cell r="A326" t="str">
            <v>파키스탄(카라치/라호르)</v>
          </cell>
        </row>
        <row r="327">
          <cell r="A327" t="str">
            <v>페루</v>
          </cell>
        </row>
        <row r="328">
          <cell r="A328" t="str">
            <v>페루(리마)</v>
          </cell>
        </row>
        <row r="329">
          <cell r="A329" t="str">
            <v>폴란드</v>
          </cell>
        </row>
        <row r="330">
          <cell r="A330" t="str">
            <v>폴란드(포즈난)</v>
          </cell>
        </row>
        <row r="331">
          <cell r="A331" t="str">
            <v>필리핀</v>
          </cell>
        </row>
        <row r="332">
          <cell r="A332" t="str">
            <v>필리핀(마닐라)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공급사 견적서(표지및상세내역)"/>
      <sheetName val="도급경비상세내역"/>
      <sheetName val="유효성체크"/>
    </sheetNames>
    <sheetDataSet>
      <sheetData sheetId="0" refreshError="1"/>
      <sheetData sheetId="1" refreshError="1"/>
      <sheetData sheetId="2" refreshError="1"/>
      <sheetData sheetId="3">
        <row r="1">
          <cell r="C1" t="str">
            <v>분석설계</v>
          </cell>
          <cell r="D1" t="str">
            <v>분석설계</v>
          </cell>
          <cell r="E1" t="str">
            <v>레거시 개발/운영</v>
          </cell>
          <cell r="F1" t="str">
            <v>IT Architecture</v>
          </cell>
          <cell r="G1" t="str">
            <v>모바일 개발/운영</v>
          </cell>
          <cell r="H1" t="str">
            <v>프로젝트 관리</v>
          </cell>
          <cell r="I1" t="str">
            <v>QA</v>
          </cell>
          <cell r="J1" t="str">
            <v>웹 개발/운영</v>
          </cell>
          <cell r="K1" t="str">
            <v>컨설팅</v>
          </cell>
          <cell r="L1" t="str">
            <v>Infra Operation</v>
          </cell>
          <cell r="M1" t="str">
            <v>Infra Engineer</v>
          </cell>
          <cell r="N1" t="str">
            <v xml:space="preserve">설치/공사 </v>
          </cell>
          <cell r="O1" t="str">
            <v>유지보수</v>
          </cell>
          <cell r="P1" t="str">
            <v>DB구축사업</v>
          </cell>
        </row>
        <row r="2">
          <cell r="A2" t="str">
            <v>은행</v>
          </cell>
          <cell r="B2" t="str">
            <v>범용개발 SI</v>
          </cell>
          <cell r="C2" t="str">
            <v>레거시 개발/운영</v>
          </cell>
          <cell r="D2" t="str">
            <v>IE 방법론</v>
          </cell>
          <cell r="Q2" t="str">
            <v>기술사</v>
          </cell>
          <cell r="S2" t="str">
            <v>정직원</v>
          </cell>
        </row>
        <row r="3">
          <cell r="A3" t="str">
            <v>보험</v>
          </cell>
          <cell r="B3" t="str">
            <v>BI/DW</v>
          </cell>
          <cell r="C3" t="str">
            <v>IT Architecture</v>
          </cell>
          <cell r="Q3" t="str">
            <v>컨설팅특급</v>
          </cell>
          <cell r="S3" t="str">
            <v>계약직(프리)</v>
          </cell>
        </row>
        <row r="4">
          <cell r="A4" t="str">
            <v>증권/투신</v>
          </cell>
          <cell r="B4" t="str">
            <v>전자상거래</v>
          </cell>
          <cell r="C4" t="str">
            <v>모바일 개발/운영</v>
          </cell>
          <cell r="Q4" t="str">
            <v>컨설팅고급</v>
          </cell>
          <cell r="S4" t="str">
            <v>재하도급</v>
          </cell>
        </row>
        <row r="5">
          <cell r="A5" t="str">
            <v>카드/캐피탈</v>
          </cell>
          <cell r="B5" t="str">
            <v>BPM</v>
          </cell>
          <cell r="C5" t="str">
            <v>프로젝트 관리</v>
          </cell>
          <cell r="Q5" t="str">
            <v>컨설팅중급</v>
          </cell>
        </row>
        <row r="6">
          <cell r="A6" t="str">
            <v>공금융</v>
          </cell>
          <cell r="B6" t="str">
            <v>CRM</v>
          </cell>
          <cell r="C6" t="str">
            <v>QA</v>
          </cell>
          <cell r="Q6" t="str">
            <v>컨설팅초급</v>
          </cell>
        </row>
        <row r="7">
          <cell r="A7" t="str">
            <v>국방/안전</v>
          </cell>
          <cell r="B7" t="str">
            <v>EAI</v>
          </cell>
          <cell r="C7" t="str">
            <v>웹 개발/운영</v>
          </cell>
          <cell r="Q7" t="str">
            <v>특급기술자</v>
          </cell>
        </row>
        <row r="8">
          <cell r="A8" t="str">
            <v>건설/교통</v>
          </cell>
          <cell r="B8" t="str">
            <v>Enterprise Portal</v>
          </cell>
          <cell r="C8" t="str">
            <v>컨설팅</v>
          </cell>
          <cell r="Q8" t="str">
            <v>고급기술자-상</v>
          </cell>
        </row>
        <row r="9">
          <cell r="A9" t="str">
            <v>정보통신</v>
          </cell>
          <cell r="B9" t="str">
            <v xml:space="preserve">ERP </v>
          </cell>
          <cell r="C9" t="str">
            <v>Infra Operation</v>
          </cell>
          <cell r="Q9" t="str">
            <v>고급기술자-하</v>
          </cell>
        </row>
        <row r="10">
          <cell r="A10" t="str">
            <v>경제분야</v>
          </cell>
          <cell r="B10" t="str">
            <v>KM/Groupware</v>
          </cell>
          <cell r="C10" t="str">
            <v>Infra Engineer</v>
          </cell>
          <cell r="Q10" t="str">
            <v>중급기술자-상</v>
          </cell>
        </row>
        <row r="11">
          <cell r="A11" t="str">
            <v>교육/연구</v>
          </cell>
          <cell r="B11" t="str">
            <v>SCM</v>
          </cell>
          <cell r="C11" t="str">
            <v xml:space="preserve">설치/공사 </v>
          </cell>
          <cell r="Q11" t="str">
            <v>중급기술자-하</v>
          </cell>
        </row>
        <row r="12">
          <cell r="A12" t="str">
            <v>노동/복지</v>
          </cell>
          <cell r="B12" t="str">
            <v>TQM</v>
          </cell>
          <cell r="C12" t="str">
            <v>유지보수</v>
          </cell>
          <cell r="Q12" t="str">
            <v>초급기술자-상</v>
          </cell>
        </row>
        <row r="13">
          <cell r="A13" t="str">
            <v>산업/환경</v>
          </cell>
          <cell r="B13" t="str">
            <v>특수단말</v>
          </cell>
          <cell r="C13" t="str">
            <v>DB구축사업</v>
          </cell>
          <cell r="Q13" t="str">
            <v>초급기술자-하</v>
          </cell>
        </row>
        <row r="14">
          <cell r="A14" t="str">
            <v>일반행정</v>
          </cell>
          <cell r="B14" t="str">
            <v>BASEL II</v>
          </cell>
          <cell r="Q14" t="str">
            <v>초급기술자-신입</v>
          </cell>
        </row>
        <row r="15">
          <cell r="A15" t="str">
            <v>통계</v>
          </cell>
          <cell r="B15" t="str">
            <v>CIM</v>
          </cell>
          <cell r="Q15" t="str">
            <v>고급기능사</v>
          </cell>
        </row>
        <row r="16">
          <cell r="A16" t="str">
            <v>관광/호텔</v>
          </cell>
          <cell r="B16" t="str">
            <v>GIS/UIS</v>
          </cell>
          <cell r="Q16" t="str">
            <v>중급기능사</v>
          </cell>
        </row>
        <row r="17">
          <cell r="A17" t="str">
            <v>교육</v>
          </cell>
          <cell r="B17" t="str">
            <v>Home Network</v>
          </cell>
          <cell r="Q17" t="str">
            <v>초급기능사</v>
          </cell>
        </row>
        <row r="18">
          <cell r="A18" t="str">
            <v>물류/유통</v>
          </cell>
          <cell r="B18" t="str">
            <v>ITS</v>
          </cell>
          <cell r="Q18" t="str">
            <v>번역</v>
          </cell>
        </row>
        <row r="19">
          <cell r="A19" t="str">
            <v>에너지/화학</v>
          </cell>
          <cell r="B19" t="str">
            <v>Mobile</v>
          </cell>
          <cell r="Q19" t="str">
            <v>단순기술</v>
          </cell>
        </row>
        <row r="20">
          <cell r="A20" t="str">
            <v>연구기관</v>
          </cell>
          <cell r="B20" t="str">
            <v>IT전략</v>
          </cell>
          <cell r="Q20" t="str">
            <v>단순지원</v>
          </cell>
        </row>
        <row r="21">
          <cell r="A21" t="str">
            <v>일반제조</v>
          </cell>
          <cell r="B21" t="str">
            <v>PI/BPR</v>
          </cell>
          <cell r="Q21" t="str">
            <v>기타</v>
          </cell>
        </row>
        <row r="22">
          <cell r="A22" t="str">
            <v>전기/전자</v>
          </cell>
          <cell r="B22" t="str">
            <v>인프라 일반</v>
          </cell>
        </row>
        <row r="23">
          <cell r="A23" t="str">
            <v>방송/미디어</v>
          </cell>
          <cell r="B23" t="str">
            <v>보안</v>
          </cell>
        </row>
        <row r="24">
          <cell r="A24" t="str">
            <v>텔레콤/통신</v>
          </cell>
          <cell r="B24" t="str">
            <v>서버</v>
          </cell>
        </row>
        <row r="25">
          <cell r="A25" t="str">
            <v>기타</v>
          </cell>
          <cell r="B25" t="str">
            <v>DBMS</v>
          </cell>
        </row>
        <row r="26">
          <cell r="B26" t="str">
            <v>Middleware</v>
          </cell>
        </row>
        <row r="27">
          <cell r="B27" t="str">
            <v>Network</v>
          </cell>
        </row>
        <row r="28">
          <cell r="B28" t="str">
            <v>DB구축사업</v>
          </cell>
        </row>
        <row r="29">
          <cell r="B29" t="str">
            <v>기타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준견적서"/>
      <sheetName val="공급사 견적서(표지및상세내역)"/>
      <sheetName val="도급경비상세내역"/>
      <sheetName val="유효성체크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단가2011"/>
      <sheetName val="사전원가지표201012"/>
      <sheetName val="사전원가지표201110"/>
      <sheetName val="사전원가지표201107"/>
      <sheetName val="이름정의"/>
      <sheetName val="인건비단가201004"/>
      <sheetName val="인건비단가201012"/>
      <sheetName val="인건비단가201104"/>
      <sheetName val="서브시스템일괄조회"/>
      <sheetName val="WBS모델총괄표"/>
      <sheetName val="경비가이드"/>
      <sheetName val="경비기준금액"/>
      <sheetName val="유사사업_DB"/>
      <sheetName val="모델방식선택"/>
      <sheetName val="위험비용"/>
      <sheetName val="기본정보설정"/>
      <sheetName val="도움말"/>
      <sheetName val="메인"/>
      <sheetName val="경쟁입찰 시뮬레이션"/>
      <sheetName val="가격점수표"/>
      <sheetName val="서브시스템등급비율편성"/>
      <sheetName val="서비스셀"/>
      <sheetName val="허들"/>
      <sheetName val="투입인력계획_원본"/>
      <sheetName val="투입인력계획_1"/>
      <sheetName val="경비가이드_임차료"/>
      <sheetName val="경비가이드_출장기준"/>
      <sheetName val="경비가이드_외주비"/>
      <sheetName val="업종베이스라인"/>
      <sheetName val="Size 유사사업참조"/>
      <sheetName val="서브시스템정보설정"/>
      <sheetName val="원가총괄표"/>
      <sheetName val="원가총괄표_업체별"/>
      <sheetName val="업무기준정보"/>
      <sheetName val="SIZE 서브시스템_원본"/>
      <sheetName val="예상공수조회"/>
      <sheetName val="Size모델총괄표"/>
      <sheetName val="산출내역서_원본"/>
      <sheetName val="산정_원본"/>
      <sheetName val="손익요약"/>
      <sheetName val="데이터_1"/>
      <sheetName val="데이터_2"/>
      <sheetName val="데이터_3"/>
      <sheetName val="자사인건비조회_1"/>
      <sheetName val="자사인건비조회_2"/>
      <sheetName val="자사인건비조회_3"/>
      <sheetName val="SDS정규인력투입_1"/>
      <sheetName val="SDS정규인력투입_2"/>
      <sheetName val="SDS정규인력투입_3"/>
      <sheetName val="외주인건비조회_1"/>
      <sheetName val="외주인건비조회_2"/>
      <sheetName val="외주인건비조회_3"/>
      <sheetName val="MM외주_상세_1"/>
      <sheetName val="MM외주_상세_2"/>
      <sheetName val="MM외주_상세_3"/>
      <sheetName val="재료비_상세"/>
      <sheetName val="재료비_상세_1"/>
      <sheetName val="재료비_상세_2"/>
      <sheetName val="재료비_상세_3"/>
      <sheetName val="경비산정"/>
      <sheetName val="경비산정_1"/>
      <sheetName val="경비산정_2"/>
      <sheetName val="경비산정_3"/>
      <sheetName val="행사비_1"/>
      <sheetName val="행사비_2"/>
      <sheetName val="행사비_3"/>
      <sheetName val="국내출장비_1"/>
      <sheetName val="국내출장비_2"/>
      <sheetName val="국내출장비_3"/>
      <sheetName val="해외출장비_1"/>
      <sheetName val="해외출장비_2"/>
      <sheetName val="해외출장비_3"/>
      <sheetName val="PJT파견비_1"/>
      <sheetName val="PJT파견비_2"/>
      <sheetName val="PJT파견비_3"/>
      <sheetName val="기타임차료_1"/>
      <sheetName val="기타임차료_2"/>
      <sheetName val="기타임차료_3"/>
      <sheetName val="MM연동경비_1"/>
      <sheetName val="MM연동경비_2"/>
      <sheetName val="MM연동경비_3"/>
      <sheetName val="SIE성경비_1"/>
      <sheetName val="SIE성경비_2"/>
      <sheetName val="SIE성경비_3"/>
      <sheetName val="손익계산서"/>
      <sheetName val="손익계산서_Master"/>
      <sheetName val="손익계산서_Total"/>
      <sheetName val="부서정보정의"/>
      <sheetName val="사전원가지표201202"/>
      <sheetName val="PSU단가2012"/>
      <sheetName val="인건비단가201205"/>
      <sheetName val="사전원가지표201209"/>
      <sheetName val="경남은행 차세대_CE용_v1.5.1_20121119"/>
    </sheetNames>
    <sheetDataSet>
      <sheetData sheetId="0"/>
      <sheetData sheetId="1"/>
      <sheetData sheetId="2"/>
      <sheetData sheetId="3"/>
      <sheetData sheetId="4">
        <row r="240">
          <cell r="I240" t="str">
            <v>PSU단가</v>
          </cell>
        </row>
        <row r="241">
          <cell r="I241" t="str">
            <v>업체별단가</v>
          </cell>
        </row>
        <row r="242">
          <cell r="I242" t="str">
            <v>단수조정</v>
          </cell>
        </row>
        <row r="243">
          <cell r="I243" t="str">
            <v>제경비</v>
          </cell>
        </row>
        <row r="244">
          <cell r="I244" t="str">
            <v>턴키성도급비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B1:U167"/>
  <sheetViews>
    <sheetView showGridLines="0" tabSelected="1" zoomScale="85" zoomScaleNormal="85" workbookViewId="0">
      <selection activeCell="N10" sqref="N10"/>
    </sheetView>
  </sheetViews>
  <sheetFormatPr defaultColWidth="0" defaultRowHeight="12" customHeight="1" zeroHeight="1"/>
  <cols>
    <col min="1" max="1" width="2.375" style="1" customWidth="1"/>
    <col min="2" max="2" width="3.5" style="1" customWidth="1"/>
    <col min="3" max="4" width="3" style="1" customWidth="1"/>
    <col min="5" max="5" width="14.25" style="1" customWidth="1"/>
    <col min="6" max="6" width="17" style="1" customWidth="1"/>
    <col min="7" max="9" width="15.625" style="1" customWidth="1"/>
    <col min="10" max="10" width="16.25" style="1" customWidth="1"/>
    <col min="11" max="11" width="12.75" style="1" customWidth="1"/>
    <col min="12" max="12" width="17.5" style="45" customWidth="1"/>
    <col min="13" max="13" width="13.125" style="45" customWidth="1"/>
    <col min="14" max="14" width="18.75" style="1" customWidth="1"/>
    <col min="15" max="15" width="20" style="46" customWidth="1"/>
    <col min="16" max="16" width="3.25" style="1" customWidth="1"/>
    <col min="17" max="17" width="2.375" style="1" customWidth="1"/>
    <col min="18" max="21" width="12.75" style="1" hidden="1" customWidth="1"/>
    <col min="22" max="16384" width="0" style="1" hidden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2"/>
      <c r="O1" s="2"/>
      <c r="P1" s="2"/>
    </row>
    <row r="2" spans="2:16" s="4" customFormat="1" ht="15" customHeight="1">
      <c r="B2" s="5"/>
      <c r="C2" s="6"/>
      <c r="D2" s="6"/>
      <c r="E2" s="6"/>
      <c r="F2" s="6"/>
      <c r="G2" s="6"/>
      <c r="H2" s="6"/>
      <c r="I2" s="6"/>
      <c r="J2" s="6"/>
      <c r="K2" s="6"/>
      <c r="L2" s="7"/>
      <c r="M2" s="7"/>
      <c r="N2" s="6"/>
      <c r="O2" s="6"/>
      <c r="P2" s="8"/>
    </row>
    <row r="3" spans="2:16" s="4" customFormat="1" ht="15" customHeight="1">
      <c r="B3" s="9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0"/>
      <c r="O3" s="10"/>
      <c r="P3" s="12"/>
    </row>
    <row r="4" spans="2:16" s="4" customFormat="1" ht="15" customHeight="1">
      <c r="B4" s="9"/>
      <c r="C4" s="10"/>
      <c r="D4" s="10"/>
      <c r="E4" s="10"/>
      <c r="F4" s="10"/>
      <c r="G4" s="10"/>
      <c r="H4" s="10"/>
      <c r="I4" s="10"/>
      <c r="J4" s="10"/>
      <c r="K4" s="10"/>
      <c r="L4" s="11"/>
      <c r="M4" s="11"/>
      <c r="N4" s="10"/>
      <c r="O4" s="10"/>
      <c r="P4" s="12"/>
    </row>
    <row r="5" spans="2:16" s="4" customFormat="1" ht="1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0"/>
      <c r="O5" s="10"/>
      <c r="P5" s="12"/>
    </row>
    <row r="6" spans="2:16" s="4" customFormat="1" ht="36" customHeight="1">
      <c r="B6" s="92" t="s">
        <v>0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4"/>
    </row>
    <row r="7" spans="2:16" s="4" customFormat="1" ht="1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0"/>
      <c r="O7" s="10"/>
      <c r="P7" s="12"/>
    </row>
    <row r="8" spans="2:16" s="4" customFormat="1" ht="1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0"/>
      <c r="O8" s="10"/>
      <c r="P8" s="12"/>
    </row>
    <row r="9" spans="2:16" s="4" customFormat="1" ht="15" customHeight="1">
      <c r="B9" s="13"/>
      <c r="C9" s="14"/>
      <c r="D9" s="14"/>
      <c r="E9" s="14"/>
      <c r="F9" s="14"/>
      <c r="G9" s="14"/>
      <c r="H9" s="14"/>
      <c r="I9" s="14"/>
      <c r="J9" s="14"/>
      <c r="K9" s="14"/>
      <c r="L9" s="15"/>
      <c r="M9" s="15"/>
      <c r="N9" s="14"/>
      <c r="O9" s="14"/>
      <c r="P9" s="16"/>
    </row>
    <row r="10" spans="2:16" s="4" customFormat="1" ht="15" customHeight="1">
      <c r="B10" s="13"/>
      <c r="C10" s="17" t="s">
        <v>33</v>
      </c>
      <c r="D10" s="17"/>
      <c r="E10" s="17"/>
      <c r="F10" s="14"/>
      <c r="G10" s="14"/>
      <c r="H10" s="14"/>
      <c r="I10" s="14"/>
      <c r="J10" s="14"/>
      <c r="K10" s="14"/>
      <c r="L10" s="18"/>
      <c r="M10" s="18"/>
      <c r="N10" s="18" t="s">
        <v>59</v>
      </c>
      <c r="O10" s="14"/>
      <c r="P10" s="16"/>
    </row>
    <row r="11" spans="2:16" s="4" customFormat="1" ht="15" customHeight="1">
      <c r="B11" s="13"/>
      <c r="C11" s="17"/>
      <c r="D11" s="17"/>
      <c r="E11" s="17"/>
      <c r="F11" s="14"/>
      <c r="G11" s="14"/>
      <c r="H11" s="14"/>
      <c r="I11" s="14"/>
      <c r="J11" s="14"/>
      <c r="K11" s="53"/>
      <c r="L11" s="19"/>
      <c r="M11" s="19"/>
      <c r="N11" s="19"/>
      <c r="O11" s="14"/>
      <c r="P11" s="16"/>
    </row>
    <row r="12" spans="2:16" s="4" customFormat="1" ht="15" customHeight="1">
      <c r="B12" s="13"/>
      <c r="C12" s="17" t="s">
        <v>3</v>
      </c>
      <c r="D12" s="17"/>
      <c r="E12" s="17"/>
      <c r="F12" s="14"/>
      <c r="G12" s="14"/>
      <c r="H12" s="14"/>
      <c r="I12" s="14"/>
      <c r="J12" s="14"/>
      <c r="K12" s="53"/>
      <c r="L12" s="19"/>
      <c r="M12" s="19"/>
      <c r="N12" s="19" t="s">
        <v>4</v>
      </c>
      <c r="O12" s="14"/>
      <c r="P12" s="16"/>
    </row>
    <row r="13" spans="2:16" s="4" customFormat="1" ht="15" customHeight="1">
      <c r="B13" s="13"/>
      <c r="C13" s="17"/>
      <c r="D13" s="17"/>
      <c r="E13" s="17"/>
      <c r="F13" s="14"/>
      <c r="G13" s="14"/>
      <c r="H13" s="14"/>
      <c r="I13" s="14"/>
      <c r="J13" s="14"/>
      <c r="K13" s="53"/>
      <c r="L13" s="19"/>
      <c r="M13" s="19"/>
      <c r="N13" s="19" t="s">
        <v>5</v>
      </c>
      <c r="O13" s="14"/>
      <c r="P13" s="16"/>
    </row>
    <row r="14" spans="2:16" s="4" customFormat="1" ht="15" customHeight="1">
      <c r="B14" s="13"/>
      <c r="C14" s="17" t="s">
        <v>1</v>
      </c>
      <c r="D14" s="17"/>
      <c r="E14" s="17"/>
      <c r="F14" s="14"/>
      <c r="G14" s="14"/>
      <c r="H14" s="14"/>
      <c r="I14" s="14"/>
      <c r="J14" s="14"/>
      <c r="K14" s="53"/>
      <c r="L14" s="19"/>
      <c r="M14" s="19"/>
      <c r="N14" s="19" t="s">
        <v>11</v>
      </c>
      <c r="O14" s="14"/>
      <c r="P14" s="16"/>
    </row>
    <row r="15" spans="2:16" s="4" customFormat="1" ht="15" customHeight="1">
      <c r="B15" s="13"/>
      <c r="C15" s="17"/>
      <c r="D15" s="17"/>
      <c r="E15" s="17"/>
      <c r="F15" s="14"/>
      <c r="G15" s="14"/>
      <c r="H15" s="14"/>
      <c r="I15" s="14"/>
      <c r="J15" s="14"/>
      <c r="K15" s="14"/>
      <c r="L15" s="19"/>
      <c r="M15" s="19"/>
      <c r="N15" s="19"/>
      <c r="O15" s="14"/>
      <c r="P15" s="16"/>
    </row>
    <row r="16" spans="2:16" s="4" customFormat="1" ht="15" customHeight="1">
      <c r="B16" s="13"/>
      <c r="C16" s="20"/>
      <c r="D16" s="20"/>
      <c r="E16" s="20"/>
      <c r="F16" s="14"/>
      <c r="G16" s="14"/>
      <c r="H16" s="14"/>
      <c r="I16" s="14"/>
      <c r="J16" s="14"/>
      <c r="K16" s="14"/>
      <c r="L16" s="19"/>
      <c r="M16" s="19"/>
      <c r="N16" s="19"/>
      <c r="O16" s="14"/>
      <c r="P16" s="16"/>
    </row>
    <row r="17" spans="2:17" s="4" customFormat="1" ht="15" customHeight="1">
      <c r="B17" s="13"/>
      <c r="C17" s="21"/>
      <c r="D17" s="21"/>
      <c r="E17" s="21"/>
      <c r="F17" s="21"/>
      <c r="G17" s="21"/>
      <c r="H17" s="21"/>
      <c r="I17" s="21"/>
      <c r="J17" s="21"/>
      <c r="K17" s="21"/>
      <c r="L17" s="19"/>
      <c r="M17" s="19"/>
      <c r="N17" s="19"/>
      <c r="O17" s="14"/>
      <c r="P17" s="16"/>
    </row>
    <row r="18" spans="2:17" s="22" customFormat="1" ht="18" customHeight="1">
      <c r="B18" s="95" t="s">
        <v>2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7"/>
      <c r="Q18" s="4"/>
    </row>
    <row r="19" spans="2:17" s="22" customFormat="1" ht="18" customHeight="1">
      <c r="B19" s="60"/>
      <c r="C19" s="61"/>
      <c r="D19" s="61"/>
      <c r="E19" s="61"/>
      <c r="F19" s="61"/>
      <c r="G19" s="78"/>
      <c r="H19" s="78"/>
      <c r="I19" s="78"/>
      <c r="J19" s="78"/>
      <c r="K19" s="61"/>
      <c r="L19" s="61"/>
      <c r="M19" s="78"/>
      <c r="N19" s="61"/>
      <c r="O19" s="61"/>
      <c r="P19" s="62"/>
      <c r="Q19" s="4"/>
    </row>
    <row r="20" spans="2:17" s="22" customFormat="1" ht="19.899999999999999" customHeight="1">
      <c r="B20" s="60"/>
      <c r="C20" s="71" t="str">
        <f xml:space="preserve"> "총 금액 : 금 " &amp;NUMBERSTRING(N25,1)&amp; " 원정 (부가가치세 포함)"</f>
        <v>총 금액 : 금 일십일억오천오백만 원정 (부가가치세 포함)</v>
      </c>
      <c r="D20" s="67"/>
      <c r="E20" s="70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67"/>
    </row>
    <row r="21" spans="2:17" ht="23.25" customHeight="1">
      <c r="B21" s="23"/>
      <c r="C21" s="28"/>
      <c r="D21" s="28"/>
      <c r="E21" s="24"/>
      <c r="F21" s="24"/>
      <c r="G21" s="24"/>
      <c r="H21" s="24"/>
      <c r="I21" s="24"/>
      <c r="J21" s="24"/>
      <c r="K21" s="24"/>
      <c r="L21" s="25"/>
      <c r="M21" s="25"/>
      <c r="N21" s="26"/>
      <c r="O21" s="26" t="s">
        <v>17</v>
      </c>
      <c r="P21" s="27"/>
    </row>
    <row r="22" spans="2:17" s="29" customFormat="1" ht="41.25" customHeight="1">
      <c r="B22" s="30"/>
      <c r="C22" s="98" t="s">
        <v>6</v>
      </c>
      <c r="D22" s="98"/>
      <c r="E22" s="98"/>
      <c r="F22" s="63" t="s">
        <v>10</v>
      </c>
      <c r="G22" s="87" t="s">
        <v>28</v>
      </c>
      <c r="H22" s="88" t="s">
        <v>29</v>
      </c>
      <c r="I22" s="88" t="s">
        <v>30</v>
      </c>
      <c r="J22" s="81" t="s">
        <v>31</v>
      </c>
      <c r="K22" s="59" t="s">
        <v>21</v>
      </c>
      <c r="L22" s="63" t="s">
        <v>32</v>
      </c>
      <c r="M22" s="79" t="s">
        <v>13</v>
      </c>
      <c r="N22" s="63" t="s">
        <v>14</v>
      </c>
      <c r="O22" s="63" t="s">
        <v>15</v>
      </c>
      <c r="P22" s="31"/>
      <c r="Q22" s="1"/>
    </row>
    <row r="23" spans="2:17" ht="123" customHeight="1">
      <c r="B23" s="23"/>
      <c r="C23" s="99" t="s">
        <v>9</v>
      </c>
      <c r="D23" s="100"/>
      <c r="E23" s="101"/>
      <c r="F23" s="50" t="s">
        <v>22</v>
      </c>
      <c r="G23" s="51">
        <f>F33</f>
        <v>9706020</v>
      </c>
      <c r="H23" s="51">
        <f>G23*140%</f>
        <v>13588428</v>
      </c>
      <c r="I23" s="51">
        <f>(G23+H23)*30%</f>
        <v>6988334.3999999994</v>
      </c>
      <c r="J23" s="84">
        <f>G23+H23+I23</f>
        <v>30282782.399999999</v>
      </c>
      <c r="K23" s="105">
        <v>0.19359999999999999</v>
      </c>
      <c r="L23" s="85">
        <f>J23*(1-K23)</f>
        <v>24420035.727359999</v>
      </c>
      <c r="M23" s="32">
        <v>43</v>
      </c>
      <c r="N23" s="86">
        <f>ROUNDDOWN(L23*M23,-5)</f>
        <v>1050000000</v>
      </c>
      <c r="O23" s="66" t="s">
        <v>34</v>
      </c>
      <c r="P23" s="27"/>
      <c r="Q23" s="33"/>
    </row>
    <row r="24" spans="2:17" ht="41.25" customHeight="1">
      <c r="B24" s="23"/>
      <c r="C24" s="102" t="s">
        <v>35</v>
      </c>
      <c r="D24" s="103"/>
      <c r="E24" s="103"/>
      <c r="F24" s="103"/>
      <c r="G24" s="103"/>
      <c r="H24" s="103"/>
      <c r="I24" s="103"/>
      <c r="J24" s="103"/>
      <c r="K24" s="103"/>
      <c r="L24" s="104"/>
      <c r="M24" s="76"/>
      <c r="N24" s="54">
        <f>N23</f>
        <v>1050000000</v>
      </c>
      <c r="O24" s="47"/>
      <c r="P24" s="27"/>
      <c r="Q24" s="33"/>
    </row>
    <row r="25" spans="2:17" ht="41.25" customHeight="1">
      <c r="B25" s="23"/>
      <c r="C25" s="89" t="s">
        <v>12</v>
      </c>
      <c r="D25" s="90"/>
      <c r="E25" s="90"/>
      <c r="F25" s="90"/>
      <c r="G25" s="90"/>
      <c r="H25" s="90"/>
      <c r="I25" s="90"/>
      <c r="J25" s="90"/>
      <c r="K25" s="90"/>
      <c r="L25" s="91"/>
      <c r="M25" s="77"/>
      <c r="N25" s="55">
        <f>N24*1.1</f>
        <v>1155000000</v>
      </c>
      <c r="O25" s="65"/>
      <c r="P25" s="27"/>
      <c r="Q25" s="33"/>
    </row>
    <row r="26" spans="2:17" ht="20.25" customHeight="1">
      <c r="B26" s="23"/>
      <c r="C26" s="21"/>
      <c r="D26" s="21"/>
      <c r="E26" s="21"/>
      <c r="F26" s="21"/>
      <c r="G26" s="21"/>
      <c r="H26" s="21"/>
      <c r="I26" s="21"/>
      <c r="J26" s="21"/>
      <c r="K26" s="19"/>
      <c r="L26" s="19"/>
      <c r="M26" s="19"/>
      <c r="N26" s="14"/>
      <c r="O26" s="14"/>
      <c r="P26" s="27"/>
      <c r="Q26" s="33"/>
    </row>
    <row r="27" spans="2:17" ht="20.25" customHeight="1">
      <c r="B27" s="34"/>
      <c r="C27" s="28" t="s">
        <v>25</v>
      </c>
      <c r="D27" s="28"/>
      <c r="E27" s="64"/>
      <c r="F27" s="64"/>
      <c r="G27" s="80"/>
      <c r="H27" s="80"/>
      <c r="I27" s="80"/>
      <c r="J27" s="80"/>
      <c r="K27" s="64"/>
      <c r="L27" s="35"/>
      <c r="M27" s="35"/>
      <c r="N27" s="35"/>
      <c r="O27" s="56"/>
      <c r="P27" s="37"/>
    </row>
    <row r="28" spans="2:17" ht="20.25" customHeight="1">
      <c r="B28" s="34"/>
      <c r="C28" s="38"/>
      <c r="D28" s="75" t="s">
        <v>20</v>
      </c>
      <c r="E28" s="36"/>
      <c r="F28" s="39"/>
      <c r="G28" s="39"/>
      <c r="H28" s="39"/>
      <c r="I28" s="39"/>
      <c r="J28" s="39"/>
      <c r="K28" s="39"/>
      <c r="L28" s="40"/>
      <c r="M28" s="40"/>
      <c r="N28" s="40"/>
      <c r="O28" s="56"/>
      <c r="P28" s="37"/>
    </row>
    <row r="29" spans="2:17" ht="20.25" customHeight="1">
      <c r="B29" s="34"/>
      <c r="C29" s="39"/>
      <c r="D29" s="36" t="s">
        <v>23</v>
      </c>
      <c r="E29" s="41"/>
      <c r="F29" s="41"/>
      <c r="G29" s="41"/>
      <c r="H29" s="41"/>
      <c r="I29" s="41"/>
      <c r="J29" s="41"/>
      <c r="K29" s="40"/>
      <c r="L29" s="40"/>
      <c r="M29" s="40"/>
      <c r="N29" s="36"/>
      <c r="O29" s="36"/>
      <c r="P29" s="37"/>
    </row>
    <row r="30" spans="2:17" s="48" customFormat="1" ht="20.25" customHeight="1">
      <c r="B30" s="23"/>
      <c r="C30" s="39"/>
      <c r="D30" s="36" t="s">
        <v>16</v>
      </c>
      <c r="E30" s="41"/>
      <c r="F30" s="41"/>
      <c r="G30" s="41"/>
      <c r="H30" s="41"/>
      <c r="I30" s="41"/>
      <c r="J30" s="41"/>
      <c r="K30" s="40"/>
      <c r="L30" s="40"/>
      <c r="M30" s="40"/>
      <c r="N30" s="36"/>
      <c r="O30" s="58"/>
      <c r="P30" s="27"/>
    </row>
    <row r="31" spans="2:17" s="48" customFormat="1" ht="20.25" customHeight="1">
      <c r="B31" s="23"/>
      <c r="C31" s="39"/>
      <c r="D31" s="36"/>
      <c r="E31" s="41"/>
      <c r="F31" s="72" t="s">
        <v>18</v>
      </c>
      <c r="G31" s="72"/>
      <c r="H31" s="72"/>
      <c r="I31" s="72"/>
      <c r="J31" s="72"/>
      <c r="L31" s="40"/>
      <c r="M31" s="40"/>
      <c r="N31" s="36"/>
      <c r="O31" s="36"/>
      <c r="P31" s="27"/>
    </row>
    <row r="32" spans="2:17" s="48" customFormat="1" ht="14.45" customHeight="1">
      <c r="B32" s="23"/>
      <c r="C32" s="39"/>
      <c r="D32" s="49"/>
      <c r="E32" s="50" t="s">
        <v>8</v>
      </c>
      <c r="F32" s="51" t="s">
        <v>7</v>
      </c>
      <c r="G32" s="69"/>
      <c r="H32" s="69"/>
      <c r="I32" s="69"/>
      <c r="J32" s="69"/>
      <c r="K32" s="40"/>
      <c r="N32" s="36"/>
      <c r="O32" s="36"/>
      <c r="P32" s="27"/>
    </row>
    <row r="33" spans="2:16" s="48" customFormat="1" ht="14.45" customHeight="1">
      <c r="B33" s="23"/>
      <c r="C33" s="39"/>
      <c r="D33" s="52"/>
      <c r="E33" s="51" t="s">
        <v>24</v>
      </c>
      <c r="F33" s="82">
        <v>9706020</v>
      </c>
      <c r="G33" s="83"/>
      <c r="H33" s="83"/>
      <c r="I33" s="83"/>
      <c r="J33" s="83"/>
      <c r="K33" s="40"/>
      <c r="N33" s="40"/>
      <c r="O33" s="36"/>
      <c r="P33" s="27"/>
    </row>
    <row r="34" spans="2:16" s="48" customFormat="1" ht="20.25" customHeight="1">
      <c r="B34" s="23"/>
      <c r="C34" s="39"/>
      <c r="D34" s="52"/>
      <c r="E34" s="69"/>
      <c r="F34" s="69"/>
      <c r="G34" s="69"/>
      <c r="H34" s="69"/>
      <c r="I34" s="69"/>
      <c r="J34" s="69"/>
      <c r="K34" s="57"/>
      <c r="L34" s="40"/>
      <c r="M34" s="40"/>
      <c r="N34" s="40"/>
      <c r="O34" s="36"/>
      <c r="P34" s="27"/>
    </row>
    <row r="35" spans="2:16" ht="20.25" customHeight="1">
      <c r="B35" s="34"/>
      <c r="C35" s="28" t="s">
        <v>26</v>
      </c>
      <c r="D35" s="28"/>
      <c r="E35" s="64"/>
      <c r="F35" s="64"/>
      <c r="G35" s="80"/>
      <c r="H35" s="80"/>
      <c r="I35" s="80"/>
      <c r="J35" s="80"/>
      <c r="K35" s="64"/>
      <c r="L35" s="35"/>
      <c r="M35" s="35"/>
      <c r="N35" s="40"/>
      <c r="O35" s="36"/>
      <c r="P35" s="37"/>
    </row>
    <row r="36" spans="2:16" ht="20.25" customHeight="1">
      <c r="B36" s="34"/>
      <c r="C36" s="38"/>
      <c r="D36" s="36" t="s">
        <v>27</v>
      </c>
      <c r="E36" s="36"/>
      <c r="F36" s="39"/>
      <c r="G36" s="39"/>
      <c r="H36" s="39"/>
      <c r="I36" s="39"/>
      <c r="J36" s="39"/>
      <c r="K36" s="39"/>
      <c r="L36" s="40"/>
      <c r="M36" s="40"/>
      <c r="N36" s="40"/>
      <c r="O36" s="36"/>
      <c r="P36" s="37"/>
    </row>
    <row r="37" spans="2:16" ht="20.25" customHeight="1">
      <c r="B37" s="34"/>
      <c r="C37" s="39"/>
      <c r="D37" s="36" t="s">
        <v>19</v>
      </c>
      <c r="E37" s="36"/>
      <c r="F37" s="41"/>
      <c r="G37" s="41"/>
      <c r="H37" s="41"/>
      <c r="I37" s="41"/>
      <c r="J37" s="41"/>
      <c r="K37" s="41"/>
      <c r="L37" s="40"/>
      <c r="M37" s="40"/>
      <c r="N37" s="40"/>
      <c r="O37" s="36"/>
      <c r="P37" s="37"/>
    </row>
    <row r="38" spans="2:16" ht="15" customHeight="1">
      <c r="B38" s="42"/>
      <c r="C38" s="43"/>
      <c r="D38" s="43"/>
      <c r="E38" s="43"/>
      <c r="F38" s="2"/>
      <c r="G38" s="2"/>
      <c r="H38" s="2"/>
      <c r="I38" s="2"/>
      <c r="J38" s="2"/>
      <c r="K38" s="2"/>
      <c r="L38" s="3"/>
      <c r="M38" s="3"/>
      <c r="N38" s="2"/>
      <c r="O38" s="2"/>
      <c r="P38" s="44"/>
    </row>
    <row r="39" spans="2:16" ht="15" customHeight="1">
      <c r="B39" s="46"/>
      <c r="C39" s="73"/>
      <c r="D39" s="73"/>
      <c r="E39" s="73"/>
      <c r="F39" s="46"/>
      <c r="G39" s="46"/>
      <c r="H39" s="46"/>
      <c r="I39" s="46"/>
      <c r="J39" s="46"/>
      <c r="K39" s="46"/>
      <c r="L39" s="74"/>
      <c r="M39" s="74"/>
      <c r="N39" s="46"/>
      <c r="P39" s="46"/>
    </row>
    <row r="40" spans="2:16"/>
    <row r="41" spans="2:16" ht="12" customHeight="1"/>
    <row r="42" spans="2:16" ht="12" customHeight="1"/>
    <row r="43" spans="2:16" ht="12" customHeight="1"/>
    <row r="44" spans="2:16" ht="12" customHeight="1"/>
    <row r="45" spans="2:16" ht="12" customHeight="1"/>
    <row r="46" spans="2:16" ht="12" customHeight="1"/>
    <row r="47" spans="2:16" ht="12" customHeight="1"/>
    <row r="48" spans="2:16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</sheetData>
  <mergeCells count="6">
    <mergeCell ref="C25:L25"/>
    <mergeCell ref="B6:P6"/>
    <mergeCell ref="B18:P18"/>
    <mergeCell ref="C22:E22"/>
    <mergeCell ref="C23:E23"/>
    <mergeCell ref="C24:L24"/>
  </mergeCells>
  <phoneticPr fontId="4" type="noConversion"/>
  <pageMargins left="0.25" right="0.25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8"/>
  <sheetViews>
    <sheetView workbookViewId="0">
      <selection activeCell="D34" sqref="D34"/>
    </sheetView>
  </sheetViews>
  <sheetFormatPr defaultRowHeight="16.5"/>
  <cols>
    <col min="1" max="1" width="9" style="106"/>
    <col min="2" max="2" width="12.75" style="106" customWidth="1"/>
    <col min="3" max="3" width="30.25" style="106" customWidth="1"/>
    <col min="4" max="4" width="41.5" style="106" customWidth="1"/>
    <col min="5" max="11" width="12.75" style="106" customWidth="1"/>
    <col min="12" max="16384" width="9" style="106"/>
  </cols>
  <sheetData>
    <row r="3" spans="2:11">
      <c r="B3" s="107" t="s">
        <v>36</v>
      </c>
      <c r="C3" s="107" t="s">
        <v>36</v>
      </c>
      <c r="D3" s="108" t="s">
        <v>37</v>
      </c>
      <c r="E3" s="108" t="s">
        <v>8</v>
      </c>
      <c r="F3" s="108" t="s">
        <v>8</v>
      </c>
      <c r="G3" s="107" t="s">
        <v>38</v>
      </c>
      <c r="H3" s="107"/>
      <c r="I3" s="107"/>
      <c r="J3" s="107"/>
      <c r="K3" s="107"/>
    </row>
    <row r="4" spans="2:11">
      <c r="B4" s="107"/>
      <c r="C4" s="107"/>
      <c r="D4" s="108"/>
      <c r="E4" s="108"/>
      <c r="F4" s="108"/>
      <c r="G4" s="109" t="s">
        <v>39</v>
      </c>
      <c r="H4" s="109" t="s">
        <v>40</v>
      </c>
      <c r="I4" s="109" t="s">
        <v>41</v>
      </c>
      <c r="J4" s="109" t="s">
        <v>42</v>
      </c>
      <c r="K4" s="109" t="s">
        <v>58</v>
      </c>
    </row>
    <row r="5" spans="2:11">
      <c r="B5" s="110">
        <v>1</v>
      </c>
      <c r="C5" s="111" t="s">
        <v>43</v>
      </c>
      <c r="D5" s="112" t="s">
        <v>44</v>
      </c>
      <c r="E5" s="112" t="s">
        <v>45</v>
      </c>
      <c r="F5" s="112" t="s">
        <v>46</v>
      </c>
      <c r="G5" s="123">
        <v>1</v>
      </c>
      <c r="H5" s="123">
        <v>1</v>
      </c>
      <c r="I5" s="123">
        <v>1</v>
      </c>
      <c r="J5" s="123">
        <v>1</v>
      </c>
      <c r="K5" s="122">
        <f>SUM(G5:J5)</f>
        <v>4</v>
      </c>
    </row>
    <row r="6" spans="2:11">
      <c r="B6" s="110">
        <v>2</v>
      </c>
      <c r="C6" s="114" t="s">
        <v>47</v>
      </c>
      <c r="D6" s="115" t="s">
        <v>48</v>
      </c>
      <c r="E6" s="112" t="s">
        <v>45</v>
      </c>
      <c r="F6" s="112" t="s">
        <v>46</v>
      </c>
      <c r="G6" s="123">
        <v>1</v>
      </c>
      <c r="H6" s="123">
        <v>1</v>
      </c>
      <c r="I6" s="123">
        <v>1</v>
      </c>
      <c r="J6" s="123">
        <v>1</v>
      </c>
      <c r="K6" s="122">
        <f t="shared" ref="K6:K18" si="0">SUM(G6:J6)</f>
        <v>4</v>
      </c>
    </row>
    <row r="7" spans="2:11">
      <c r="B7" s="110">
        <v>3</v>
      </c>
      <c r="C7" s="114"/>
      <c r="D7" s="115"/>
      <c r="E7" s="112" t="s">
        <v>49</v>
      </c>
      <c r="F7" s="112" t="s">
        <v>50</v>
      </c>
      <c r="G7" s="123">
        <v>1</v>
      </c>
      <c r="H7" s="123">
        <v>1</v>
      </c>
      <c r="I7" s="123">
        <v>1</v>
      </c>
      <c r="J7" s="123">
        <v>1</v>
      </c>
      <c r="K7" s="122">
        <f t="shared" si="0"/>
        <v>4</v>
      </c>
    </row>
    <row r="8" spans="2:11">
      <c r="B8" s="110">
        <v>4</v>
      </c>
      <c r="C8" s="114"/>
      <c r="D8" s="115"/>
      <c r="E8" s="112" t="s">
        <v>51</v>
      </c>
      <c r="F8" s="112" t="s">
        <v>52</v>
      </c>
      <c r="G8" s="123">
        <v>1</v>
      </c>
      <c r="H8" s="123">
        <v>1</v>
      </c>
      <c r="I8" s="113"/>
      <c r="J8" s="113"/>
      <c r="K8" s="122">
        <f t="shared" si="0"/>
        <v>2</v>
      </c>
    </row>
    <row r="9" spans="2:11">
      <c r="B9" s="110">
        <v>5</v>
      </c>
      <c r="C9" s="116" t="s">
        <v>53</v>
      </c>
      <c r="D9" s="115" t="s">
        <v>54</v>
      </c>
      <c r="E9" s="112" t="s">
        <v>45</v>
      </c>
      <c r="F9" s="112" t="s">
        <v>46</v>
      </c>
      <c r="G9" s="123">
        <v>1</v>
      </c>
      <c r="H9" s="123">
        <v>1</v>
      </c>
      <c r="I9" s="123">
        <v>1</v>
      </c>
      <c r="J9" s="123">
        <v>1</v>
      </c>
      <c r="K9" s="122">
        <f t="shared" si="0"/>
        <v>4</v>
      </c>
    </row>
    <row r="10" spans="2:11">
      <c r="B10" s="110">
        <v>6</v>
      </c>
      <c r="C10" s="116"/>
      <c r="D10" s="115"/>
      <c r="E10" s="112" t="s">
        <v>45</v>
      </c>
      <c r="F10" s="112" t="s">
        <v>46</v>
      </c>
      <c r="G10" s="123">
        <v>1</v>
      </c>
      <c r="H10" s="123">
        <v>1</v>
      </c>
      <c r="I10" s="123">
        <v>1</v>
      </c>
      <c r="J10" s="113"/>
      <c r="K10" s="122">
        <f t="shared" si="0"/>
        <v>3</v>
      </c>
    </row>
    <row r="11" spans="2:11">
      <c r="B11" s="110">
        <v>7</v>
      </c>
      <c r="C11" s="116"/>
      <c r="D11" s="115"/>
      <c r="E11" s="112" t="s">
        <v>49</v>
      </c>
      <c r="F11" s="112" t="s">
        <v>50</v>
      </c>
      <c r="G11" s="123">
        <v>1</v>
      </c>
      <c r="H11" s="123">
        <v>1</v>
      </c>
      <c r="I11" s="123">
        <v>1</v>
      </c>
      <c r="J11" s="123">
        <v>1</v>
      </c>
      <c r="K11" s="122">
        <f t="shared" si="0"/>
        <v>4</v>
      </c>
    </row>
    <row r="12" spans="2:11">
      <c r="B12" s="110">
        <v>8</v>
      </c>
      <c r="C12" s="116"/>
      <c r="D12" s="115"/>
      <c r="E12" s="112" t="s">
        <v>49</v>
      </c>
      <c r="F12" s="112" t="s">
        <v>50</v>
      </c>
      <c r="G12" s="123">
        <v>1</v>
      </c>
      <c r="H12" s="123">
        <v>1</v>
      </c>
      <c r="I12" s="123">
        <v>1</v>
      </c>
      <c r="J12" s="113"/>
      <c r="K12" s="122">
        <f t="shared" si="0"/>
        <v>3</v>
      </c>
    </row>
    <row r="13" spans="2:11">
      <c r="B13" s="110">
        <v>9</v>
      </c>
      <c r="C13" s="117" t="s">
        <v>55</v>
      </c>
      <c r="D13" s="115" t="s">
        <v>56</v>
      </c>
      <c r="E13" s="112" t="s">
        <v>45</v>
      </c>
      <c r="F13" s="112" t="s">
        <v>46</v>
      </c>
      <c r="G13" s="123">
        <v>1</v>
      </c>
      <c r="H13" s="123">
        <v>1</v>
      </c>
      <c r="I13" s="123">
        <v>1</v>
      </c>
      <c r="J13" s="123">
        <v>1</v>
      </c>
      <c r="K13" s="122">
        <f t="shared" si="0"/>
        <v>4</v>
      </c>
    </row>
    <row r="14" spans="2:11">
      <c r="B14" s="110">
        <v>10</v>
      </c>
      <c r="C14" s="117"/>
      <c r="D14" s="115"/>
      <c r="E14" s="112" t="s">
        <v>45</v>
      </c>
      <c r="F14" s="112" t="s">
        <v>46</v>
      </c>
      <c r="G14" s="113"/>
      <c r="H14" s="123">
        <v>0.5</v>
      </c>
      <c r="I14" s="123">
        <v>1</v>
      </c>
      <c r="J14" s="123">
        <v>1</v>
      </c>
      <c r="K14" s="122">
        <f t="shared" si="0"/>
        <v>2.5</v>
      </c>
    </row>
    <row r="15" spans="2:11">
      <c r="B15" s="110">
        <v>11</v>
      </c>
      <c r="C15" s="117"/>
      <c r="D15" s="115"/>
      <c r="E15" s="112" t="s">
        <v>49</v>
      </c>
      <c r="F15" s="112" t="s">
        <v>50</v>
      </c>
      <c r="G15" s="113"/>
      <c r="H15" s="123">
        <v>1</v>
      </c>
      <c r="I15" s="123">
        <v>1</v>
      </c>
      <c r="J15" s="123">
        <v>1</v>
      </c>
      <c r="K15" s="122">
        <f t="shared" si="0"/>
        <v>3</v>
      </c>
    </row>
    <row r="16" spans="2:11">
      <c r="B16" s="110">
        <v>12</v>
      </c>
      <c r="C16" s="117"/>
      <c r="D16" s="115"/>
      <c r="E16" s="112" t="s">
        <v>49</v>
      </c>
      <c r="F16" s="112" t="s">
        <v>50</v>
      </c>
      <c r="G16" s="113"/>
      <c r="H16" s="123">
        <v>1</v>
      </c>
      <c r="I16" s="123">
        <v>1</v>
      </c>
      <c r="J16" s="123">
        <v>1</v>
      </c>
      <c r="K16" s="122">
        <f t="shared" si="0"/>
        <v>3</v>
      </c>
    </row>
    <row r="17" spans="2:11">
      <c r="B17" s="110">
        <v>13</v>
      </c>
      <c r="C17" s="117"/>
      <c r="D17" s="115"/>
      <c r="E17" s="112" t="s">
        <v>51</v>
      </c>
      <c r="F17" s="112" t="s">
        <v>52</v>
      </c>
      <c r="G17" s="113"/>
      <c r="H17" s="123">
        <v>1</v>
      </c>
      <c r="I17" s="123">
        <v>1</v>
      </c>
      <c r="J17" s="123">
        <v>0.5</v>
      </c>
      <c r="K17" s="122">
        <f t="shared" si="0"/>
        <v>2.5</v>
      </c>
    </row>
    <row r="18" spans="2:11">
      <c r="B18" s="118"/>
      <c r="C18" s="119" t="s">
        <v>57</v>
      </c>
      <c r="D18" s="119"/>
      <c r="E18" s="119"/>
      <c r="F18" s="120"/>
      <c r="G18" s="121">
        <f>SUM(G5:G17)</f>
        <v>9</v>
      </c>
      <c r="H18" s="121">
        <f>SUM(H5:H17)</f>
        <v>12.5</v>
      </c>
      <c r="I18" s="121">
        <f>SUM(I5:I17)</f>
        <v>12</v>
      </c>
      <c r="J18" s="121">
        <f>SUM(J5:J17)</f>
        <v>9.5</v>
      </c>
      <c r="K18" s="121">
        <f t="shared" si="0"/>
        <v>43</v>
      </c>
    </row>
  </sheetData>
  <mergeCells count="13">
    <mergeCell ref="C18:E18"/>
    <mergeCell ref="C6:C8"/>
    <mergeCell ref="D6:D8"/>
    <mergeCell ref="C9:C12"/>
    <mergeCell ref="D9:D12"/>
    <mergeCell ref="C13:C17"/>
    <mergeCell ref="D13:D17"/>
    <mergeCell ref="B3:B4"/>
    <mergeCell ref="C3:C4"/>
    <mergeCell ref="D3:D4"/>
    <mergeCell ref="E3:E4"/>
    <mergeCell ref="F3:F4"/>
    <mergeCell ref="G3:K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견적서</vt:lpstr>
      <vt:lpstr>인력투입계획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SDS</cp:lastModifiedBy>
  <cp:lastPrinted>2025-06-16T03:44:25Z</cp:lastPrinted>
  <dcterms:created xsi:type="dcterms:W3CDTF">2019-12-17T05:50:40Z</dcterms:created>
  <dcterms:modified xsi:type="dcterms:W3CDTF">2025-09-16T02:16:49Z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8036A251AF1F0750F0A1D50BC73488A5568A72725395FBB738194548A59E121FDB3078D914D28A5024D4F4B798176E31D0DA5BA01C08D631A7F4BDB15B17703E</vt:lpwstr>
  </property>
</Properties>
</file>