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drawings/drawing2.xml" ContentType="application/vnd.openxmlformats-officedocument.drawing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3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drawings/drawing4.xml" ContentType="application/vnd.openxmlformats-officedocument.drawing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drawings/drawing5.xml" ContentType="application/vnd.openxmlformats-officedocument.drawing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drawings/drawing6.xml" ContentType="application/vnd.openxmlformats-officedocument.drawing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Z:\IT기획팀\001. 정추위-정보기술부문계획\2602_정보기술부문계획\2. 회신\44. 디지털전략부\(붙임) 2026년 전산예산 편성을 위한 기초자료_디지털전략부\"/>
    </mc:Choice>
  </mc:AlternateContent>
  <xr:revisionPtr revIDLastSave="0" documentId="13_ncr:1_{E1527847-7FB3-4655-92E6-8F55AC8C1101}" xr6:coauthVersionLast="47" xr6:coauthVersionMax="47" xr10:uidLastSave="{00000000-0000-0000-0000-000000000000}"/>
  <bookViews>
    <workbookView xWindow="38290" yWindow="-110" windowWidth="38620" windowHeight="21220" tabRatio="952" activeTab="3" xr2:uid="{00000000-000D-0000-FFFF-FFFF00000000}"/>
  </bookViews>
  <sheets>
    <sheet name="① (정보화사업) 1-1. 정보화사업 개요(컨설팅)" sheetId="16" r:id="rId1"/>
    <sheet name="① (정보화사업) 1-2. 소요자원 상세내용(컨설팅)" sheetId="1" r:id="rId2"/>
    <sheet name="① (정보화사업) 1-1. 정보화사업 개요(시스템구축)" sheetId="21" r:id="rId3"/>
    <sheet name="① (정보화사업) 1-2. 소요자원 상세내용(시스템구축)" sheetId="22" r:id="rId4"/>
    <sheet name="① (정보화사업) 1-1. 정보화사업 개요(AIOCR)" sheetId="23" r:id="rId5"/>
    <sheet name="① (정보화사업) 1-2. 소요자원 상세내용(AIOCR)" sheetId="24" r:id="rId6"/>
  </sheets>
  <definedNames>
    <definedName name="_xlnm.Print_Area" localSheetId="4">'① (정보화사업) 1-1. 정보화사업 개요(AIOCR)'!$A$1:$J$32</definedName>
    <definedName name="_xlnm.Print_Area" localSheetId="2">'① (정보화사업) 1-1. 정보화사업 개요(시스템구축)'!$A$1:$J$38</definedName>
    <definedName name="_xlnm.Print_Area" localSheetId="0">'① (정보화사업) 1-1. 정보화사업 개요(컨설팅)'!$A$1:$J$38</definedName>
    <definedName name="_xlnm.Print_Area" localSheetId="5">'① (정보화사업) 1-2. 소요자원 상세내용(AIOCR)'!$A$1:$L$27</definedName>
    <definedName name="_xlnm.Print_Area" localSheetId="3">'① (정보화사업) 1-2. 소요자원 상세내용(시스템구축)'!$A$1:$L$27</definedName>
    <definedName name="_xlnm.Print_Area" localSheetId="1">'① (정보화사업) 1-2. 소요자원 상세내용(컨설팅)'!$A$1:$L$23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22" l="1"/>
  <c r="N17" i="22"/>
  <c r="N15" i="22"/>
  <c r="N14" i="22"/>
  <c r="O13" i="22"/>
  <c r="N13" i="22"/>
  <c r="M15" i="22"/>
  <c r="M14" i="22"/>
  <c r="M13" i="22"/>
  <c r="M12" i="22"/>
  <c r="G25" i="23"/>
  <c r="C32" i="23"/>
  <c r="H31" i="23"/>
  <c r="F31" i="23"/>
  <c r="E31" i="23"/>
  <c r="D31" i="23"/>
  <c r="C31" i="23"/>
  <c r="G30" i="23"/>
  <c r="I30" i="23" s="1"/>
  <c r="G29" i="23"/>
  <c r="I29" i="23" s="1"/>
  <c r="I31" i="23" s="1"/>
  <c r="H28" i="23"/>
  <c r="F28" i="23"/>
  <c r="E28" i="23"/>
  <c r="D28" i="23"/>
  <c r="C28" i="23"/>
  <c r="G27" i="23"/>
  <c r="I27" i="23" s="1"/>
  <c r="G26" i="23"/>
  <c r="I26" i="23" s="1"/>
  <c r="E32" i="23" l="1"/>
  <c r="F32" i="23"/>
  <c r="H32" i="23"/>
  <c r="D32" i="23"/>
  <c r="G28" i="23"/>
  <c r="I25" i="23"/>
  <c r="I28" i="23" s="1"/>
  <c r="I32" i="23" s="1"/>
  <c r="J22" i="23" s="1"/>
  <c r="G31" i="23"/>
  <c r="G32" i="23" s="1"/>
  <c r="J23" i="23" s="1"/>
  <c r="H37" i="21" l="1"/>
  <c r="F37" i="21"/>
  <c r="E37" i="21"/>
  <c r="D37" i="21"/>
  <c r="C37" i="21"/>
  <c r="G36" i="21"/>
  <c r="I36" i="21" s="1"/>
  <c r="G35" i="21"/>
  <c r="I35" i="21" s="1"/>
  <c r="H34" i="21"/>
  <c r="H38" i="21" s="1"/>
  <c r="F34" i="21"/>
  <c r="F38" i="21" s="1"/>
  <c r="E34" i="21"/>
  <c r="E38" i="21" s="1"/>
  <c r="D34" i="21"/>
  <c r="D38" i="21" s="1"/>
  <c r="C34" i="21"/>
  <c r="G33" i="21"/>
  <c r="I33" i="21" s="1"/>
  <c r="G32" i="21"/>
  <c r="I32" i="21" s="1"/>
  <c r="G31" i="21"/>
  <c r="I31" i="21" s="1"/>
  <c r="C37" i="16"/>
  <c r="D37" i="16"/>
  <c r="E37" i="16"/>
  <c r="E38" i="16"/>
  <c r="F37" i="16"/>
  <c r="H37" i="16"/>
  <c r="G36" i="16"/>
  <c r="I36" i="16" s="1"/>
  <c r="I37" i="16" s="1"/>
  <c r="G35" i="16"/>
  <c r="D38" i="16"/>
  <c r="F38" i="16"/>
  <c r="H38" i="16"/>
  <c r="I35" i="16"/>
  <c r="I33" i="16"/>
  <c r="I32" i="16"/>
  <c r="G31" i="16"/>
  <c r="I31" i="16" s="1"/>
  <c r="G32" i="16"/>
  <c r="G33" i="16"/>
  <c r="H34" i="16"/>
  <c r="D34" i="16"/>
  <c r="E34" i="16"/>
  <c r="F34" i="16"/>
  <c r="C34" i="16"/>
  <c r="C38" i="16" s="1"/>
  <c r="I37" i="21" l="1"/>
  <c r="C38" i="21"/>
  <c r="I34" i="21"/>
  <c r="I38" i="21" s="1"/>
  <c r="J28" i="21" s="1"/>
  <c r="G34" i="21"/>
  <c r="G37" i="21"/>
  <c r="G37" i="16"/>
  <c r="I34" i="16"/>
  <c r="I38" i="16" s="1"/>
  <c r="G34" i="16"/>
  <c r="G38" i="16" s="1"/>
  <c r="G38" i="21" l="1"/>
  <c r="J29" i="21" s="1"/>
</calcChain>
</file>

<file path=xl/sharedStrings.xml><?xml version="1.0" encoding="utf-8"?>
<sst xmlns="http://schemas.openxmlformats.org/spreadsheetml/2006/main" count="487" uniqueCount="159">
  <si>
    <t>사업명</t>
    <phoneticPr fontId="2" type="noConversion"/>
  </si>
  <si>
    <t>사업유형</t>
    <phoneticPr fontId="2" type="noConversion"/>
  </si>
  <si>
    <t>주 사용자</t>
    <phoneticPr fontId="2" type="noConversion"/>
  </si>
  <si>
    <t>시스템(사업)명</t>
  </si>
  <si>
    <t>담당부서</t>
  </si>
  <si>
    <t>연관내용</t>
  </si>
  <si>
    <t>시스템 특성</t>
    <phoneticPr fontId="2" type="noConversion"/>
  </si>
  <si>
    <t>시스템 영역</t>
    <phoneticPr fontId="2" type="noConversion"/>
  </si>
  <si>
    <t>시스템 요건</t>
    <phoneticPr fontId="2" type="noConversion"/>
  </si>
  <si>
    <t>업무구분</t>
    <phoneticPr fontId="2" type="noConversion"/>
  </si>
  <si>
    <t>소요예산</t>
  </si>
  <si>
    <t>소요예산</t>
    <phoneticPr fontId="2" type="noConversion"/>
  </si>
  <si>
    <t>연관 시스템
(연관 사업)</t>
    <phoneticPr fontId="2" type="noConversion"/>
  </si>
  <si>
    <t>사업 개요</t>
    <phoneticPr fontId="2" type="noConversion"/>
  </si>
  <si>
    <t>1분기</t>
    <phoneticPr fontId="2" type="noConversion"/>
  </si>
  <si>
    <t>2분기</t>
    <phoneticPr fontId="2" type="noConversion"/>
  </si>
  <si>
    <t>3분기</t>
    <phoneticPr fontId="2" type="noConversion"/>
  </si>
  <si>
    <t>4분기</t>
    <phoneticPr fontId="2" type="noConversion"/>
  </si>
  <si>
    <t>전체 합계</t>
    <phoneticPr fontId="2" type="noConversion"/>
  </si>
  <si>
    <t>(개요)</t>
    <phoneticPr fontId="2" type="noConversion"/>
  </si>
  <si>
    <t>(현황)</t>
    <phoneticPr fontId="2" type="noConversion"/>
  </si>
  <si>
    <t>(미추진시 
문제점)</t>
    <phoneticPr fontId="2" type="noConversion"/>
  </si>
  <si>
    <t>개발비</t>
    <phoneticPr fontId="2" type="noConversion"/>
  </si>
  <si>
    <t>기계장치(HW)</t>
    <phoneticPr fontId="2" type="noConversion"/>
  </si>
  <si>
    <t>기타무형자산(SW)</t>
    <phoneticPr fontId="2" type="noConversion"/>
  </si>
  <si>
    <t>사업구분</t>
    <phoneticPr fontId="2" type="noConversion"/>
  </si>
  <si>
    <t>법규상 완료시기</t>
    <phoneticPr fontId="2" type="noConversion"/>
  </si>
  <si>
    <t>정보보호여부</t>
    <phoneticPr fontId="2" type="noConversion"/>
  </si>
  <si>
    <t>비고</t>
    <phoneticPr fontId="2" type="noConversion"/>
  </si>
  <si>
    <t>항목</t>
    <phoneticPr fontId="2" type="noConversion"/>
  </si>
  <si>
    <t>수량</t>
    <phoneticPr fontId="2" type="noConversion"/>
  </si>
  <si>
    <t>통화</t>
    <phoneticPr fontId="2" type="noConversion"/>
  </si>
  <si>
    <t>산정근거</t>
    <phoneticPr fontId="2" type="noConversion"/>
  </si>
  <si>
    <t>도입시기(월)</t>
    <phoneticPr fontId="2" type="noConversion"/>
  </si>
  <si>
    <t>구분</t>
    <phoneticPr fontId="2" type="noConversion"/>
  </si>
  <si>
    <t>진행 상황</t>
    <phoneticPr fontId="2" type="noConversion"/>
  </si>
  <si>
    <t>편성 기준</t>
    <phoneticPr fontId="2" type="noConversion"/>
  </si>
  <si>
    <t>관련 조직</t>
    <phoneticPr fontId="2" type="noConversion"/>
  </si>
  <si>
    <t>추진시기 및 소요예산</t>
    <phoneticPr fontId="2" type="noConversion"/>
  </si>
  <si>
    <t>예산 소요(상세)
(백만원, 부가세포함)</t>
    <phoneticPr fontId="2" type="noConversion"/>
  </si>
  <si>
    <t xml:space="preserve">1-1. 정보화사업 개요 </t>
    <phoneticPr fontId="2" type="noConversion"/>
  </si>
  <si>
    <t>중복 여부</t>
    <phoneticPr fontId="2" type="noConversion"/>
  </si>
  <si>
    <t>디지털 기술 유형</t>
    <phoneticPr fontId="2" type="noConversion"/>
  </si>
  <si>
    <t>사업 추진 가능성</t>
    <phoneticPr fontId="2" type="noConversion"/>
  </si>
  <si>
    <t>추진가능성</t>
    <phoneticPr fontId="2" type="noConversion"/>
  </si>
  <si>
    <t>단가</t>
    <phoneticPr fontId="2" type="noConversion"/>
  </si>
  <si>
    <t>사업 범위
(전산 요구사항)</t>
    <phoneticPr fontId="2" type="noConversion"/>
  </si>
  <si>
    <t>보고 상태</t>
    <phoneticPr fontId="2" type="noConversion"/>
  </si>
  <si>
    <t>최종보고</t>
    <phoneticPr fontId="2" type="noConversion"/>
  </si>
  <si>
    <t>전결권자</t>
    <phoneticPr fontId="2" type="noConversion"/>
  </si>
  <si>
    <t>인프라 
통합관리 여부</t>
    <phoneticPr fontId="2" type="noConversion"/>
  </si>
  <si>
    <t>* 견적서 기반 소요예산 근거 등 별첨 필요</t>
    <phoneticPr fontId="2" type="noConversion"/>
  </si>
  <si>
    <t>소요예산
(부가세포함)</t>
    <phoneticPr fontId="2" type="noConversion"/>
  </si>
  <si>
    <t>KRW</t>
    <phoneticPr fontId="2" type="noConversion"/>
  </si>
  <si>
    <t>(기대효과)</t>
    <phoneticPr fontId="2" type="noConversion"/>
  </si>
  <si>
    <t>(필요성)</t>
    <phoneticPr fontId="2" type="noConversion"/>
  </si>
  <si>
    <t>(확인자)</t>
    <phoneticPr fontId="2" type="noConversion"/>
  </si>
  <si>
    <t>(작성자)</t>
    <phoneticPr fontId="2" type="noConversion"/>
  </si>
  <si>
    <t>1-2. 정보화사업  소요자원 상세내용</t>
    <phoneticPr fontId="2" type="noConversion"/>
  </si>
  <si>
    <t>'26년도 합계</t>
    <phoneticPr fontId="2" type="noConversion"/>
  </si>
  <si>
    <t>'26년도 이후</t>
    <phoneticPr fontId="2" type="noConversion"/>
  </si>
  <si>
    <t>자본예산</t>
    <phoneticPr fontId="2" type="noConversion"/>
  </si>
  <si>
    <t>일반관리비</t>
    <phoneticPr fontId="2" type="noConversion"/>
  </si>
  <si>
    <t>전산임차료</t>
    <phoneticPr fontId="2" type="noConversion"/>
  </si>
  <si>
    <t>전산제비</t>
    <phoneticPr fontId="2" type="noConversion"/>
  </si>
  <si>
    <r>
      <t xml:space="preserve"> </t>
    </r>
    <r>
      <rPr>
        <b/>
        <sz val="11"/>
        <color indexed="10"/>
        <rFont val="맑은 고딕"/>
        <family val="3"/>
        <charset val="129"/>
      </rPr>
      <t>* HW(기계장치) 및 SW(기타무형자산, 전산임차료) 소요자원 중 IT인프라 자원 포함 시, IT인프라팀과 사전협의 내용 반영하여 작성</t>
    </r>
    <phoneticPr fontId="2" type="noConversion"/>
  </si>
  <si>
    <t>소 계</t>
    <phoneticPr fontId="2" type="noConversion"/>
  </si>
  <si>
    <t>총 계</t>
    <phoneticPr fontId="2" type="noConversion"/>
  </si>
  <si>
    <t>대금지급주기
(월/분기/년)</t>
    <phoneticPr fontId="2" type="noConversion"/>
  </si>
  <si>
    <t>연간 소요예산
(부가세포함)</t>
    <phoneticPr fontId="2" type="noConversion"/>
  </si>
  <si>
    <t>최형욱 팀장</t>
    <phoneticPr fontId="2" type="noConversion"/>
  </si>
  <si>
    <t>서우덕 차장</t>
    <phoneticPr fontId="2" type="noConversion"/>
  </si>
  <si>
    <t>KDB Paper-Less 업무환경 구축 컨설팅</t>
  </si>
  <si>
    <t>KDB만의 페이퍼리스 모델인 ‘KDB Paper-Less' 업무체계 도입 및 시스템 구축 준비를 위한 요건정의 사업</t>
  </si>
  <si>
    <t>'00년대부터 페이퍼리스를 추진한 타행 대비 후발주자인 당행은 주요 시중은행의 Best Practice를 확보하고
있는 외부전문기관을 통해 데이터 자산 축적·활용까지 고려한 중장기 전략 및 로드맵, 시스템 구축을 위한
상세 추진계획 마련 필요</t>
  </si>
  <si>
    <t>○ 외부환경 및 내부 현황분석
  - 타행 Best Practice 분석 및 당행 적용방안 수립
  - ’24년 Paper-Less T/F 결과보고서 리뷰 및 개선사항 검토
  - 여신·수신·외국환 등 As-Is 업무 프로세스 상세 분석
○ Paper-Less 활용 업무 프로세스 설계
  - 여신·수신·외국환 및 문서관리 To-Be 업무 프로세스 상세 설계
  - 문서(일반/전자) 全단계에 대한 통합 관리·활용 체계 마련 및 서고관리시스템 도입·운영 프로세스 설계
  - 디지털 신기술(AI OCR 등) 적용 방안 도출
○ 조직·인력 및 인프라 관련 개선과제 도출
  - 업무환경 변화로 인한 조직·인력운용 및 직무관리 관련 개선과제 도출
○ IT설계·요건정의 및 전산시스템 구축계획 수립
  - To-Be 업무시스템 기능 요구사항 상세화 등 전산요건 정의
  - 시스템 구축계획 수립 및 소요예산·인력 산정 등</t>
  </si>
  <si>
    <t>추진경과</t>
  </si>
  <si>
    <t>향후계획</t>
  </si>
  <si>
    <t>○ ('25.10월~12월) IT개발 상세 요건정의 및 시스템
    구축계획 수립
○ ('25.12월) 요건정의 사업 종료보고 및 시스템 구축
    사업 추진검토 개시</t>
  </si>
  <si>
    <t>주관부문/본부</t>
  </si>
  <si>
    <t>리스크관리부문/IDT본부</t>
  </si>
  <si>
    <t>팀장</t>
  </si>
  <si>
    <t>최형욱</t>
  </si>
  <si>
    <t>IT팀장</t>
  </si>
  <si>
    <t>미정</t>
  </si>
  <si>
    <t>주관부서/팀</t>
  </si>
  <si>
    <t>디지털전략부/업무디지털추진팀</t>
  </si>
  <si>
    <t>실무자(정/부)</t>
  </si>
  <si>
    <t>서우덕/유은영</t>
  </si>
  <si>
    <t>IT실무자(정/부)</t>
  </si>
  <si>
    <t>전무이사</t>
    <phoneticPr fontId="2" type="noConversion"/>
  </si>
  <si>
    <t>시작일자
(YY/MM)</t>
  </si>
  <si>
    <t>25/06</t>
  </si>
  <si>
    <t>종료일자
(YY/MM)</t>
  </si>
  <si>
    <t>25/12</t>
  </si>
  <si>
    <t xml:space="preserve">총 사업금액(전체기간)
</t>
  </si>
  <si>
    <t>2,020백만원</t>
  </si>
  <si>
    <t>‘26년도 필요예산 편성요청</t>
  </si>
  <si>
    <t>808백만원</t>
  </si>
  <si>
    <t>KDB Paper-Less 업무환경 구축 컨설팅
(요건정의 사업)</t>
  </si>
  <si>
    <t>-</t>
  </si>
  <si>
    <t>KRW</t>
  </si>
  <si>
    <t>용역계약에 따른 잔금
(계약금액의 40%)</t>
  </si>
  <si>
    <t>KDB Paper-Less 시스템 구축</t>
    <phoneticPr fontId="2" type="noConversion"/>
  </si>
  <si>
    <r>
      <t>○ (’24.3월~12월) 전행T/F 운영을 통한 사업
    추진 방향성 설정 및 계획 마련</t>
    </r>
    <r>
      <rPr>
        <sz val="8"/>
        <color rgb="FF0000CC"/>
        <rFont val="맑은 고딕"/>
        <family val="3"/>
        <charset val="129"/>
      </rPr>
      <t>(회장보고료)</t>
    </r>
    <r>
      <rPr>
        <sz val="10"/>
        <color rgb="FF0000CC"/>
        <rFont val="맑은 고딕"/>
        <family val="3"/>
        <charset val="129"/>
      </rPr>
      <t xml:space="preserve">
○ ('25.4월) 요건정의 사업 추진 품의·승인
○ ('25.4월~6월) 입찰·사업자선정, 계약체결
○ ('25.6월~현재) 요건정의 컨설팅 수행中</t>
    </r>
    <phoneticPr fontId="2" type="noConversion"/>
  </si>
  <si>
    <t>26/07
(예상)</t>
    <phoneticPr fontId="2" type="noConversion"/>
  </si>
  <si>
    <t>27/06
(예상)</t>
    <phoneticPr fontId="2" type="noConversion"/>
  </si>
  <si>
    <t>이사회(예상)</t>
    <phoneticPr fontId="2" type="noConversion"/>
  </si>
  <si>
    <r>
      <t>○ ('25.10월~12월) IT개발 상세 요건정의 및 시스템
    구축계획 수립
○ ('25.12월) 요건정의 사업 종료보고 및 사업예산
    경영예산심의위원회 앞 보고</t>
    </r>
    <r>
      <rPr>
        <sz val="8"/>
        <color rgb="FF0000CC"/>
        <rFont val="맑은 고딕"/>
        <family val="3"/>
        <charset val="129"/>
      </rPr>
      <t xml:space="preserve">(종합기획부)
</t>
    </r>
    <r>
      <rPr>
        <sz val="10"/>
        <color rgb="FF0000CC"/>
        <rFont val="맑은 고딕"/>
        <family val="3"/>
        <charset val="129"/>
      </rPr>
      <t>○ ('26.상반기) 정추위/정실협/과심위 등 정보화사업
    추진절차 진행, 시스템 구축 사업 품의·승인 등</t>
    </r>
    <phoneticPr fontId="2" type="noConversion"/>
  </si>
  <si>
    <t>코어뱅킹</t>
    <phoneticPr fontId="2" type="noConversion"/>
  </si>
  <si>
    <t>코어금융부</t>
    <phoneticPr fontId="2" type="noConversion"/>
  </si>
  <si>
    <t>디지털금융부</t>
    <phoneticPr fontId="2" type="noConversion"/>
  </si>
  <si>
    <t>인터넷뱅킹/모바일뱅킹</t>
    <phoneticPr fontId="2" type="noConversion"/>
  </si>
  <si>
    <r>
      <t>○ 전자문서 활용에 따른 문서작성/정보입력  및 처리절차 간소화 등 영업점 업무 효율성 증대
○ 전자문서 기반 디지털창구·비대면 거래 프로세스를 통해 고객의 거래 편의성 및 서비스 만족도 제고
○ 문서 작성·제출 및 보존·관리 프로세스에 대한 디지털화를 통해 운영리스크 및 직원 부담 감소
○ AI 등 데이터 기반 혁신 서비스 확장 및 비대면 금융거래 활성화, 업무지식 공유 등을 위한 인프라 확대
○ 전자문서 중심의 문서관리체계 도입으로 기존 실물서류 보관·관리에 따른 물리적 부담</t>
    </r>
    <r>
      <rPr>
        <sz val="9"/>
        <color rgb="FF0000CC"/>
        <rFont val="맑은 고딕"/>
        <family val="3"/>
        <charset val="129"/>
      </rPr>
      <t>(공간, 비용 등)</t>
    </r>
    <r>
      <rPr>
        <sz val="11"/>
        <color rgb="FF0000CC"/>
        <rFont val="맑은 고딕"/>
        <family val="3"/>
        <charset val="129"/>
      </rPr>
      <t xml:space="preserve"> 경감</t>
    </r>
    <phoneticPr fontId="2" type="noConversion"/>
  </si>
  <si>
    <r>
      <t>○ 시장에서 공인된 Track Record를 가진 컨설팅社를 통해 당행의 특성과 역량을 감안한 최적의 추진
    모델 정립, 타행 우수사례 벤치마킹 및 적용방안 도출 등 사업추진 과정에서의 객관성과 타당성을 확보
○ 외부전문기관의 노하우 등 전문성을 활용하여 전산시스템 구축을 위한 IT아키텍처 수립 및 기능·기술
    요건 상세화, 디지털 신기술</t>
    </r>
    <r>
      <rPr>
        <sz val="9"/>
        <color rgb="FF0000CC"/>
        <rFont val="맑은 고딕"/>
        <family val="3"/>
        <charset val="129"/>
      </rPr>
      <t>(AI OCR 등)</t>
    </r>
    <r>
      <rPr>
        <sz val="11"/>
        <color rgb="FF0000CC"/>
        <rFont val="맑은 고딕"/>
        <family val="3"/>
        <charset val="129"/>
      </rPr>
      <t xml:space="preserve"> 적용방안 수립, 정확한 시스템 구축 소요예산 산출 가능
○ 여·수신·외국환 업무에 전자문서 활용 프로세스를 도입하여 업무 처리 효율성 및 편의성 제고할 수 있는
    업무환경 구축</t>
    </r>
  </si>
  <si>
    <r>
      <t>'KDB Paper-Less 업무환경 구축'을 목표로 시스템 요건정의 및 구축 계획 마련을 위한 컨설팅</t>
    </r>
    <r>
      <rPr>
        <vertAlign val="superscript"/>
        <sz val="11"/>
        <color rgb="FF0000CC"/>
        <rFont val="맑은 고딕"/>
        <family val="3"/>
        <charset val="129"/>
      </rPr>
      <t>*</t>
    </r>
    <r>
      <rPr>
        <sz val="11"/>
        <color rgb="FF0000CC"/>
        <rFont val="맑은 고딕"/>
        <family val="3"/>
        <charset val="129"/>
      </rPr>
      <t xml:space="preserve"> 사업을
'25.6월부터 수행 중에 있으며, 컨설팅 결과를 바탕으로 '26년中 시스템 구축 사업 발주 및 개발 착수 예정
</t>
    </r>
    <r>
      <rPr>
        <sz val="9"/>
        <color rgb="FF0000CC"/>
        <rFont val="맑은 고딕"/>
        <family val="3"/>
        <charset val="129"/>
      </rPr>
      <t xml:space="preserve"> * (수행사) EY컨설팅, (사업기간) '25.6월~12월, (계약금액) 20.2억원</t>
    </r>
    <phoneticPr fontId="2" type="noConversion"/>
  </si>
  <si>
    <t>보다 고도화된 전자적 방식의 문서·정보 관리/활용 인프라를 요구하는 現디지털금융환경에 뒤쳐지게 되어
혁신기술을 활용한 디지털서비스 구현·확장에 있어서의 한계 및 업무 효율성 저하 초래 불가피</t>
    <phoneticPr fontId="2" type="noConversion"/>
  </si>
  <si>
    <t>○ 주요 시중은행은 최근 고도화된 페이퍼리스 시스템으로서의 디지털 BPR사업을 추진하고 있는 반면
    당행은 타행이 ’00년대 추진한 1세대 페이퍼리스 업무체계 조차 도입하지 못한 상황
○ AI기반 디지털 서비스, 비대면 금융거래 활성화 등은 문서와 업무정보를 전자적으로 저장·관리·활용할
    수 있는 페이퍼리스 업무체계가 필수적
○ 후발주자인 당행은 중장기 전략·로드맵下 데이터자산 축적·활용까지 고려한 Paper-Less 업무 환경을
    조성하여 AI 등 혁신기술을 활용한 디지털과제 추진 인프라 확대 필요</t>
    <phoneticPr fontId="2" type="noConversion"/>
  </si>
  <si>
    <t>-</t>
    <phoneticPr fontId="2" type="noConversion"/>
  </si>
  <si>
    <t>PMO사업</t>
  </si>
  <si>
    <t>투입공수(MM)</t>
  </si>
  <si>
    <t>감리사업</t>
  </si>
  <si>
    <t>예비비</t>
  </si>
  <si>
    <t>전산장비 도입</t>
  </si>
  <si>
    <t>견적서</t>
  </si>
  <si>
    <r>
      <t>여신·수신·외국환·문서관리 업무內 전자문서 활용 프로세스 기반의 ‘KDB Paper-Less' 업무체계를 도입하기
위한 시스템 구축 사업</t>
    </r>
    <r>
      <rPr>
        <sz val="9"/>
        <color rgb="FF0000CC"/>
        <rFont val="맑은 고딕"/>
        <family val="3"/>
        <charset val="129"/>
      </rPr>
      <t>(인프라 도입, PMO, 감리사업 등 포함)</t>
    </r>
    <phoneticPr fontId="2" type="noConversion"/>
  </si>
  <si>
    <t>사업부대비</t>
    <rPh sb="0" eb="5">
      <t>회의비, 소모품비 등</t>
    </rPh>
    <phoneticPr fontId="2" type="noConversion"/>
  </si>
  <si>
    <t>소프트웨어 도입</t>
    <rPh sb="0" eb="8">
      <t>SW직접구매/일괄발주 여부 미확정</t>
    </rPh>
    <phoneticPr fontId="2" type="noConversion"/>
  </si>
  <si>
    <t>개발사업</t>
    <rPh sb="0" eb="4">
      <t>개발인건비 및 개발기타비(SW임차료 등)</t>
    </rPh>
    <phoneticPr fontId="2" type="noConversion"/>
  </si>
  <si>
    <t>SW사업 대가산정 기준에
따른 기능점수(FP) 산정</t>
    <phoneticPr fontId="2" type="noConversion"/>
  </si>
  <si>
    <t>정보시스템 감리대가
산정 기준</t>
    <phoneticPr fontId="2" type="noConversion"/>
  </si>
  <si>
    <t>시스템 구축
사업금액의 4% 반영</t>
    <phoneticPr fontId="2" type="noConversion"/>
  </si>
  <si>
    <r>
      <t xml:space="preserve">개발비
</t>
    </r>
    <r>
      <rPr>
        <b/>
        <sz val="8"/>
        <color rgb="FF333333"/>
        <rFont val="맑은 고딕"/>
        <family val="3"/>
        <charset val="129"/>
        <scheme val="major"/>
      </rPr>
      <t>(PMO, 감리 등 포함)</t>
    </r>
    <phoneticPr fontId="2" type="noConversion"/>
  </si>
  <si>
    <t>N</t>
    <phoneticPr fontId="2" type="noConversion"/>
  </si>
  <si>
    <t>※ 본건은 요건정의 사업 이후 추진되는 시스템 구축 사업의 예산편성 요청 건으로서, 컨설팅 결과를 통한 세부요건 확정에 따라 항목별 조정/변동 가능</t>
    <phoneticPr fontId="2" type="noConversion"/>
  </si>
  <si>
    <t>그룹웨어, EKCM</t>
    <phoneticPr fontId="2" type="noConversion"/>
  </si>
  <si>
    <t>여신·수신·외국환 업무 KUPID 화면 관련 신규/개선 업무요건 개발 등</t>
    <phoneticPr fontId="2" type="noConversion"/>
  </si>
  <si>
    <t>전자문서 활용을 위한 KUPID 및 新전자문서관리시스템과 채널 간 연계 등</t>
    <phoneticPr fontId="2" type="noConversion"/>
  </si>
  <si>
    <t>KWITH  전자결재, 서식관리 시스템 연계 등</t>
    <phoneticPr fontId="2" type="noConversion"/>
  </si>
  <si>
    <t>업무공통/BPM/이미지관리 등</t>
    <phoneticPr fontId="2" type="noConversion"/>
  </si>
  <si>
    <t>전자문서 기반 여신·수신·외국환·문서관리 업무 체계 도입 및 전자결재 기능 개선 등</t>
    <phoneticPr fontId="2" type="noConversion"/>
  </si>
  <si>
    <t>현재 진행중인 요건정의 컨설팅
결과에 따라 조정/변동 가능</t>
    <phoneticPr fontId="2" type="noConversion"/>
  </si>
  <si>
    <t xml:space="preserve">            (확인자)</t>
    <phoneticPr fontId="2" type="noConversion"/>
  </si>
  <si>
    <t>AI-OCR 솔루션 도입</t>
    <phoneticPr fontId="2" type="noConversion"/>
  </si>
  <si>
    <t>전산장비 도입(x86서버(AP))</t>
    <phoneticPr fontId="2" type="noConversion"/>
  </si>
  <si>
    <r>
      <t>기반/품질 소프트웨어 등</t>
    </r>
    <r>
      <rPr>
        <sz val="9"/>
        <color rgb="FF0000CC"/>
        <rFont val="맑은 고딕"/>
        <family val="3"/>
        <charset val="129"/>
      </rPr>
      <t>(O/S, APM, 형상/배포관리 등)</t>
    </r>
    <phoneticPr fontId="2" type="noConversion"/>
  </si>
  <si>
    <t>견적서</t>
    <phoneticPr fontId="2" type="noConversion"/>
  </si>
  <si>
    <t>AI-OCR 관련 데이터모델링(S/W 임차료)</t>
    <phoneticPr fontId="2" type="noConversion"/>
  </si>
  <si>
    <t>AI-OCR 솔루션(S/W 임차료)</t>
    <rPh sb="0" eb="8">
      <t>SW직접구매/일괄발주 여부 미확정</t>
    </rPh>
    <phoneticPr fontId="2" type="noConversion"/>
  </si>
  <si>
    <t>AI-OCR 솔루션 커스터마이징</t>
    <phoneticPr fontId="2" type="noConversion"/>
  </si>
  <si>
    <t>전무이사(예상)</t>
    <phoneticPr fontId="2" type="noConversion"/>
  </si>
  <si>
    <t>여신·외국환 등 은행 업무에 사용되는 정형·비정형 문서의 인식/분류 및 데이터 추출을 위한 AI-OCR
솔루션 도입사업</t>
    <phoneticPr fontId="2" type="noConversion"/>
  </si>
  <si>
    <t>25.6월부터 수행 중인 'KDB Paper-Less 업무환경 구축 컨설팅' 사업內 AI-OCR 적용방안 도출 결과를 바탕
으로 KDB Paper-Less 시스템을 비롯한 다양한 행내 업무시스템에 연계·활용될 AI-OCR 도입사업 발주 예정</t>
    <phoneticPr fontId="2" type="noConversion"/>
  </si>
  <si>
    <r>
      <t>○ ('25.10월~12월) AI-OCR 적용과제 요건정의 및
    S/W도입 등을 포함한 시스템 구축계획 수립
○ ('25.12월) 요건정의 사업 종료보고 및 사업예산
    경영예산심의위원회 앞 보고</t>
    </r>
    <r>
      <rPr>
        <sz val="8"/>
        <color rgb="FF0000CC"/>
        <rFont val="맑은 고딕"/>
        <family val="3"/>
        <charset val="129"/>
      </rPr>
      <t xml:space="preserve">(종합기획부)
</t>
    </r>
    <r>
      <rPr>
        <sz val="10"/>
        <color rgb="FF0000CC"/>
        <rFont val="맑은 고딕"/>
        <family val="3"/>
        <charset val="129"/>
      </rPr>
      <t>○ ('26.상반기) 정추위/정실협/과심위 등 정보화사업
    추진절차 진행, 시스템 구축 사업 품의·승인 등</t>
    </r>
    <phoneticPr fontId="2" type="noConversion"/>
  </si>
  <si>
    <t>○ AI-OCR 도입 및 연계·활용 체계 구축</t>
    <phoneticPr fontId="2" type="noConversion"/>
  </si>
  <si>
    <t>○ 정형·비정형 문서(이미지/스캔 문서 등) 인식/분류 및 분석을 통한 문서 데이터 추출·구조화
○ AI 등 데이터 기반 혁신 서비스 확장을 위한 인프라 확대
○ 업무 자동화 프로세스와의 연계 시 직원 업무 효율성 증대</t>
    <phoneticPr fontId="2" type="noConversion"/>
  </si>
  <si>
    <t>○ KDB Paper-Less 시스템內 실물서류 스캔/등록 프로세스의 효율적 운영을 위해 AI-OCR을 통한 문서
    자동인식·분류 기능이 필수적
○ 문서 데이터자산 축적·활용을 위한 기술적 토대 마련 필요</t>
    <phoneticPr fontId="2" type="noConversion"/>
  </si>
  <si>
    <r>
      <t xml:space="preserve">○ 전자문서 활용 프로세스·기능 도입을 위한 신규/개선 업무요건에 따른 KUPID 등 계정계 유관 업무시스템 개발
</t>
    </r>
    <r>
      <rPr>
        <sz val="9"/>
        <color rgb="FF0000CC"/>
        <rFont val="맑은 고딕"/>
        <family val="3"/>
        <charset val="129"/>
      </rPr>
      <t xml:space="preserve">  * 업무시스템과 채널/대내(인터넷뱅킹, 모바일뱅킹, 그룹웨어, 전자팩스 등) 및 대외(EDI, 정부 전자문서지갑, 외부기관API 등) 간 연계
    프로세스 확대 등 포함</t>
    </r>
    <r>
      <rPr>
        <sz val="11"/>
        <color rgb="FF0000CC"/>
        <rFont val="맑은 고딕"/>
        <family val="3"/>
        <charset val="129"/>
      </rPr>
      <t xml:space="preserve">
○ 新전자문서관리 체계 수립을 위한 전자문서관리시스템 개발
○ 서고관리시스템 신규 구축
○ AI-OCR 연계·활용 체계 구축
○ IT인프라 장비</t>
    </r>
    <r>
      <rPr>
        <sz val="9"/>
        <color rgb="FF0000CC"/>
        <rFont val="맑은 고딕"/>
        <family val="3"/>
        <charset val="129"/>
      </rPr>
      <t>(HW 및 기반SW 등)</t>
    </r>
    <r>
      <rPr>
        <sz val="11"/>
        <color rgb="FF0000CC"/>
        <rFont val="맑은 고딕"/>
        <family val="3"/>
        <charset val="129"/>
      </rPr>
      <t>의 교체·확충</t>
    </r>
    <r>
      <rPr>
        <sz val="9"/>
        <color rgb="FF0000CC"/>
        <rFont val="맑은 고딕"/>
        <family val="3"/>
        <charset val="129"/>
      </rPr>
      <t>(EOS 도래, U2L 전환 등 고려)</t>
    </r>
    <r>
      <rPr>
        <sz val="11"/>
        <color rgb="FF0000CC"/>
        <rFont val="맑은 고딕"/>
        <family val="3"/>
        <charset val="129"/>
      </rPr>
      <t xml:space="preserve">
○ 계정도메인內 여신·수신·외국환 업무영역 및 전행지원</t>
    </r>
    <r>
      <rPr>
        <sz val="9"/>
        <color rgb="FF0000CC"/>
        <rFont val="맑은 고딕"/>
        <family val="3"/>
        <charset val="129"/>
      </rPr>
      <t>(업무공통, BPM, 서식관리 등)</t>
    </r>
    <r>
      <rPr>
        <sz val="11"/>
        <color rgb="FF0000CC"/>
        <rFont val="맑은 고딕"/>
        <family val="3"/>
        <charset val="129"/>
      </rPr>
      <t>, 컴플라이언스</t>
    </r>
    <r>
      <rPr>
        <sz val="9"/>
        <color rgb="FF0000CC"/>
        <rFont val="맑은 고딕"/>
        <family val="3"/>
        <charset val="129"/>
      </rPr>
      <t>(자점감사)</t>
    </r>
    <r>
      <rPr>
        <sz val="11"/>
        <color rgb="FF0000CC"/>
        <rFont val="맑은 고딕"/>
        <family val="3"/>
        <charset val="129"/>
      </rPr>
      <t xml:space="preserve"> 등 관련 업무
    시스템의 대응개발 영역 등</t>
    </r>
    <phoneticPr fontId="2" type="noConversion"/>
  </si>
  <si>
    <r>
      <t>'24년 수행한 전행 ‘효율적 문서관리·업무 디지털化 추진 T/F</t>
    </r>
    <r>
      <rPr>
        <sz val="9"/>
        <color rgb="FF0000CC"/>
        <rFont val="맑은 고딕"/>
        <family val="3"/>
        <charset val="129"/>
      </rPr>
      <t>(종합기획부 주관)</t>
    </r>
    <r>
      <rPr>
        <sz val="11"/>
        <color rgb="FF0000CC"/>
        <rFont val="맑은 고딕"/>
        <family val="3"/>
        <charset val="129"/>
      </rPr>
      <t>’를 통해 KDB Paper-Less
추진계획 도출
 ① 요건정의 컨설팅</t>
    </r>
    <r>
      <rPr>
        <sz val="9"/>
        <color rgb="FF0000CC"/>
        <rFont val="맑은 고딕"/>
        <family val="3"/>
        <charset val="129"/>
      </rPr>
      <t>(본건)</t>
    </r>
    <r>
      <rPr>
        <sz val="11"/>
        <color rgb="FF0000CC"/>
        <rFont val="맑은 고딕"/>
        <family val="3"/>
        <charset val="129"/>
      </rPr>
      <t>을 통해 시스템 요건정의 및 구축 계획 마련
 ② 컨설팅 결과를 바탕으로 IT시스템 개발 및 인프라 구축 추진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</si>
</sst>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&quot;백만원&quot;"/>
    <numFmt numFmtId="177" formatCode="_-* #,##0.0_-;\-* #,##0.0_-;_-* &quot;-&quot;?_-;_-@_-"/>
    <numFmt numFmtId="178" formatCode="_-* #,##0_-;\-* #,##0_-;_-* &quot;-&quot;?_-;_-@_-"/>
  </numFmts>
  <fonts count="37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63"/>
      <name val="돋움"/>
      <family val="3"/>
      <charset val="129"/>
    </font>
    <font>
      <sz val="16"/>
      <color indexed="63"/>
      <name val="돋움"/>
      <family val="3"/>
      <charset val="129"/>
    </font>
    <font>
      <b/>
      <sz val="11"/>
      <name val="맑은 고딕"/>
      <family val="3"/>
      <charset val="129"/>
    </font>
    <font>
      <sz val="11"/>
      <color indexed="63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indexed="63"/>
      <name val="돋움"/>
      <family val="3"/>
      <charset val="129"/>
    </font>
    <font>
      <b/>
      <sz val="10"/>
      <color indexed="63"/>
      <name val="돋움"/>
      <family val="3"/>
      <charset val="129"/>
    </font>
    <font>
      <b/>
      <sz val="11"/>
      <color indexed="10"/>
      <name val="맑은 고딕"/>
      <family val="3"/>
      <charset val="129"/>
    </font>
    <font>
      <b/>
      <sz val="11"/>
      <name val="돋움"/>
      <family val="3"/>
      <charset val="129"/>
    </font>
    <font>
      <sz val="11"/>
      <color rgb="FF0000CC"/>
      <name val="맑은 고딕"/>
      <family val="3"/>
      <charset val="129"/>
    </font>
    <font>
      <b/>
      <sz val="11"/>
      <color indexed="63"/>
      <name val="맑은 고딕"/>
      <family val="3"/>
      <charset val="129"/>
      <scheme val="major"/>
    </font>
    <font>
      <sz val="10"/>
      <color indexed="63"/>
      <name val="맑은 고딕"/>
      <family val="3"/>
      <charset val="129"/>
      <scheme val="major"/>
    </font>
    <font>
      <b/>
      <sz val="10"/>
      <color indexed="63"/>
      <name val="맑은 고딕"/>
      <family val="3"/>
      <charset val="129"/>
      <scheme val="major"/>
    </font>
    <font>
      <b/>
      <sz val="11"/>
      <color theme="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b/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</font>
    <font>
      <sz val="9"/>
      <color rgb="FF000000"/>
      <name val="굴림"/>
      <family val="3"/>
      <charset val="129"/>
    </font>
    <font>
      <sz val="10"/>
      <color rgb="FF0000CC"/>
      <name val="맑은 고딕"/>
      <family val="3"/>
      <charset val="129"/>
    </font>
    <font>
      <b/>
      <sz val="11"/>
      <color rgb="FF0000CC"/>
      <name val="맑은 고딕"/>
      <family val="3"/>
      <charset val="129"/>
    </font>
    <font>
      <sz val="9"/>
      <color rgb="FF0000CC"/>
      <name val="맑은 고딕"/>
      <family val="3"/>
      <charset val="129"/>
    </font>
    <font>
      <sz val="8"/>
      <color rgb="FF0000CC"/>
      <name val="맑은 고딕"/>
      <family val="3"/>
      <charset val="129"/>
    </font>
    <font>
      <vertAlign val="superscript"/>
      <sz val="11"/>
      <color rgb="FF0000CC"/>
      <name val="맑은 고딕"/>
      <family val="3"/>
      <charset val="129"/>
    </font>
    <font>
      <b/>
      <sz val="10"/>
      <color rgb="FF333333"/>
      <name val="돋움"/>
      <family val="3"/>
      <charset val="129"/>
    </font>
    <font>
      <b/>
      <sz val="8"/>
      <color rgb="FF333333"/>
      <name val="맑은 고딕"/>
      <family val="3"/>
      <charset val="129"/>
      <scheme val="major"/>
    </font>
    <font>
      <sz val="9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A1DE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67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5D5D5D"/>
      </left>
      <right style="thin">
        <color rgb="FF000000"/>
      </right>
      <top style="thin">
        <color rgb="FF5D5D5D"/>
      </top>
      <bottom style="thin">
        <color rgb="FF5D5D5D"/>
      </bottom>
      <diagonal/>
    </border>
    <border>
      <left style="thin">
        <color rgb="FF5D5D5D"/>
      </left>
      <right/>
      <top style="thin">
        <color rgb="FF5D5D5D"/>
      </top>
      <bottom style="thin">
        <color rgb="FF5D5D5D"/>
      </bottom>
      <diagonal/>
    </border>
    <border>
      <left style="thin">
        <color rgb="FF5D5D5D"/>
      </left>
      <right/>
      <top style="thin">
        <color rgb="FF000000"/>
      </top>
      <bottom style="thin">
        <color rgb="FF5D5D5D"/>
      </bottom>
      <diagonal/>
    </border>
    <border>
      <left style="thin">
        <color indexed="64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00000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rgb="FF000000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rgb="FF000000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indexed="64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rgb="FF000000"/>
      </right>
      <top style="thin">
        <color indexed="64"/>
      </top>
      <bottom style="thin">
        <color theme="0" tint="-0.34998626667073579"/>
      </bottom>
      <diagonal/>
    </border>
    <border>
      <left style="thin">
        <color rgb="FF5D5D5D"/>
      </left>
      <right style="thin">
        <color rgb="FF5D5D5D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5D5D5D"/>
      </bottom>
      <diagonal/>
    </border>
    <border>
      <left/>
      <right style="thin">
        <color rgb="FF000000"/>
      </right>
      <top/>
      <bottom style="thin">
        <color rgb="FF5D5D5D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5D5D5D"/>
      </right>
      <top style="thin">
        <color rgb="FF000000"/>
      </top>
      <bottom style="thin">
        <color rgb="FF5D5D5D"/>
      </bottom>
      <diagonal/>
    </border>
    <border>
      <left/>
      <right style="thin">
        <color rgb="FF5D5D5D"/>
      </right>
      <top style="thin">
        <color rgb="FF5D5D5D"/>
      </top>
      <bottom style="thin">
        <color rgb="FF5D5D5D"/>
      </bottom>
      <diagonal/>
    </border>
    <border>
      <left style="thin">
        <color indexed="64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rgb="FF000000"/>
      </right>
      <top/>
      <bottom/>
      <diagonal/>
    </border>
    <border>
      <left style="thin">
        <color rgb="FF5D5D5D"/>
      </left>
      <right/>
      <top/>
      <bottom style="thin">
        <color rgb="FF000000"/>
      </bottom>
      <diagonal/>
    </border>
    <border>
      <left/>
      <right style="thin">
        <color rgb="FF5D5D5D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5D5D5D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5D5D5D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5D5D5D"/>
      </right>
      <top style="thin">
        <color rgb="FF000000"/>
      </top>
      <bottom style="thin">
        <color indexed="64"/>
      </bottom>
      <diagonal/>
    </border>
    <border>
      <left style="thin">
        <color rgb="FF5D5D5D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5D5D5D"/>
      </right>
      <top style="thin">
        <color indexed="64"/>
      </top>
      <bottom style="thin">
        <color indexed="64"/>
      </bottom>
      <diagonal/>
    </border>
    <border>
      <left/>
      <right style="thin">
        <color rgb="FF5D5D5D"/>
      </right>
      <top/>
      <bottom style="thin">
        <color indexed="64"/>
      </bottom>
      <diagonal/>
    </border>
    <border>
      <left/>
      <right/>
      <top style="thin">
        <color rgb="FF5D5D5D"/>
      </top>
      <bottom style="thin">
        <color rgb="FF5D5D5D"/>
      </bottom>
      <diagonal/>
    </border>
    <border>
      <left/>
      <right/>
      <top/>
      <bottom style="thin">
        <color rgb="FF5D5D5D"/>
      </bottom>
      <diagonal/>
    </border>
    <border>
      <left/>
      <right style="thin">
        <color rgb="FF000000"/>
      </right>
      <top style="thin">
        <color rgb="FF5D5D5D"/>
      </top>
      <bottom style="thin">
        <color rgb="FF5D5D5D"/>
      </bottom>
      <diagonal/>
    </border>
    <border>
      <left/>
      <right/>
      <top style="thin">
        <color rgb="FF5D5D5D"/>
      </top>
      <bottom/>
      <diagonal/>
    </border>
    <border>
      <left/>
      <right style="thin">
        <color rgb="FF000000"/>
      </right>
      <top style="thin">
        <color rgb="FF5D5D5D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5D5D5D"/>
      </left>
      <right style="thin">
        <color rgb="FF5D5D5D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theme="2" tint="-0.24994659260841701"/>
      </right>
      <top style="thin">
        <color indexed="64"/>
      </top>
      <bottom style="thin">
        <color theme="2" tint="-0.24994659260841701"/>
      </bottom>
      <diagonal/>
    </border>
    <border>
      <left style="thin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rgb="FF5D5D5D"/>
      </left>
      <right style="thin">
        <color rgb="FF000000"/>
      </right>
      <top style="thin">
        <color rgb="FF5D5D5D"/>
      </top>
      <bottom/>
      <diagonal/>
    </border>
    <border>
      <left style="thin">
        <color rgb="FF5D5D5D"/>
      </left>
      <right style="thin">
        <color rgb="FF000000"/>
      </right>
      <top/>
      <bottom/>
      <diagonal/>
    </border>
    <border>
      <left style="thin">
        <color rgb="FF5D5D5D"/>
      </left>
      <right style="thin">
        <color rgb="FF000000"/>
      </right>
      <top/>
      <bottom style="thin">
        <color rgb="FF5D5D5D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9">
    <xf numFmtId="0" fontId="0" fillId="0" borderId="0" xfId="0"/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41" fontId="15" fillId="2" borderId="1" xfId="1" applyFont="1" applyFill="1" applyBorder="1" applyAlignment="1">
      <alignment vertical="center"/>
    </xf>
    <xf numFmtId="41" fontId="15" fillId="2" borderId="1" xfId="1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shrinkToFit="1"/>
    </xf>
    <xf numFmtId="0" fontId="18" fillId="5" borderId="18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3" borderId="1" xfId="0" quotePrefix="1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41" fontId="16" fillId="6" borderId="1" xfId="1" applyFont="1" applyFill="1" applyBorder="1" applyAlignment="1">
      <alignment horizontal="center" vertical="center"/>
    </xf>
    <xf numFmtId="0" fontId="19" fillId="7" borderId="0" xfId="0" applyFont="1" applyFill="1" applyBorder="1" applyAlignment="1">
      <alignment horizontal="left" vertical="center" wrapText="1"/>
    </xf>
    <xf numFmtId="0" fontId="19" fillId="7" borderId="0" xfId="0" applyFont="1" applyFill="1" applyBorder="1" applyAlignment="1">
      <alignment horizontal="left" vertical="center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left" vertical="center" shrinkToFit="1"/>
    </xf>
    <xf numFmtId="41" fontId="16" fillId="2" borderId="1" xfId="1" applyFont="1" applyFill="1" applyBorder="1" applyAlignment="1">
      <alignment vertical="center"/>
    </xf>
    <xf numFmtId="0" fontId="18" fillId="8" borderId="31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21" fillId="3" borderId="1" xfId="0" quotePrefix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22" fillId="0" borderId="16" xfId="0" applyFont="1" applyBorder="1" applyAlignment="1">
      <alignment horizontal="left" vertical="center" wrapText="1"/>
    </xf>
    <xf numFmtId="0" fontId="23" fillId="8" borderId="31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left" vertical="center" wrapText="1"/>
    </xf>
    <xf numFmtId="0" fontId="19" fillId="7" borderId="0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4" fillId="3" borderId="32" xfId="0" applyFont="1" applyFill="1" applyBorder="1" applyAlignment="1">
      <alignment horizontal="center" vertical="center" wrapText="1"/>
    </xf>
    <xf numFmtId="0" fontId="24" fillId="3" borderId="32" xfId="0" applyFont="1" applyFill="1" applyBorder="1" applyAlignment="1">
      <alignment horizontal="center" vertical="center" shrinkToFit="1"/>
    </xf>
    <xf numFmtId="0" fontId="24" fillId="3" borderId="3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shrinkToFit="1"/>
    </xf>
    <xf numFmtId="0" fontId="24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41" fontId="15" fillId="6" borderId="1" xfId="1" applyFont="1" applyFill="1" applyBorder="1" applyAlignment="1">
      <alignment horizontal="center" vertical="center"/>
    </xf>
    <xf numFmtId="41" fontId="25" fillId="6" borderId="1" xfId="1" applyFont="1" applyFill="1" applyBorder="1" applyAlignment="1">
      <alignment horizontal="center" vertical="center"/>
    </xf>
    <xf numFmtId="41" fontId="26" fillId="6" borderId="1" xfId="1" applyFont="1" applyFill="1" applyBorder="1" applyAlignment="1">
      <alignment horizontal="center" vertical="center"/>
    </xf>
    <xf numFmtId="3" fontId="13" fillId="0" borderId="29" xfId="0" applyNumberFormat="1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3" fontId="13" fillId="0" borderId="26" xfId="0" applyNumberFormat="1" applyFont="1" applyBorder="1" applyAlignment="1">
      <alignment horizontal="center" vertical="center" wrapText="1"/>
    </xf>
    <xf numFmtId="3" fontId="13" fillId="0" borderId="38" xfId="0" applyNumberFormat="1" applyFont="1" applyBorder="1" applyAlignment="1">
      <alignment horizontal="center" vertical="center" wrapText="1"/>
    </xf>
    <xf numFmtId="0" fontId="18" fillId="8" borderId="40" xfId="0" applyFont="1" applyFill="1" applyBorder="1" applyAlignment="1">
      <alignment horizontal="center" vertical="center" wrapText="1"/>
    </xf>
    <xf numFmtId="0" fontId="18" fillId="8" borderId="4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shrinkToFit="1"/>
    </xf>
    <xf numFmtId="0" fontId="7" fillId="3" borderId="9" xfId="0" applyFont="1" applyFill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 vertical="center" shrinkToFit="1"/>
    </xf>
    <xf numFmtId="0" fontId="24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right" vertical="center" wrapText="1"/>
    </xf>
    <xf numFmtId="0" fontId="18" fillId="8" borderId="60" xfId="0" applyFont="1" applyFill="1" applyBorder="1" applyAlignment="1">
      <alignment horizontal="center" vertical="center" wrapText="1"/>
    </xf>
    <xf numFmtId="0" fontId="23" fillId="8" borderId="6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shrinkToFit="1"/>
    </xf>
    <xf numFmtId="0" fontId="16" fillId="2" borderId="1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shrinkToFit="1"/>
    </xf>
    <xf numFmtId="0" fontId="18" fillId="5" borderId="18" xfId="0" applyFont="1" applyFill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4" fillId="3" borderId="1" xfId="0" quotePrefix="1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left" vertical="center" wrapText="1"/>
    </xf>
    <xf numFmtId="0" fontId="19" fillId="7" borderId="0" xfId="0" applyFont="1" applyFill="1" applyBorder="1" applyAlignment="1">
      <alignment horizontal="left" vertical="center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left" vertical="center" shrinkToFit="1"/>
    </xf>
    <xf numFmtId="0" fontId="18" fillId="8" borderId="31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21" fillId="3" borderId="1" xfId="0" quotePrefix="1" applyFont="1" applyFill="1" applyBorder="1" applyAlignment="1">
      <alignment horizontal="center" vertical="center"/>
    </xf>
    <xf numFmtId="0" fontId="23" fillId="8" borderId="3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4" fillId="3" borderId="32" xfId="0" applyFont="1" applyFill="1" applyBorder="1" applyAlignment="1">
      <alignment horizontal="center" vertical="center" wrapText="1"/>
    </xf>
    <xf numFmtId="0" fontId="24" fillId="3" borderId="32" xfId="0" applyFont="1" applyFill="1" applyBorder="1" applyAlignment="1">
      <alignment horizontal="center" vertical="center" shrinkToFit="1"/>
    </xf>
    <xf numFmtId="0" fontId="24" fillId="3" borderId="3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shrinkToFit="1"/>
    </xf>
    <xf numFmtId="0" fontId="24" fillId="3" borderId="34" xfId="0" applyFont="1" applyFill="1" applyBorder="1" applyAlignment="1">
      <alignment horizontal="center" vertical="center" shrinkToFit="1"/>
    </xf>
    <xf numFmtId="0" fontId="24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3" fontId="13" fillId="0" borderId="20" xfId="0" applyNumberFormat="1" applyFont="1" applyBorder="1" applyAlignment="1">
      <alignment horizontal="center" vertical="center" wrapText="1"/>
    </xf>
    <xf numFmtId="3" fontId="13" fillId="0" borderId="29" xfId="0" applyNumberFormat="1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3" fontId="13" fillId="0" borderId="26" xfId="0" applyNumberFormat="1" applyFont="1" applyBorder="1" applyAlignment="1">
      <alignment horizontal="center" vertical="center" wrapText="1"/>
    </xf>
    <xf numFmtId="0" fontId="18" fillId="8" borderId="40" xfId="0" applyFont="1" applyFill="1" applyBorder="1" applyAlignment="1">
      <alignment horizontal="center" vertical="center" wrapText="1"/>
    </xf>
    <xf numFmtId="0" fontId="18" fillId="8" borderId="4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8" fillId="8" borderId="60" xfId="0" applyFont="1" applyFill="1" applyBorder="1" applyAlignment="1">
      <alignment horizontal="center" vertical="center" wrapText="1"/>
    </xf>
    <xf numFmtId="0" fontId="23" fillId="8" borderId="6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5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61" xfId="0" applyFont="1" applyBorder="1" applyAlignment="1">
      <alignment horizontal="left" vertical="center" wrapText="1"/>
    </xf>
    <xf numFmtId="0" fontId="13" fillId="0" borderId="62" xfId="0" applyFont="1" applyBorder="1" applyAlignment="1">
      <alignment horizontal="left" vertical="center" wrapText="1"/>
    </xf>
    <xf numFmtId="0" fontId="13" fillId="0" borderId="22" xfId="0" applyFont="1" applyBorder="1" applyAlignment="1">
      <alignment horizontal="left" vertical="center" wrapText="1"/>
    </xf>
    <xf numFmtId="0" fontId="13" fillId="0" borderId="28" xfId="0" applyFont="1" applyBorder="1" applyAlignment="1">
      <alignment horizontal="left" vertical="center" wrapText="1"/>
    </xf>
    <xf numFmtId="41" fontId="13" fillId="0" borderId="20" xfId="1" applyFont="1" applyBorder="1" applyAlignment="1">
      <alignment horizontal="center" vertical="center" wrapText="1"/>
    </xf>
    <xf numFmtId="41" fontId="13" fillId="0" borderId="23" xfId="1" applyFont="1" applyBorder="1" applyAlignment="1">
      <alignment horizontal="center" vertical="center" wrapText="1"/>
    </xf>
    <xf numFmtId="41" fontId="13" fillId="0" borderId="29" xfId="1" applyFont="1" applyBorder="1" applyAlignment="1">
      <alignment horizontal="center" vertical="center" wrapText="1"/>
    </xf>
    <xf numFmtId="41" fontId="13" fillId="0" borderId="26" xfId="1" applyFont="1" applyBorder="1" applyAlignment="1">
      <alignment horizontal="center" vertical="center" wrapText="1"/>
    </xf>
    <xf numFmtId="0" fontId="34" fillId="2" borderId="0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176" fontId="8" fillId="6" borderId="2" xfId="0" applyNumberFormat="1" applyFont="1" applyFill="1" applyBorder="1" applyAlignment="1">
      <alignment horizontal="right" vertical="center" wrapText="1"/>
    </xf>
    <xf numFmtId="0" fontId="19" fillId="7" borderId="0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left" vertical="center"/>
    </xf>
    <xf numFmtId="0" fontId="13" fillId="0" borderId="25" xfId="0" applyFont="1" applyBorder="1" applyAlignment="1">
      <alignment horizontal="left" vertical="center" wrapText="1"/>
    </xf>
    <xf numFmtId="41" fontId="16" fillId="2" borderId="11" xfId="1" applyFont="1" applyFill="1" applyBorder="1" applyAlignment="1">
      <alignment horizontal="center" vertical="center"/>
    </xf>
    <xf numFmtId="41" fontId="16" fillId="2" borderId="2" xfId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30" fillId="2" borderId="11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10" xfId="0" quotePrefix="1" applyFont="1" applyFill="1" applyBorder="1" applyAlignment="1">
      <alignment horizontal="left" vertical="center" wrapText="1"/>
    </xf>
    <xf numFmtId="0" fontId="13" fillId="2" borderId="4" xfId="0" applyFont="1" applyFill="1" applyBorder="1" applyAlignment="1">
      <alignment horizontal="left" vertical="center"/>
    </xf>
    <xf numFmtId="0" fontId="13" fillId="2" borderId="5" xfId="0" applyFont="1" applyFill="1" applyBorder="1" applyAlignment="1">
      <alignment horizontal="left" vertical="center"/>
    </xf>
    <xf numFmtId="0" fontId="13" fillId="2" borderId="10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/>
    </xf>
    <xf numFmtId="0" fontId="13" fillId="2" borderId="5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0" fontId="13" fillId="2" borderId="0" xfId="0" applyFont="1" applyFill="1" applyBorder="1" applyAlignment="1">
      <alignment vertical="center"/>
    </xf>
    <xf numFmtId="0" fontId="13" fillId="2" borderId="8" xfId="0" applyFont="1" applyFill="1" applyBorder="1" applyAlignment="1">
      <alignment vertical="center"/>
    </xf>
    <xf numFmtId="0" fontId="13" fillId="2" borderId="15" xfId="0" applyFont="1" applyFill="1" applyBorder="1" applyAlignment="1">
      <alignment vertical="center"/>
    </xf>
    <xf numFmtId="0" fontId="13" fillId="2" borderId="6" xfId="0" applyFont="1" applyFill="1" applyBorder="1" applyAlignment="1">
      <alignment vertical="center"/>
    </xf>
    <xf numFmtId="0" fontId="13" fillId="2" borderId="7" xfId="0" applyFont="1" applyFill="1" applyBorder="1" applyAlignment="1">
      <alignment vertical="center"/>
    </xf>
    <xf numFmtId="0" fontId="29" fillId="2" borderId="10" xfId="0" applyFont="1" applyFill="1" applyBorder="1" applyAlignment="1">
      <alignment vertical="center" wrapText="1"/>
    </xf>
    <xf numFmtId="0" fontId="29" fillId="2" borderId="4" xfId="0" applyFont="1" applyFill="1" applyBorder="1" applyAlignment="1">
      <alignment vertical="center" wrapText="1"/>
    </xf>
    <xf numFmtId="0" fontId="29" fillId="2" borderId="5" xfId="0" applyFont="1" applyFill="1" applyBorder="1" applyAlignment="1">
      <alignment vertical="center" wrapText="1"/>
    </xf>
    <xf numFmtId="0" fontId="29" fillId="2" borderId="13" xfId="0" applyFont="1" applyFill="1" applyBorder="1" applyAlignment="1">
      <alignment vertical="center" wrapText="1"/>
    </xf>
    <xf numFmtId="0" fontId="29" fillId="2" borderId="0" xfId="0" applyFont="1" applyFill="1" applyBorder="1" applyAlignment="1">
      <alignment vertical="center" wrapText="1"/>
    </xf>
    <xf numFmtId="0" fontId="29" fillId="2" borderId="8" xfId="0" applyFont="1" applyFill="1" applyBorder="1" applyAlignment="1">
      <alignment vertical="center" wrapText="1"/>
    </xf>
    <xf numFmtId="0" fontId="29" fillId="2" borderId="15" xfId="0" applyFont="1" applyFill="1" applyBorder="1" applyAlignment="1">
      <alignment vertical="center" wrapText="1"/>
    </xf>
    <xf numFmtId="0" fontId="29" fillId="2" borderId="6" xfId="0" applyFont="1" applyFill="1" applyBorder="1" applyAlignment="1">
      <alignment vertical="center" wrapText="1"/>
    </xf>
    <xf numFmtId="0" fontId="29" fillId="2" borderId="7" xfId="0" applyFont="1" applyFill="1" applyBorder="1" applyAlignment="1">
      <alignment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24" fillId="3" borderId="8" xfId="0" applyFont="1" applyFill="1" applyBorder="1" applyAlignment="1">
      <alignment horizontal="center" vertical="center" wrapText="1"/>
    </xf>
    <xf numFmtId="0" fontId="24" fillId="3" borderId="43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left" vertical="center" shrinkToFit="1"/>
    </xf>
    <xf numFmtId="0" fontId="0" fillId="0" borderId="2" xfId="0" applyBorder="1" applyAlignment="1">
      <alignment horizontal="left" vertical="center" shrinkToFit="1"/>
    </xf>
    <xf numFmtId="41" fontId="16" fillId="6" borderId="3" xfId="1" applyFont="1" applyFill="1" applyBorder="1" applyAlignment="1">
      <alignment horizontal="center" vertical="center"/>
    </xf>
    <xf numFmtId="41" fontId="16" fillId="6" borderId="2" xfId="1" applyFont="1" applyFill="1" applyBorder="1" applyAlignment="1">
      <alignment horizontal="center" vertical="center"/>
    </xf>
    <xf numFmtId="41" fontId="25" fillId="6" borderId="3" xfId="1" applyFont="1" applyFill="1" applyBorder="1" applyAlignment="1">
      <alignment horizontal="center" vertical="center"/>
    </xf>
    <xf numFmtId="41" fontId="25" fillId="6" borderId="2" xfId="1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0" fontId="12" fillId="6" borderId="11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49" fontId="13" fillId="2" borderId="9" xfId="0" applyNumberFormat="1" applyFont="1" applyFill="1" applyBorder="1" applyAlignment="1">
      <alignment horizontal="center" vertical="center" wrapText="1"/>
    </xf>
    <xf numFmtId="49" fontId="13" fillId="2" borderId="12" xfId="0" applyNumberFormat="1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/>
    </xf>
    <xf numFmtId="0" fontId="19" fillId="7" borderId="44" xfId="0" applyFont="1" applyFill="1" applyBorder="1" applyAlignment="1">
      <alignment horizontal="left" vertical="center" wrapText="1"/>
    </xf>
    <xf numFmtId="0" fontId="19" fillId="7" borderId="0" xfId="0" applyFont="1" applyFill="1" applyBorder="1" applyAlignment="1">
      <alignment horizontal="left" vertical="center" wrapText="1"/>
    </xf>
    <xf numFmtId="0" fontId="19" fillId="7" borderId="45" xfId="0" applyFont="1" applyFill="1" applyBorder="1" applyAlignment="1">
      <alignment horizontal="left" vertical="center" wrapText="1"/>
    </xf>
    <xf numFmtId="0" fontId="6" fillId="2" borderId="42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left" vertical="center" wrapText="1"/>
    </xf>
    <xf numFmtId="0" fontId="17" fillId="4" borderId="46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 shrinkToFit="1"/>
    </xf>
    <xf numFmtId="0" fontId="13" fillId="2" borderId="5" xfId="0" applyFont="1" applyFill="1" applyBorder="1" applyAlignment="1">
      <alignment horizontal="center" vertical="center" shrinkToFit="1"/>
    </xf>
    <xf numFmtId="0" fontId="13" fillId="2" borderId="11" xfId="0" applyFont="1" applyFill="1" applyBorder="1" applyAlignment="1">
      <alignment horizontal="center" vertical="center" shrinkToFit="1"/>
    </xf>
    <xf numFmtId="0" fontId="13" fillId="2" borderId="2" xfId="0" applyFont="1" applyFill="1" applyBorder="1" applyAlignment="1">
      <alignment horizontal="center" vertical="center" shrinkToFit="1"/>
    </xf>
    <xf numFmtId="0" fontId="13" fillId="2" borderId="11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left" vertical="center" wrapText="1"/>
    </xf>
    <xf numFmtId="0" fontId="8" fillId="2" borderId="5" xfId="0" applyFont="1" applyFill="1" applyBorder="1" applyAlignment="1">
      <alignment horizontal="left" vertical="center" wrapText="1"/>
    </xf>
    <xf numFmtId="0" fontId="19" fillId="7" borderId="0" xfId="0" applyFont="1" applyFill="1" applyBorder="1" applyAlignment="1">
      <alignment horizontal="left" vertical="center"/>
    </xf>
    <xf numFmtId="0" fontId="17" fillId="4" borderId="9" xfId="0" applyFont="1" applyFill="1" applyBorder="1" applyAlignment="1">
      <alignment horizontal="center" vertical="center" wrapText="1"/>
    </xf>
    <xf numFmtId="0" fontId="17" fillId="4" borderId="12" xfId="0" applyFont="1" applyFill="1" applyBorder="1" applyAlignment="1">
      <alignment horizontal="center" vertical="center" wrapText="1"/>
    </xf>
    <xf numFmtId="0" fontId="17" fillId="4" borderId="14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8" xfId="0" applyFont="1" applyFill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27" fillId="0" borderId="55" xfId="0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0" fontId="27" fillId="0" borderId="57" xfId="0" applyFont="1" applyBorder="1" applyAlignment="1">
      <alignment horizontal="center" vertical="center" wrapText="1"/>
    </xf>
    <xf numFmtId="0" fontId="27" fillId="0" borderId="58" xfId="0" applyFont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5" borderId="48" xfId="0" applyFont="1" applyFill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0" fontId="18" fillId="5" borderId="50" xfId="0" applyFont="1" applyFill="1" applyBorder="1" applyAlignment="1">
      <alignment horizontal="center" vertical="center" wrapText="1"/>
    </xf>
    <xf numFmtId="0" fontId="18" fillId="3" borderId="15" xfId="0" applyFont="1" applyFill="1" applyBorder="1" applyAlignment="1">
      <alignment horizontal="center" vertical="center" wrapText="1"/>
    </xf>
    <xf numFmtId="0" fontId="18" fillId="3" borderId="53" xfId="0" applyFont="1" applyFill="1" applyBorder="1" applyAlignment="1">
      <alignment horizontal="center" vertical="center" wrapText="1"/>
    </xf>
    <xf numFmtId="0" fontId="18" fillId="3" borderId="47" xfId="0" applyFont="1" applyFill="1" applyBorder="1" applyAlignment="1">
      <alignment horizontal="center" vertical="center" wrapText="1"/>
    </xf>
    <xf numFmtId="0" fontId="18" fillId="3" borderId="14" xfId="0" applyFont="1" applyFill="1" applyBorder="1" applyAlignment="1">
      <alignment horizontal="center" vertical="center" wrapText="1"/>
    </xf>
    <xf numFmtId="0" fontId="18" fillId="3" borderId="43" xfId="0" applyFont="1" applyFill="1" applyBorder="1" applyAlignment="1">
      <alignment horizontal="center" vertical="center" wrapText="1"/>
    </xf>
    <xf numFmtId="0" fontId="18" fillId="3" borderId="9" xfId="0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0" fontId="18" fillId="3" borderId="59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 wrapText="1"/>
    </xf>
    <xf numFmtId="0" fontId="18" fillId="3" borderId="52" xfId="0" applyFont="1" applyFill="1" applyBorder="1" applyAlignment="1">
      <alignment horizontal="center" vertical="center" wrapText="1"/>
    </xf>
    <xf numFmtId="0" fontId="18" fillId="3" borderId="7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36" fillId="0" borderId="63" xfId="0" applyFont="1" applyBorder="1" applyAlignment="1">
      <alignment horizontal="center" vertical="center" wrapText="1"/>
    </xf>
    <xf numFmtId="0" fontId="36" fillId="0" borderId="64" xfId="0" applyFont="1" applyBorder="1" applyAlignment="1">
      <alignment horizontal="center" vertical="center" wrapText="1"/>
    </xf>
    <xf numFmtId="0" fontId="36" fillId="0" borderId="65" xfId="0" applyFont="1" applyBorder="1" applyAlignment="1">
      <alignment horizontal="center" vertical="center" wrapText="1"/>
    </xf>
    <xf numFmtId="41" fontId="3" fillId="2" borderId="0" xfId="0" applyNumberFormat="1" applyFont="1" applyFill="1" applyBorder="1" applyAlignment="1">
      <alignment vertical="center"/>
    </xf>
    <xf numFmtId="177" fontId="3" fillId="2" borderId="0" xfId="0" applyNumberFormat="1" applyFont="1" applyFill="1" applyBorder="1" applyAlignment="1">
      <alignment vertical="center"/>
    </xf>
    <xf numFmtId="178" fontId="3" fillId="2" borderId="0" xfId="0" applyNumberFormat="1" applyFont="1" applyFill="1" applyBorder="1" applyAlignment="1">
      <alignment vertical="center"/>
    </xf>
  </cellXfs>
  <cellStyles count="3">
    <cellStyle name="쉼표 [0]" xfId="1" builtinId="6"/>
    <cellStyle name="쉼표 [0] 2" xfId="2" xr:uid="{BADB5C05-2334-4891-88F1-34CAF4A51A73}"/>
    <cellStyle name="표준" xfId="0" builtinId="0"/>
  </cellStyles>
  <dxfs count="0"/>
  <tableStyles count="0" defaultTableStyle="TableStyleMedium9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checked="Checked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checked="Checked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checked="Checked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checked="Checked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checked="Checked" lockText="1" noThreeD="1"/>
</file>

<file path=xl/ctrlProps/ctrlProp117.xml><?xml version="1.0" encoding="utf-8"?>
<formControlPr xmlns="http://schemas.microsoft.com/office/spreadsheetml/2009/9/main" objectType="CheckBox" checked="Checked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checked="Checked" lockText="1" noThreeD="1"/>
</file>

<file path=xl/ctrlProps/ctrlProp129.xml><?xml version="1.0" encoding="utf-8"?>
<formControlPr xmlns="http://schemas.microsoft.com/office/spreadsheetml/2009/9/main" objectType="CheckBox" checked="Checked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checked="Checked" lockText="1" noThreeD="1"/>
</file>

<file path=xl/ctrlProps/ctrlProp132.xml><?xml version="1.0" encoding="utf-8"?>
<formControlPr xmlns="http://schemas.microsoft.com/office/spreadsheetml/2009/9/main" objectType="CheckBox" checked="Checked" lockText="1" noThreeD="1"/>
</file>

<file path=xl/ctrlProps/ctrlProp133.xml><?xml version="1.0" encoding="utf-8"?>
<formControlPr xmlns="http://schemas.microsoft.com/office/spreadsheetml/2009/9/main" objectType="CheckBox" checked="Checked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checked="Checked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checked="Checked" lockText="1" noThreeD="1"/>
</file>

<file path=xl/ctrlProps/ctrlProp141.xml><?xml version="1.0" encoding="utf-8"?>
<formControlPr xmlns="http://schemas.microsoft.com/office/spreadsheetml/2009/9/main" objectType="CheckBox" checked="Checked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933450</xdr:colOff>
          <xdr:row>18</xdr:row>
          <xdr:rowOff>31750</xdr:rowOff>
        </xdr:from>
        <xdr:to>
          <xdr:col>3</xdr:col>
          <xdr:colOff>660400</xdr:colOff>
          <xdr:row>18</xdr:row>
          <xdr:rowOff>241300</xdr:rowOff>
        </xdr:to>
        <xdr:sp macro="" textlink="">
          <xdr:nvSpPr>
            <xdr:cNvPr id="7184" name="Check Box 16" hidden="1">
              <a:extLst>
                <a:ext uri="{63B3BB69-23CF-44E3-9099-C40C66FF867C}">
                  <a14:compatExt spid="_x0000_s7184"/>
                </a:ext>
                <a:ext uri="{FF2B5EF4-FFF2-40B4-BE49-F238E27FC236}">
                  <a16:creationId xmlns:a16="http://schemas.microsoft.com/office/drawing/2014/main" id="{00000000-0008-0000-0000-00001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여신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18</xdr:row>
          <xdr:rowOff>31750</xdr:rowOff>
        </xdr:from>
        <xdr:to>
          <xdr:col>4</xdr:col>
          <xdr:colOff>762000</xdr:colOff>
          <xdr:row>18</xdr:row>
          <xdr:rowOff>247650</xdr:rowOff>
        </xdr:to>
        <xdr:sp macro="" textlink="">
          <xdr:nvSpPr>
            <xdr:cNvPr id="7187" name="Check Box 19" hidden="1">
              <a:extLst>
                <a:ext uri="{63B3BB69-23CF-44E3-9099-C40C66FF867C}">
                  <a14:compatExt spid="_x0000_s7187"/>
                </a:ext>
                <a:ext uri="{FF2B5EF4-FFF2-40B4-BE49-F238E27FC236}">
                  <a16:creationId xmlns:a16="http://schemas.microsoft.com/office/drawing/2014/main" id="{00000000-0008-0000-0000-00001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수신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812800</xdr:colOff>
          <xdr:row>18</xdr:row>
          <xdr:rowOff>31750</xdr:rowOff>
        </xdr:from>
        <xdr:to>
          <xdr:col>5</xdr:col>
          <xdr:colOff>323850</xdr:colOff>
          <xdr:row>18</xdr:row>
          <xdr:rowOff>241300</xdr:rowOff>
        </xdr:to>
        <xdr:sp macro="" textlink="">
          <xdr:nvSpPr>
            <xdr:cNvPr id="7188" name="Check Box 20" hidden="1">
              <a:extLst>
                <a:ext uri="{63B3BB69-23CF-44E3-9099-C40C66FF867C}">
                  <a14:compatExt spid="_x0000_s7188"/>
                </a:ext>
                <a:ext uri="{FF2B5EF4-FFF2-40B4-BE49-F238E27FC236}">
                  <a16:creationId xmlns:a16="http://schemas.microsoft.com/office/drawing/2014/main" id="{00000000-0008-0000-0000-00001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국제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</xdr:row>
          <xdr:rowOff>31750</xdr:rowOff>
        </xdr:from>
        <xdr:to>
          <xdr:col>6</xdr:col>
          <xdr:colOff>704850</xdr:colOff>
          <xdr:row>18</xdr:row>
          <xdr:rowOff>247650</xdr:rowOff>
        </xdr:to>
        <xdr:sp macro="" textlink="">
          <xdr:nvSpPr>
            <xdr:cNvPr id="7189" name="Check Box 21" hidden="1">
              <a:extLst>
                <a:ext uri="{63B3BB69-23CF-44E3-9099-C40C66FF867C}">
                  <a14:compatExt spid="_x0000_s7189"/>
                </a:ext>
                <a:ext uri="{FF2B5EF4-FFF2-40B4-BE49-F238E27FC236}">
                  <a16:creationId xmlns:a16="http://schemas.microsoft.com/office/drawing/2014/main" id="{00000000-0008-0000-0000-00001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리스크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812800</xdr:colOff>
          <xdr:row>18</xdr:row>
          <xdr:rowOff>31750</xdr:rowOff>
        </xdr:from>
        <xdr:to>
          <xdr:col>7</xdr:col>
          <xdr:colOff>546100</xdr:colOff>
          <xdr:row>18</xdr:row>
          <xdr:rowOff>241300</xdr:rowOff>
        </xdr:to>
        <xdr:sp macro="" textlink="">
          <xdr:nvSpPr>
            <xdr:cNvPr id="7190" name="Check Box 22" hidden="1">
              <a:extLst>
                <a:ext uri="{63B3BB69-23CF-44E3-9099-C40C66FF867C}">
                  <a14:compatExt spid="_x0000_s7190"/>
                </a:ext>
                <a:ext uri="{FF2B5EF4-FFF2-40B4-BE49-F238E27FC236}">
                  <a16:creationId xmlns:a16="http://schemas.microsoft.com/office/drawing/2014/main" id="{00000000-0008-0000-0000-00001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관리지원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717550</xdr:colOff>
          <xdr:row>18</xdr:row>
          <xdr:rowOff>31750</xdr:rowOff>
        </xdr:from>
        <xdr:to>
          <xdr:col>7</xdr:col>
          <xdr:colOff>1028700</xdr:colOff>
          <xdr:row>18</xdr:row>
          <xdr:rowOff>241300</xdr:rowOff>
        </xdr:to>
        <xdr:sp macro="" textlink="">
          <xdr:nvSpPr>
            <xdr:cNvPr id="7191" name="Check Box 23" hidden="1">
              <a:extLst>
                <a:ext uri="{63B3BB69-23CF-44E3-9099-C40C66FF867C}">
                  <a14:compatExt spid="_x0000_s7191"/>
                </a:ext>
                <a:ext uri="{FF2B5EF4-FFF2-40B4-BE49-F238E27FC236}">
                  <a16:creationId xmlns:a16="http://schemas.microsoft.com/office/drawing/2014/main" id="{00000000-0008-0000-0000-00001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889000</xdr:colOff>
          <xdr:row>19</xdr:row>
          <xdr:rowOff>12700</xdr:rowOff>
        </xdr:from>
        <xdr:to>
          <xdr:col>3</xdr:col>
          <xdr:colOff>781050</xdr:colOff>
          <xdr:row>19</xdr:row>
          <xdr:rowOff>228600</xdr:rowOff>
        </xdr:to>
        <xdr:sp macro="" textlink="">
          <xdr:nvSpPr>
            <xdr:cNvPr id="7192" name="Check Box 24" descr="신규 개발" hidden="1">
              <a:extLst>
                <a:ext uri="{63B3BB69-23CF-44E3-9099-C40C66FF867C}">
                  <a14:compatExt spid="_x0000_s7192"/>
                </a:ext>
                <a:ext uri="{FF2B5EF4-FFF2-40B4-BE49-F238E27FC236}">
                  <a16:creationId xmlns:a16="http://schemas.microsoft.com/office/drawing/2014/main" id="{00000000-0008-0000-0000-00001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신규 개발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19</xdr:row>
          <xdr:rowOff>12700</xdr:rowOff>
        </xdr:from>
        <xdr:to>
          <xdr:col>5</xdr:col>
          <xdr:colOff>361950</xdr:colOff>
          <xdr:row>19</xdr:row>
          <xdr:rowOff>247650</xdr:rowOff>
        </xdr:to>
        <xdr:sp macro="" textlink="">
          <xdr:nvSpPr>
            <xdr:cNvPr id="7193" name="Check Box 25" hidden="1">
              <a:extLst>
                <a:ext uri="{63B3BB69-23CF-44E3-9099-C40C66FF867C}">
                  <a14:compatExt spid="_x0000_s7193"/>
                </a:ext>
                <a:ext uri="{FF2B5EF4-FFF2-40B4-BE49-F238E27FC236}">
                  <a16:creationId xmlns:a16="http://schemas.microsoft.com/office/drawing/2014/main" id="{00000000-0008-0000-0000-00001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기능 개선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19</xdr:row>
          <xdr:rowOff>19050</xdr:rowOff>
        </xdr:from>
        <xdr:to>
          <xdr:col>7</xdr:col>
          <xdr:colOff>584200</xdr:colOff>
          <xdr:row>19</xdr:row>
          <xdr:rowOff>228600</xdr:rowOff>
        </xdr:to>
        <xdr:sp macro="" textlink="">
          <xdr:nvSpPr>
            <xdr:cNvPr id="7194" name="Check Box 26" hidden="1">
              <a:extLst>
                <a:ext uri="{63B3BB69-23CF-44E3-9099-C40C66FF867C}">
                  <a14:compatExt spid="_x0000_s7194"/>
                </a:ext>
                <a:ext uri="{FF2B5EF4-FFF2-40B4-BE49-F238E27FC236}">
                  <a16:creationId xmlns:a16="http://schemas.microsoft.com/office/drawing/2014/main" id="{00000000-0008-0000-0000-00001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19</xdr:row>
          <xdr:rowOff>19050</xdr:rowOff>
        </xdr:from>
        <xdr:to>
          <xdr:col>6</xdr:col>
          <xdr:colOff>355600</xdr:colOff>
          <xdr:row>19</xdr:row>
          <xdr:rowOff>247650</xdr:rowOff>
        </xdr:to>
        <xdr:sp macro="" textlink="">
          <xdr:nvSpPr>
            <xdr:cNvPr id="7196" name="Check Box 28" hidden="1">
              <a:extLst>
                <a:ext uri="{63B3BB69-23CF-44E3-9099-C40C66FF867C}">
                  <a14:compatExt spid="_x0000_s7196"/>
                </a:ext>
                <a:ext uri="{FF2B5EF4-FFF2-40B4-BE49-F238E27FC236}">
                  <a16:creationId xmlns:a16="http://schemas.microsoft.com/office/drawing/2014/main" id="{00000000-0008-0000-0000-00001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법률/규제 대응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19050</xdr:rowOff>
        </xdr:from>
        <xdr:to>
          <xdr:col>3</xdr:col>
          <xdr:colOff>685800</xdr:colOff>
          <xdr:row>21</xdr:row>
          <xdr:rowOff>228600</xdr:rowOff>
        </xdr:to>
        <xdr:sp macro="" textlink="">
          <xdr:nvSpPr>
            <xdr:cNvPr id="7205" name="Check Box 37" hidden="1">
              <a:extLst>
                <a:ext uri="{63B3BB69-23CF-44E3-9099-C40C66FF867C}">
                  <a14:compatExt spid="_x0000_s7205"/>
                </a:ext>
                <a:ext uri="{FF2B5EF4-FFF2-40B4-BE49-F238E27FC236}">
                  <a16:creationId xmlns:a16="http://schemas.microsoft.com/office/drawing/2014/main" id="{00000000-0008-0000-0000-00002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기업고객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21</xdr:row>
          <xdr:rowOff>19050</xdr:rowOff>
        </xdr:from>
        <xdr:to>
          <xdr:col>4</xdr:col>
          <xdr:colOff>717550</xdr:colOff>
          <xdr:row>21</xdr:row>
          <xdr:rowOff>228600</xdr:rowOff>
        </xdr:to>
        <xdr:sp macro="" textlink="">
          <xdr:nvSpPr>
            <xdr:cNvPr id="7207" name="Check Box 39" hidden="1">
              <a:extLst>
                <a:ext uri="{63B3BB69-23CF-44E3-9099-C40C66FF867C}">
                  <a14:compatExt spid="_x0000_s7207"/>
                </a:ext>
                <a:ext uri="{FF2B5EF4-FFF2-40B4-BE49-F238E27FC236}">
                  <a16:creationId xmlns:a16="http://schemas.microsoft.com/office/drawing/2014/main" id="{00000000-0008-0000-0000-00002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개인고객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21</xdr:row>
          <xdr:rowOff>12700</xdr:rowOff>
        </xdr:from>
        <xdr:to>
          <xdr:col>5</xdr:col>
          <xdr:colOff>736600</xdr:colOff>
          <xdr:row>21</xdr:row>
          <xdr:rowOff>228600</xdr:rowOff>
        </xdr:to>
        <xdr:sp macro="" textlink="">
          <xdr:nvSpPr>
            <xdr:cNvPr id="7208" name="Check Box 40" hidden="1">
              <a:extLst>
                <a:ext uri="{63B3BB69-23CF-44E3-9099-C40C66FF867C}">
                  <a14:compatExt spid="_x0000_s7208"/>
                </a:ext>
                <a:ext uri="{FF2B5EF4-FFF2-40B4-BE49-F238E27FC236}">
                  <a16:creationId xmlns:a16="http://schemas.microsoft.com/office/drawing/2014/main" id="{00000000-0008-0000-0000-00002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내부직원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21</xdr:row>
          <xdr:rowOff>19050</xdr:rowOff>
        </xdr:from>
        <xdr:to>
          <xdr:col>7</xdr:col>
          <xdr:colOff>457200</xdr:colOff>
          <xdr:row>21</xdr:row>
          <xdr:rowOff>228600</xdr:rowOff>
        </xdr:to>
        <xdr:sp macro="" textlink="">
          <xdr:nvSpPr>
            <xdr:cNvPr id="7209" name="Check Box 41" hidden="1">
              <a:extLst>
                <a:ext uri="{63B3BB69-23CF-44E3-9099-C40C66FF867C}">
                  <a14:compatExt spid="_x0000_s7209"/>
                </a:ext>
                <a:ext uri="{FF2B5EF4-FFF2-40B4-BE49-F238E27FC236}">
                  <a16:creationId xmlns:a16="http://schemas.microsoft.com/office/drawing/2014/main" id="{00000000-0008-0000-0000-00002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 기타(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19050</xdr:rowOff>
        </xdr:from>
        <xdr:to>
          <xdr:col>4</xdr:col>
          <xdr:colOff>285750</xdr:colOff>
          <xdr:row>26</xdr:row>
          <xdr:rowOff>228600</xdr:rowOff>
        </xdr:to>
        <xdr:sp macro="" textlink="">
          <xdr:nvSpPr>
            <xdr:cNvPr id="7211" name="Check Box 43" hidden="1">
              <a:extLst>
                <a:ext uri="{63B3BB69-23CF-44E3-9099-C40C66FF867C}">
                  <a14:compatExt spid="_x0000_s7211"/>
                </a:ext>
                <a:ext uri="{FF2B5EF4-FFF2-40B4-BE49-F238E27FC236}">
                  <a16:creationId xmlns:a16="http://schemas.microsoft.com/office/drawing/2014/main" id="{00000000-0008-0000-0000-00002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확정(변동가능성 無)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26</xdr:row>
          <xdr:rowOff>19050</xdr:rowOff>
        </xdr:from>
        <xdr:to>
          <xdr:col>9</xdr:col>
          <xdr:colOff>57150</xdr:colOff>
          <xdr:row>26</xdr:row>
          <xdr:rowOff>228600</xdr:rowOff>
        </xdr:to>
        <xdr:sp macro="" textlink="">
          <xdr:nvSpPr>
            <xdr:cNvPr id="7212" name="Check Box 44" hidden="1">
              <a:extLst>
                <a:ext uri="{63B3BB69-23CF-44E3-9099-C40C66FF867C}">
                  <a14:compatExt spid="_x0000_s7212"/>
                </a:ext>
                <a:ext uri="{FF2B5EF4-FFF2-40B4-BE49-F238E27FC236}">
                  <a16:creationId xmlns:a16="http://schemas.microsoft.com/office/drawing/2014/main" id="{00000000-0008-0000-0000-00002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추진계획 검토중 (유관부서검토 여부 :                                             ) (변동가능성 有)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26</xdr:row>
          <xdr:rowOff>19050</xdr:rowOff>
        </xdr:from>
        <xdr:to>
          <xdr:col>7</xdr:col>
          <xdr:colOff>565150</xdr:colOff>
          <xdr:row>26</xdr:row>
          <xdr:rowOff>228600</xdr:rowOff>
        </xdr:to>
        <xdr:sp macro="" textlink="">
          <xdr:nvSpPr>
            <xdr:cNvPr id="7213" name="Check Box 45" hidden="1">
              <a:extLst>
                <a:ext uri="{63B3BB69-23CF-44E3-9099-C40C66FF867C}">
                  <a14:compatExt spid="_x0000_s7213"/>
                </a:ext>
                <a:ext uri="{FF2B5EF4-FFF2-40B4-BE49-F238E27FC236}">
                  <a16:creationId xmlns:a16="http://schemas.microsoft.com/office/drawing/2014/main" id="{00000000-0008-0000-0000-00002D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889000</xdr:colOff>
          <xdr:row>20</xdr:row>
          <xdr:rowOff>19050</xdr:rowOff>
        </xdr:from>
        <xdr:to>
          <xdr:col>3</xdr:col>
          <xdr:colOff>742950</xdr:colOff>
          <xdr:row>20</xdr:row>
          <xdr:rowOff>241300</xdr:rowOff>
        </xdr:to>
        <xdr:sp macro="" textlink="">
          <xdr:nvSpPr>
            <xdr:cNvPr id="7224" name="Check Box 56" hidden="1">
              <a:extLst>
                <a:ext uri="{63B3BB69-23CF-44E3-9099-C40C66FF867C}">
                  <a14:compatExt spid="_x0000_s7224"/>
                </a:ext>
                <a:ext uri="{FF2B5EF4-FFF2-40B4-BE49-F238E27FC236}">
                  <a16:creationId xmlns:a16="http://schemas.microsoft.com/office/drawing/2014/main" id="{00000000-0008-0000-0000-00003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빅데이터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88900</xdr:colOff>
          <xdr:row>20</xdr:row>
          <xdr:rowOff>19050</xdr:rowOff>
        </xdr:from>
        <xdr:to>
          <xdr:col>4</xdr:col>
          <xdr:colOff>584200</xdr:colOff>
          <xdr:row>20</xdr:row>
          <xdr:rowOff>241300</xdr:rowOff>
        </xdr:to>
        <xdr:sp macro="" textlink="">
          <xdr:nvSpPr>
            <xdr:cNvPr id="7225" name="Check Box 57" hidden="1">
              <a:extLst>
                <a:ext uri="{63B3BB69-23CF-44E3-9099-C40C66FF867C}">
                  <a14:compatExt spid="_x0000_s7225"/>
                </a:ext>
                <a:ext uri="{FF2B5EF4-FFF2-40B4-BE49-F238E27FC236}">
                  <a16:creationId xmlns:a16="http://schemas.microsoft.com/office/drawing/2014/main" id="{00000000-0008-0000-0000-00003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819150</xdr:colOff>
          <xdr:row>20</xdr:row>
          <xdr:rowOff>19050</xdr:rowOff>
        </xdr:from>
        <xdr:to>
          <xdr:col>5</xdr:col>
          <xdr:colOff>552450</xdr:colOff>
          <xdr:row>20</xdr:row>
          <xdr:rowOff>241300</xdr:rowOff>
        </xdr:to>
        <xdr:sp macro="" textlink="">
          <xdr:nvSpPr>
            <xdr:cNvPr id="7226" name="Check Box 58" hidden="1">
              <a:extLst>
                <a:ext uri="{63B3BB69-23CF-44E3-9099-C40C66FF867C}">
                  <a14:compatExt spid="_x0000_s7226"/>
                </a:ext>
                <a:ext uri="{FF2B5EF4-FFF2-40B4-BE49-F238E27FC236}">
                  <a16:creationId xmlns:a16="http://schemas.microsoft.com/office/drawing/2014/main" id="{00000000-0008-0000-0000-00003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클라우드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20</xdr:row>
          <xdr:rowOff>31750</xdr:rowOff>
        </xdr:from>
        <xdr:to>
          <xdr:col>7</xdr:col>
          <xdr:colOff>133350</xdr:colOff>
          <xdr:row>20</xdr:row>
          <xdr:rowOff>241300</xdr:rowOff>
        </xdr:to>
        <xdr:sp macro="" textlink="">
          <xdr:nvSpPr>
            <xdr:cNvPr id="7227" name="Check Box 59" hidden="1">
              <a:extLst>
                <a:ext uri="{63B3BB69-23CF-44E3-9099-C40C66FF867C}">
                  <a14:compatExt spid="_x0000_s7227"/>
                </a:ext>
                <a:ext uri="{FF2B5EF4-FFF2-40B4-BE49-F238E27FC236}">
                  <a16:creationId xmlns:a16="http://schemas.microsoft.com/office/drawing/2014/main" id="{00000000-0008-0000-0000-00003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블록체인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22</xdr:row>
          <xdr:rowOff>19050</xdr:rowOff>
        </xdr:from>
        <xdr:to>
          <xdr:col>4</xdr:col>
          <xdr:colOff>203200</xdr:colOff>
          <xdr:row>22</xdr:row>
          <xdr:rowOff>228600</xdr:rowOff>
        </xdr:to>
        <xdr:sp macro="" textlink="">
          <xdr:nvSpPr>
            <xdr:cNvPr id="7236" name="Check Box 68" hidden="1">
              <a:extLst>
                <a:ext uri="{63B3BB69-23CF-44E3-9099-C40C66FF867C}">
                  <a14:compatExt spid="_x0000_s7236"/>
                </a:ext>
                <a:ext uri="{FF2B5EF4-FFF2-40B4-BE49-F238E27FC236}">
                  <a16:creationId xmlns:a16="http://schemas.microsoft.com/office/drawing/2014/main" id="{00000000-0008-0000-0000-00004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비중복(N)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584200</xdr:colOff>
          <xdr:row>22</xdr:row>
          <xdr:rowOff>19050</xdr:rowOff>
        </xdr:from>
        <xdr:to>
          <xdr:col>5</xdr:col>
          <xdr:colOff>361950</xdr:colOff>
          <xdr:row>22</xdr:row>
          <xdr:rowOff>228600</xdr:rowOff>
        </xdr:to>
        <xdr:sp macro="" textlink="">
          <xdr:nvSpPr>
            <xdr:cNvPr id="7237" name="Check Box 69" hidden="1">
              <a:extLst>
                <a:ext uri="{63B3BB69-23CF-44E3-9099-C40C66FF867C}">
                  <a14:compatExt spid="_x0000_s7237"/>
                </a:ext>
                <a:ext uri="{FF2B5EF4-FFF2-40B4-BE49-F238E27FC236}">
                  <a16:creationId xmlns:a16="http://schemas.microsoft.com/office/drawing/2014/main" id="{00000000-0008-0000-0000-00004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중복(Y)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22</xdr:row>
          <xdr:rowOff>19050</xdr:rowOff>
        </xdr:from>
        <xdr:to>
          <xdr:col>7</xdr:col>
          <xdr:colOff>933450</xdr:colOff>
          <xdr:row>22</xdr:row>
          <xdr:rowOff>228600</xdr:rowOff>
        </xdr:to>
        <xdr:sp macro="" textlink="">
          <xdr:nvSpPr>
            <xdr:cNvPr id="7240" name="Check Box 72" hidden="1">
              <a:extLst>
                <a:ext uri="{63B3BB69-23CF-44E3-9099-C40C66FF867C}">
                  <a14:compatExt spid="_x0000_s7240"/>
                </a:ext>
                <a:ext uri="{FF2B5EF4-FFF2-40B4-BE49-F238E27FC236}">
                  <a16:creationId xmlns:a16="http://schemas.microsoft.com/office/drawing/2014/main" id="{00000000-0008-0000-0000-000048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2025년 이내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</xdr:colOff>
          <xdr:row>22</xdr:row>
          <xdr:rowOff>19050</xdr:rowOff>
        </xdr:from>
        <xdr:to>
          <xdr:col>8</xdr:col>
          <xdr:colOff>838200</xdr:colOff>
          <xdr:row>22</xdr:row>
          <xdr:rowOff>228600</xdr:rowOff>
        </xdr:to>
        <xdr:sp macro="" textlink="">
          <xdr:nvSpPr>
            <xdr:cNvPr id="7241" name="Check Box 73" hidden="1">
              <a:extLst>
                <a:ext uri="{63B3BB69-23CF-44E3-9099-C40C66FF867C}">
                  <a14:compatExt spid="_x0000_s7241"/>
                </a:ext>
                <a:ext uri="{FF2B5EF4-FFF2-40B4-BE49-F238E27FC236}">
                  <a16:creationId xmlns:a16="http://schemas.microsoft.com/office/drawing/2014/main" id="{00000000-0008-0000-0000-00004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2025년 이후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20</xdr:row>
          <xdr:rowOff>31750</xdr:rowOff>
        </xdr:from>
        <xdr:to>
          <xdr:col>8</xdr:col>
          <xdr:colOff>209550</xdr:colOff>
          <xdr:row>20</xdr:row>
          <xdr:rowOff>241300</xdr:rowOff>
        </xdr:to>
        <xdr:sp macro="" textlink="">
          <xdr:nvSpPr>
            <xdr:cNvPr id="7242" name="Check Box 74" hidden="1">
              <a:extLst>
                <a:ext uri="{63B3BB69-23CF-44E3-9099-C40C66FF867C}">
                  <a14:compatExt spid="_x0000_s7242"/>
                </a:ext>
                <a:ext uri="{FF2B5EF4-FFF2-40B4-BE49-F238E27FC236}">
                  <a16:creationId xmlns:a16="http://schemas.microsoft.com/office/drawing/2014/main" id="{00000000-0008-0000-0000-00004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플랫폼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20</xdr:row>
          <xdr:rowOff>31750</xdr:rowOff>
        </xdr:from>
        <xdr:to>
          <xdr:col>9</xdr:col>
          <xdr:colOff>266700</xdr:colOff>
          <xdr:row>20</xdr:row>
          <xdr:rowOff>241300</xdr:rowOff>
        </xdr:to>
        <xdr:sp macro="" textlink="">
          <xdr:nvSpPr>
            <xdr:cNvPr id="7243" name="Check Box 75" hidden="1">
              <a:extLst>
                <a:ext uri="{63B3BB69-23CF-44E3-9099-C40C66FF867C}">
                  <a14:compatExt spid="_x0000_s7243"/>
                </a:ext>
                <a:ext uri="{FF2B5EF4-FFF2-40B4-BE49-F238E27FC236}">
                  <a16:creationId xmlns:a16="http://schemas.microsoft.com/office/drawing/2014/main" id="{00000000-0008-0000-0000-00004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핀테크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50800</xdr:colOff>
          <xdr:row>20</xdr:row>
          <xdr:rowOff>19050</xdr:rowOff>
        </xdr:from>
        <xdr:to>
          <xdr:col>10</xdr:col>
          <xdr:colOff>165100</xdr:colOff>
          <xdr:row>20</xdr:row>
          <xdr:rowOff>241300</xdr:rowOff>
        </xdr:to>
        <xdr:sp macro="" textlink="">
          <xdr:nvSpPr>
            <xdr:cNvPr id="7244" name="Check Box 76" hidden="1">
              <a:extLst>
                <a:ext uri="{63B3BB69-23CF-44E3-9099-C40C66FF867C}">
                  <a14:compatExt spid="_x0000_s7244"/>
                </a:ext>
                <a:ext uri="{FF2B5EF4-FFF2-40B4-BE49-F238E27FC236}">
                  <a16:creationId xmlns:a16="http://schemas.microsoft.com/office/drawing/2014/main" id="{00000000-0008-0000-0000-00004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기타(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514350</xdr:colOff>
          <xdr:row>19</xdr:row>
          <xdr:rowOff>19050</xdr:rowOff>
        </xdr:from>
        <xdr:to>
          <xdr:col>9</xdr:col>
          <xdr:colOff>736600</xdr:colOff>
          <xdr:row>19</xdr:row>
          <xdr:rowOff>228600</xdr:rowOff>
        </xdr:to>
        <xdr:sp macro="" textlink="">
          <xdr:nvSpPr>
            <xdr:cNvPr id="7246" name="Check Box 78" hidden="1">
              <a:extLst>
                <a:ext uri="{63B3BB69-23CF-44E3-9099-C40C66FF867C}">
                  <a14:compatExt spid="_x0000_s7246"/>
                </a:ext>
                <a:ext uri="{FF2B5EF4-FFF2-40B4-BE49-F238E27FC236}">
                  <a16:creationId xmlns:a16="http://schemas.microsoft.com/office/drawing/2014/main" id="{00000000-0008-0000-0000-00004E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508000</xdr:colOff>
          <xdr:row>18</xdr:row>
          <xdr:rowOff>31750</xdr:rowOff>
        </xdr:from>
        <xdr:to>
          <xdr:col>9</xdr:col>
          <xdr:colOff>704850</xdr:colOff>
          <xdr:row>18</xdr:row>
          <xdr:rowOff>241300</xdr:rowOff>
        </xdr:to>
        <xdr:sp macro="" textlink="">
          <xdr:nvSpPr>
            <xdr:cNvPr id="7247" name="Check Box 79" hidden="1">
              <a:extLst>
                <a:ext uri="{63B3BB69-23CF-44E3-9099-C40C66FF867C}">
                  <a14:compatExt spid="_x0000_s7247"/>
                </a:ext>
                <a:ext uri="{FF2B5EF4-FFF2-40B4-BE49-F238E27FC236}">
                  <a16:creationId xmlns:a16="http://schemas.microsoft.com/office/drawing/2014/main" id="{00000000-0008-0000-0000-00004F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19050</xdr:rowOff>
        </xdr:from>
        <xdr:to>
          <xdr:col>4</xdr:col>
          <xdr:colOff>438150</xdr:colOff>
          <xdr:row>25</xdr:row>
          <xdr:rowOff>228600</xdr:rowOff>
        </xdr:to>
        <xdr:sp macro="" textlink="">
          <xdr:nvSpPr>
            <xdr:cNvPr id="7257" name="Check Box 89" hidden="1">
              <a:extLst>
                <a:ext uri="{63B3BB69-23CF-44E3-9099-C40C66FF867C}">
                  <a14:compatExt spid="_x0000_s7257"/>
                </a:ext>
                <a:ext uri="{FF2B5EF4-FFF2-40B4-BE49-F238E27FC236}">
                  <a16:creationId xmlns:a16="http://schemas.microsoft.com/office/drawing/2014/main" id="{00000000-0008-0000-0000-00005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부문(본부장)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25</xdr:row>
          <xdr:rowOff>31750</xdr:rowOff>
        </xdr:from>
        <xdr:to>
          <xdr:col>5</xdr:col>
          <xdr:colOff>476250</xdr:colOff>
          <xdr:row>25</xdr:row>
          <xdr:rowOff>241300</xdr:rowOff>
        </xdr:to>
        <xdr:sp macro="" textlink="">
          <xdr:nvSpPr>
            <xdr:cNvPr id="7258" name="Check Box 90" hidden="1">
              <a:extLst>
                <a:ext uri="{63B3BB69-23CF-44E3-9099-C40C66FF867C}">
                  <a14:compatExt spid="_x0000_s7258"/>
                </a:ext>
                <a:ext uri="{FF2B5EF4-FFF2-40B4-BE49-F238E27FC236}">
                  <a16:creationId xmlns:a16="http://schemas.microsoft.com/office/drawing/2014/main" id="{00000000-0008-0000-0000-00005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부서장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717550</xdr:colOff>
          <xdr:row>25</xdr:row>
          <xdr:rowOff>31750</xdr:rowOff>
        </xdr:from>
        <xdr:to>
          <xdr:col>7</xdr:col>
          <xdr:colOff>285750</xdr:colOff>
          <xdr:row>25</xdr:row>
          <xdr:rowOff>241300</xdr:rowOff>
        </xdr:to>
        <xdr:sp macro="" textlink="">
          <xdr:nvSpPr>
            <xdr:cNvPr id="7260" name="Check Box 92" hidden="1">
              <a:extLst>
                <a:ext uri="{63B3BB69-23CF-44E3-9099-C40C66FF867C}">
                  <a14:compatExt spid="_x0000_s7260"/>
                </a:ext>
                <a:ext uri="{FF2B5EF4-FFF2-40B4-BE49-F238E27FC236}">
                  <a16:creationId xmlns:a16="http://schemas.microsoft.com/office/drawing/2014/main" id="{00000000-0008-0000-0000-00005C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22</xdr:row>
          <xdr:rowOff>12700</xdr:rowOff>
        </xdr:from>
        <xdr:to>
          <xdr:col>9</xdr:col>
          <xdr:colOff>889000</xdr:colOff>
          <xdr:row>22</xdr:row>
          <xdr:rowOff>228600</xdr:rowOff>
        </xdr:to>
        <xdr:sp macro="" textlink="">
          <xdr:nvSpPr>
            <xdr:cNvPr id="7264" name="Check Box 96" hidden="1">
              <a:extLst>
                <a:ext uri="{63B3BB69-23CF-44E3-9099-C40C66FF867C}">
                  <a14:compatExt spid="_x0000_s7264"/>
                </a:ext>
                <a:ext uri="{FF2B5EF4-FFF2-40B4-BE49-F238E27FC236}">
                  <a16:creationId xmlns:a16="http://schemas.microsoft.com/office/drawing/2014/main" id="{00000000-0008-0000-0000-000060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별도없음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19</xdr:row>
          <xdr:rowOff>19050</xdr:rowOff>
        </xdr:from>
        <xdr:to>
          <xdr:col>8</xdr:col>
          <xdr:colOff>514350</xdr:colOff>
          <xdr:row>19</xdr:row>
          <xdr:rowOff>228600</xdr:rowOff>
        </xdr:to>
        <xdr:sp macro="" textlink="">
          <xdr:nvSpPr>
            <xdr:cNvPr id="7265" name="Check Box 97" hidden="1">
              <a:extLst>
                <a:ext uri="{63B3BB69-23CF-44E3-9099-C40C66FF867C}">
                  <a14:compatExt spid="_x0000_s7265"/>
                </a:ext>
                <a:ext uri="{FF2B5EF4-FFF2-40B4-BE49-F238E27FC236}">
                  <a16:creationId xmlns:a16="http://schemas.microsoft.com/office/drawing/2014/main" id="{00000000-0008-0000-0000-00006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660400</xdr:colOff>
          <xdr:row>26</xdr:row>
          <xdr:rowOff>19050</xdr:rowOff>
        </xdr:from>
        <xdr:to>
          <xdr:col>7</xdr:col>
          <xdr:colOff>1009650</xdr:colOff>
          <xdr:row>26</xdr:row>
          <xdr:rowOff>228600</xdr:rowOff>
        </xdr:to>
        <xdr:sp macro="" textlink="">
          <xdr:nvSpPr>
            <xdr:cNvPr id="7267" name="Check Box 99" hidden="1">
              <a:extLst>
                <a:ext uri="{63B3BB69-23CF-44E3-9099-C40C66FF867C}">
                  <a14:compatExt spid="_x0000_s7267"/>
                </a:ext>
                <a:ext uri="{FF2B5EF4-FFF2-40B4-BE49-F238E27FC236}">
                  <a16:creationId xmlns:a16="http://schemas.microsoft.com/office/drawing/2014/main" id="{00000000-0008-0000-0000-00006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26</xdr:row>
          <xdr:rowOff>19050</xdr:rowOff>
        </xdr:from>
        <xdr:to>
          <xdr:col>8</xdr:col>
          <xdr:colOff>812800</xdr:colOff>
          <xdr:row>26</xdr:row>
          <xdr:rowOff>241300</xdr:rowOff>
        </xdr:to>
        <xdr:sp macro="" textlink="">
          <xdr:nvSpPr>
            <xdr:cNvPr id="7268" name="Check Box 100" hidden="1">
              <a:extLst>
                <a:ext uri="{63B3BB69-23CF-44E3-9099-C40C66FF867C}">
                  <a14:compatExt spid="_x0000_s7268"/>
                </a:ext>
                <a:ext uri="{FF2B5EF4-FFF2-40B4-BE49-F238E27FC236}">
                  <a16:creationId xmlns:a16="http://schemas.microsoft.com/office/drawing/2014/main" id="{00000000-0008-0000-0000-00006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N/A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6</xdr:row>
          <xdr:rowOff>0</xdr:rowOff>
        </xdr:from>
        <xdr:to>
          <xdr:col>3</xdr:col>
          <xdr:colOff>704850</xdr:colOff>
          <xdr:row>7</xdr:row>
          <xdr:rowOff>38100</xdr:rowOff>
        </xdr:to>
        <xdr:sp macro="" textlink="">
          <xdr:nvSpPr>
            <xdr:cNvPr id="10243" name="Check Box 3" hidden="1">
              <a:extLst>
                <a:ext uri="{63B3BB69-23CF-44E3-9099-C40C66FF867C}">
                  <a14:compatExt spid="_x0000_s10243"/>
                </a:ext>
                <a:ext uri="{FF2B5EF4-FFF2-40B4-BE49-F238E27FC236}">
                  <a16:creationId xmlns:a16="http://schemas.microsoft.com/office/drawing/2014/main" id="{00000000-0008-0000-0100-000003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838200</xdr:colOff>
          <xdr:row>5</xdr:row>
          <xdr:rowOff>323850</xdr:rowOff>
        </xdr:from>
        <xdr:to>
          <xdr:col>3</xdr:col>
          <xdr:colOff>1409700</xdr:colOff>
          <xdr:row>7</xdr:row>
          <xdr:rowOff>31750</xdr:rowOff>
        </xdr:to>
        <xdr:sp macro="" textlink="">
          <xdr:nvSpPr>
            <xdr:cNvPr id="10244" name="Check Box 4" hidden="1">
              <a:extLst>
                <a:ext uri="{63B3BB69-23CF-44E3-9099-C40C66FF867C}">
                  <a14:compatExt spid="_x0000_s10244"/>
                </a:ext>
                <a:ext uri="{FF2B5EF4-FFF2-40B4-BE49-F238E27FC236}">
                  <a16:creationId xmlns:a16="http://schemas.microsoft.com/office/drawing/2014/main" id="{00000000-0008-0000-0100-000004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계정계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1574800</xdr:colOff>
          <xdr:row>6</xdr:row>
          <xdr:rowOff>0</xdr:rowOff>
        </xdr:from>
        <xdr:to>
          <xdr:col>3</xdr:col>
          <xdr:colOff>2184400</xdr:colOff>
          <xdr:row>7</xdr:row>
          <xdr:rowOff>38100</xdr:rowOff>
        </xdr:to>
        <xdr:sp macro="" textlink="">
          <xdr:nvSpPr>
            <xdr:cNvPr id="10245" name="Check Box 5" hidden="1">
              <a:extLst>
                <a:ext uri="{63B3BB69-23CF-44E3-9099-C40C66FF867C}">
                  <a14:compatExt spid="_x0000_s10245"/>
                </a:ext>
                <a:ext uri="{FF2B5EF4-FFF2-40B4-BE49-F238E27FC236}">
                  <a16:creationId xmlns:a16="http://schemas.microsoft.com/office/drawing/2014/main" id="{00000000-0008-0000-0100-000005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정보계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6</xdr:row>
          <xdr:rowOff>0</xdr:rowOff>
        </xdr:from>
        <xdr:to>
          <xdr:col>4</xdr:col>
          <xdr:colOff>742950</xdr:colOff>
          <xdr:row>7</xdr:row>
          <xdr:rowOff>38100</xdr:rowOff>
        </xdr:to>
        <xdr:sp macro="" textlink="">
          <xdr:nvSpPr>
            <xdr:cNvPr id="10246" name="Check Box 6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1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경영관리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6</xdr:row>
          <xdr:rowOff>0</xdr:rowOff>
        </xdr:from>
        <xdr:to>
          <xdr:col>5</xdr:col>
          <xdr:colOff>514350</xdr:colOff>
          <xdr:row>7</xdr:row>
          <xdr:rowOff>38100</xdr:rowOff>
        </xdr:to>
        <xdr:sp macro="" textlink="">
          <xdr:nvSpPr>
            <xdr:cNvPr id="10247" name="Check Box 7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1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590550</xdr:colOff>
          <xdr:row>6</xdr:row>
          <xdr:rowOff>0</xdr:rowOff>
        </xdr:from>
        <xdr:to>
          <xdr:col>6</xdr:col>
          <xdr:colOff>336550</xdr:colOff>
          <xdr:row>7</xdr:row>
          <xdr:rowOff>38100</xdr:rowOff>
        </xdr:to>
        <xdr:sp macro="" textlink="">
          <xdr:nvSpPr>
            <xdr:cNvPr id="10248" name="Check Box 8" hidden="1">
              <a:extLst>
                <a:ext uri="{63B3BB69-23CF-44E3-9099-C40C66FF867C}">
                  <a14:compatExt spid="_x0000_s10248"/>
                </a:ext>
                <a:ext uri="{FF2B5EF4-FFF2-40B4-BE49-F238E27FC236}">
                  <a16:creationId xmlns:a16="http://schemas.microsoft.com/office/drawing/2014/main" id="{00000000-0008-0000-0100-000008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7</xdr:row>
          <xdr:rowOff>38100</xdr:rowOff>
        </xdr:from>
        <xdr:to>
          <xdr:col>3</xdr:col>
          <xdr:colOff>679450</xdr:colOff>
          <xdr:row>7</xdr:row>
          <xdr:rowOff>361950</xdr:rowOff>
        </xdr:to>
        <xdr:sp macro="" textlink="">
          <xdr:nvSpPr>
            <xdr:cNvPr id="10249" name="Check Box 9" hidden="1">
              <a:extLst>
                <a:ext uri="{63B3BB69-23CF-44E3-9099-C40C66FF867C}">
                  <a14:compatExt spid="_x0000_s10249"/>
                </a:ext>
                <a:ext uri="{FF2B5EF4-FFF2-40B4-BE49-F238E27FC236}">
                  <a16:creationId xmlns:a16="http://schemas.microsoft.com/office/drawing/2014/main" id="{00000000-0008-0000-0100-000009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온라인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831850</xdr:colOff>
          <xdr:row>7</xdr:row>
          <xdr:rowOff>38100</xdr:rowOff>
        </xdr:from>
        <xdr:to>
          <xdr:col>3</xdr:col>
          <xdr:colOff>1428750</xdr:colOff>
          <xdr:row>7</xdr:row>
          <xdr:rowOff>361950</xdr:rowOff>
        </xdr:to>
        <xdr:sp macro="" textlink="">
          <xdr:nvSpPr>
            <xdr:cNvPr id="10250" name="Check Box 10" hidden="1">
              <a:extLst>
                <a:ext uri="{63B3BB69-23CF-44E3-9099-C40C66FF867C}">
                  <a14:compatExt spid="_x0000_s10250"/>
                </a:ext>
                <a:ext uri="{FF2B5EF4-FFF2-40B4-BE49-F238E27FC236}">
                  <a16:creationId xmlns:a16="http://schemas.microsoft.com/office/drawing/2014/main" id="{00000000-0008-0000-0100-00000A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24*365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1574800</xdr:colOff>
          <xdr:row>7</xdr:row>
          <xdr:rowOff>38100</xdr:rowOff>
        </xdr:from>
        <xdr:to>
          <xdr:col>3</xdr:col>
          <xdr:colOff>2165350</xdr:colOff>
          <xdr:row>7</xdr:row>
          <xdr:rowOff>355600</xdr:rowOff>
        </xdr:to>
        <xdr:sp macro="" textlink="">
          <xdr:nvSpPr>
            <xdr:cNvPr id="10251" name="Check Box 11" hidden="1">
              <a:extLst>
                <a:ext uri="{63B3BB69-23CF-44E3-9099-C40C66FF867C}">
                  <a14:compatExt spid="_x0000_s10251"/>
                </a:ext>
                <a:ext uri="{FF2B5EF4-FFF2-40B4-BE49-F238E27FC236}">
                  <a16:creationId xmlns:a16="http://schemas.microsoft.com/office/drawing/2014/main" id="{00000000-0008-0000-0100-00000B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이중화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7</xdr:row>
          <xdr:rowOff>38100</xdr:rowOff>
        </xdr:from>
        <xdr:to>
          <xdr:col>4</xdr:col>
          <xdr:colOff>781050</xdr:colOff>
          <xdr:row>7</xdr:row>
          <xdr:rowOff>361950</xdr:rowOff>
        </xdr:to>
        <xdr:sp macro="" textlink="">
          <xdr:nvSpPr>
            <xdr:cNvPr id="10252" name="Check Box 12" hidden="1">
              <a:extLst>
                <a:ext uri="{63B3BB69-23CF-44E3-9099-C40C66FF867C}">
                  <a14:compatExt spid="_x0000_s10252"/>
                </a:ext>
                <a:ext uri="{FF2B5EF4-FFF2-40B4-BE49-F238E27FC236}">
                  <a16:creationId xmlns:a16="http://schemas.microsoft.com/office/drawing/2014/main" id="{00000000-0008-0000-0100-00000C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재해복구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7</xdr:row>
          <xdr:rowOff>38100</xdr:rowOff>
        </xdr:from>
        <xdr:to>
          <xdr:col>5</xdr:col>
          <xdr:colOff>666750</xdr:colOff>
          <xdr:row>7</xdr:row>
          <xdr:rowOff>361950</xdr:rowOff>
        </xdr:to>
        <xdr:sp macro="" textlink="">
          <xdr:nvSpPr>
            <xdr:cNvPr id="10253" name="Check Box 13" hidden="1">
              <a:extLst>
                <a:ext uri="{63B3BB69-23CF-44E3-9099-C40C66FF867C}">
                  <a14:compatExt spid="_x0000_s10253"/>
                </a:ext>
                <a:ext uri="{FF2B5EF4-FFF2-40B4-BE49-F238E27FC236}">
                  <a16:creationId xmlns:a16="http://schemas.microsoft.com/office/drawing/2014/main" id="{00000000-0008-0000-0100-00000D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 연동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742950</xdr:colOff>
          <xdr:row>7</xdr:row>
          <xdr:rowOff>38100</xdr:rowOff>
        </xdr:from>
        <xdr:to>
          <xdr:col>6</xdr:col>
          <xdr:colOff>666750</xdr:colOff>
          <xdr:row>7</xdr:row>
          <xdr:rowOff>361950</xdr:rowOff>
        </xdr:to>
        <xdr:sp macro="" textlink="">
          <xdr:nvSpPr>
            <xdr:cNvPr id="10254" name="Check Box 14" hidden="1">
              <a:extLst>
                <a:ext uri="{63B3BB69-23CF-44E3-9099-C40C66FF867C}">
                  <a14:compatExt spid="_x0000_s10254"/>
                </a:ext>
                <a:ext uri="{FF2B5EF4-FFF2-40B4-BE49-F238E27FC236}">
                  <a16:creationId xmlns:a16="http://schemas.microsoft.com/office/drawing/2014/main" id="{00000000-0008-0000-0100-00000E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대외기관 연동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933450</xdr:colOff>
          <xdr:row>18</xdr:row>
          <xdr:rowOff>31750</xdr:rowOff>
        </xdr:from>
        <xdr:to>
          <xdr:col>3</xdr:col>
          <xdr:colOff>666750</xdr:colOff>
          <xdr:row>18</xdr:row>
          <xdr:rowOff>241300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2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여신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18</xdr:row>
          <xdr:rowOff>31750</xdr:rowOff>
        </xdr:from>
        <xdr:to>
          <xdr:col>4</xdr:col>
          <xdr:colOff>762000</xdr:colOff>
          <xdr:row>18</xdr:row>
          <xdr:rowOff>241300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2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수신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812800</xdr:colOff>
          <xdr:row>18</xdr:row>
          <xdr:rowOff>31750</xdr:rowOff>
        </xdr:from>
        <xdr:to>
          <xdr:col>5</xdr:col>
          <xdr:colOff>323850</xdr:colOff>
          <xdr:row>18</xdr:row>
          <xdr:rowOff>241300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2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국제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18</xdr:row>
          <xdr:rowOff>31750</xdr:rowOff>
        </xdr:from>
        <xdr:to>
          <xdr:col>6</xdr:col>
          <xdr:colOff>698500</xdr:colOff>
          <xdr:row>18</xdr:row>
          <xdr:rowOff>241300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2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리스크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812800</xdr:colOff>
          <xdr:row>18</xdr:row>
          <xdr:rowOff>31750</xdr:rowOff>
        </xdr:from>
        <xdr:to>
          <xdr:col>7</xdr:col>
          <xdr:colOff>546100</xdr:colOff>
          <xdr:row>18</xdr:row>
          <xdr:rowOff>241300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2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관리지원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717550</xdr:colOff>
          <xdr:row>18</xdr:row>
          <xdr:rowOff>31750</xdr:rowOff>
        </xdr:from>
        <xdr:to>
          <xdr:col>7</xdr:col>
          <xdr:colOff>1009650</xdr:colOff>
          <xdr:row>18</xdr:row>
          <xdr:rowOff>241300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2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889000</xdr:colOff>
          <xdr:row>19</xdr:row>
          <xdr:rowOff>12700</xdr:rowOff>
        </xdr:from>
        <xdr:to>
          <xdr:col>3</xdr:col>
          <xdr:colOff>774700</xdr:colOff>
          <xdr:row>19</xdr:row>
          <xdr:rowOff>228600</xdr:rowOff>
        </xdr:to>
        <xdr:sp macro="" textlink="">
          <xdr:nvSpPr>
            <xdr:cNvPr id="13319" name="Check Box 7" descr="신규 개발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2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신규 개발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19</xdr:row>
          <xdr:rowOff>12700</xdr:rowOff>
        </xdr:from>
        <xdr:to>
          <xdr:col>5</xdr:col>
          <xdr:colOff>374650</xdr:colOff>
          <xdr:row>19</xdr:row>
          <xdr:rowOff>241300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2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기능 개선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19</xdr:row>
          <xdr:rowOff>19050</xdr:rowOff>
        </xdr:from>
        <xdr:to>
          <xdr:col>7</xdr:col>
          <xdr:colOff>584200</xdr:colOff>
          <xdr:row>19</xdr:row>
          <xdr:rowOff>228600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2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19</xdr:row>
          <xdr:rowOff>19050</xdr:rowOff>
        </xdr:from>
        <xdr:to>
          <xdr:col>6</xdr:col>
          <xdr:colOff>361950</xdr:colOff>
          <xdr:row>19</xdr:row>
          <xdr:rowOff>241300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2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법률/규제 대응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21</xdr:row>
          <xdr:rowOff>19050</xdr:rowOff>
        </xdr:from>
        <xdr:to>
          <xdr:col>3</xdr:col>
          <xdr:colOff>685800</xdr:colOff>
          <xdr:row>21</xdr:row>
          <xdr:rowOff>228600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2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기업고객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21</xdr:row>
          <xdr:rowOff>19050</xdr:rowOff>
        </xdr:from>
        <xdr:to>
          <xdr:col>4</xdr:col>
          <xdr:colOff>704850</xdr:colOff>
          <xdr:row>21</xdr:row>
          <xdr:rowOff>228600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2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개인고객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21</xdr:row>
          <xdr:rowOff>12700</xdr:rowOff>
        </xdr:from>
        <xdr:to>
          <xdr:col>5</xdr:col>
          <xdr:colOff>736600</xdr:colOff>
          <xdr:row>21</xdr:row>
          <xdr:rowOff>228600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2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내부직원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21</xdr:row>
          <xdr:rowOff>19050</xdr:rowOff>
        </xdr:from>
        <xdr:to>
          <xdr:col>7</xdr:col>
          <xdr:colOff>450850</xdr:colOff>
          <xdr:row>21</xdr:row>
          <xdr:rowOff>228600</xdr:rowOff>
        </xdr:to>
        <xdr:sp macro="" textlink="">
          <xdr:nvSpPr>
            <xdr:cNvPr id="13326" name="Check Box 14" hidden="1">
              <a:extLst>
                <a:ext uri="{63B3BB69-23CF-44E3-9099-C40C66FF867C}">
                  <a14:compatExt spid="_x0000_s13326"/>
                </a:ext>
                <a:ext uri="{FF2B5EF4-FFF2-40B4-BE49-F238E27FC236}">
                  <a16:creationId xmlns:a16="http://schemas.microsoft.com/office/drawing/2014/main" id="{00000000-0008-0000-0200-00000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 기타(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19050</xdr:rowOff>
        </xdr:from>
        <xdr:to>
          <xdr:col>4</xdr:col>
          <xdr:colOff>285750</xdr:colOff>
          <xdr:row>26</xdr:row>
          <xdr:rowOff>228600</xdr:rowOff>
        </xdr:to>
        <xdr:sp macro="" textlink="">
          <xdr:nvSpPr>
            <xdr:cNvPr id="13327" name="Check Box 15" hidden="1">
              <a:extLst>
                <a:ext uri="{63B3BB69-23CF-44E3-9099-C40C66FF867C}">
                  <a14:compatExt spid="_x0000_s13327"/>
                </a:ext>
                <a:ext uri="{FF2B5EF4-FFF2-40B4-BE49-F238E27FC236}">
                  <a16:creationId xmlns:a16="http://schemas.microsoft.com/office/drawing/2014/main" id="{00000000-0008-0000-0200-00000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확정(변동가능성 無)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26</xdr:row>
          <xdr:rowOff>19050</xdr:rowOff>
        </xdr:from>
        <xdr:to>
          <xdr:col>9</xdr:col>
          <xdr:colOff>57150</xdr:colOff>
          <xdr:row>26</xdr:row>
          <xdr:rowOff>228600</xdr:rowOff>
        </xdr:to>
        <xdr:sp macro="" textlink="">
          <xdr:nvSpPr>
            <xdr:cNvPr id="13328" name="Check Box 16" hidden="1">
              <a:extLst>
                <a:ext uri="{63B3BB69-23CF-44E3-9099-C40C66FF867C}">
                  <a14:compatExt spid="_x0000_s13328"/>
                </a:ext>
                <a:ext uri="{FF2B5EF4-FFF2-40B4-BE49-F238E27FC236}">
                  <a16:creationId xmlns:a16="http://schemas.microsoft.com/office/drawing/2014/main" id="{00000000-0008-0000-0200-00001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추진계획 검토중 (유관부서검토 여부 :                                             ) (변동가능성 有)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26</xdr:row>
          <xdr:rowOff>19050</xdr:rowOff>
        </xdr:from>
        <xdr:to>
          <xdr:col>7</xdr:col>
          <xdr:colOff>552450</xdr:colOff>
          <xdr:row>26</xdr:row>
          <xdr:rowOff>228600</xdr:rowOff>
        </xdr:to>
        <xdr:sp macro="" textlink="">
          <xdr:nvSpPr>
            <xdr:cNvPr id="13329" name="Check Box 17" hidden="1">
              <a:extLst>
                <a:ext uri="{63B3BB69-23CF-44E3-9099-C40C66FF867C}">
                  <a14:compatExt spid="_x0000_s13329"/>
                </a:ext>
                <a:ext uri="{FF2B5EF4-FFF2-40B4-BE49-F238E27FC236}">
                  <a16:creationId xmlns:a16="http://schemas.microsoft.com/office/drawing/2014/main" id="{00000000-0008-0000-0200-00001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889000</xdr:colOff>
          <xdr:row>20</xdr:row>
          <xdr:rowOff>19050</xdr:rowOff>
        </xdr:from>
        <xdr:to>
          <xdr:col>3</xdr:col>
          <xdr:colOff>742950</xdr:colOff>
          <xdr:row>20</xdr:row>
          <xdr:rowOff>241300</xdr:rowOff>
        </xdr:to>
        <xdr:sp macro="" textlink="">
          <xdr:nvSpPr>
            <xdr:cNvPr id="13330" name="Check Box 18" hidden="1">
              <a:extLst>
                <a:ext uri="{63B3BB69-23CF-44E3-9099-C40C66FF867C}">
                  <a14:compatExt spid="_x0000_s13330"/>
                </a:ext>
                <a:ext uri="{FF2B5EF4-FFF2-40B4-BE49-F238E27FC236}">
                  <a16:creationId xmlns:a16="http://schemas.microsoft.com/office/drawing/2014/main" id="{00000000-0008-0000-0200-00001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빅데이터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88900</xdr:colOff>
          <xdr:row>20</xdr:row>
          <xdr:rowOff>19050</xdr:rowOff>
        </xdr:from>
        <xdr:to>
          <xdr:col>4</xdr:col>
          <xdr:colOff>584200</xdr:colOff>
          <xdr:row>20</xdr:row>
          <xdr:rowOff>241300</xdr:rowOff>
        </xdr:to>
        <xdr:sp macro="" textlink="">
          <xdr:nvSpPr>
            <xdr:cNvPr id="13331" name="Check Box 19" hidden="1">
              <a:extLst>
                <a:ext uri="{63B3BB69-23CF-44E3-9099-C40C66FF867C}">
                  <a14:compatExt spid="_x0000_s13331"/>
                </a:ext>
                <a:ext uri="{FF2B5EF4-FFF2-40B4-BE49-F238E27FC236}">
                  <a16:creationId xmlns:a16="http://schemas.microsoft.com/office/drawing/2014/main" id="{00000000-0008-0000-0200-00001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819150</xdr:colOff>
          <xdr:row>20</xdr:row>
          <xdr:rowOff>19050</xdr:rowOff>
        </xdr:from>
        <xdr:to>
          <xdr:col>5</xdr:col>
          <xdr:colOff>552450</xdr:colOff>
          <xdr:row>20</xdr:row>
          <xdr:rowOff>241300</xdr:rowOff>
        </xdr:to>
        <xdr:sp macro="" textlink="">
          <xdr:nvSpPr>
            <xdr:cNvPr id="13332" name="Check Box 20" hidden="1">
              <a:extLst>
                <a:ext uri="{63B3BB69-23CF-44E3-9099-C40C66FF867C}">
                  <a14:compatExt spid="_x0000_s13332"/>
                </a:ext>
                <a:ext uri="{FF2B5EF4-FFF2-40B4-BE49-F238E27FC236}">
                  <a16:creationId xmlns:a16="http://schemas.microsoft.com/office/drawing/2014/main" id="{00000000-0008-0000-0200-00001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클라우드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20</xdr:row>
          <xdr:rowOff>31750</xdr:rowOff>
        </xdr:from>
        <xdr:to>
          <xdr:col>7</xdr:col>
          <xdr:colOff>133350</xdr:colOff>
          <xdr:row>20</xdr:row>
          <xdr:rowOff>241300</xdr:rowOff>
        </xdr:to>
        <xdr:sp macro="" textlink="">
          <xdr:nvSpPr>
            <xdr:cNvPr id="13333" name="Check Box 21" hidden="1">
              <a:extLst>
                <a:ext uri="{63B3BB69-23CF-44E3-9099-C40C66FF867C}">
                  <a14:compatExt spid="_x0000_s13333"/>
                </a:ext>
                <a:ext uri="{FF2B5EF4-FFF2-40B4-BE49-F238E27FC236}">
                  <a16:creationId xmlns:a16="http://schemas.microsoft.com/office/drawing/2014/main" id="{00000000-0008-0000-0200-00001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블록체인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22</xdr:row>
          <xdr:rowOff>19050</xdr:rowOff>
        </xdr:from>
        <xdr:to>
          <xdr:col>4</xdr:col>
          <xdr:colOff>203200</xdr:colOff>
          <xdr:row>22</xdr:row>
          <xdr:rowOff>228600</xdr:rowOff>
        </xdr:to>
        <xdr:sp macro="" textlink="">
          <xdr:nvSpPr>
            <xdr:cNvPr id="13334" name="Check Box 22" hidden="1">
              <a:extLst>
                <a:ext uri="{63B3BB69-23CF-44E3-9099-C40C66FF867C}">
                  <a14:compatExt spid="_x0000_s13334"/>
                </a:ext>
                <a:ext uri="{FF2B5EF4-FFF2-40B4-BE49-F238E27FC236}">
                  <a16:creationId xmlns:a16="http://schemas.microsoft.com/office/drawing/2014/main" id="{00000000-0008-0000-0200-00001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비중복(N)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584200</xdr:colOff>
          <xdr:row>22</xdr:row>
          <xdr:rowOff>19050</xdr:rowOff>
        </xdr:from>
        <xdr:to>
          <xdr:col>5</xdr:col>
          <xdr:colOff>361950</xdr:colOff>
          <xdr:row>22</xdr:row>
          <xdr:rowOff>228600</xdr:rowOff>
        </xdr:to>
        <xdr:sp macro="" textlink="">
          <xdr:nvSpPr>
            <xdr:cNvPr id="13335" name="Check Box 23" hidden="1">
              <a:extLst>
                <a:ext uri="{63B3BB69-23CF-44E3-9099-C40C66FF867C}">
                  <a14:compatExt spid="_x0000_s13335"/>
                </a:ext>
                <a:ext uri="{FF2B5EF4-FFF2-40B4-BE49-F238E27FC236}">
                  <a16:creationId xmlns:a16="http://schemas.microsoft.com/office/drawing/2014/main" id="{00000000-0008-0000-0200-00001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중복(Y)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22</xdr:row>
          <xdr:rowOff>19050</xdr:rowOff>
        </xdr:from>
        <xdr:to>
          <xdr:col>7</xdr:col>
          <xdr:colOff>927100</xdr:colOff>
          <xdr:row>22</xdr:row>
          <xdr:rowOff>228600</xdr:rowOff>
        </xdr:to>
        <xdr:sp macro="" textlink="">
          <xdr:nvSpPr>
            <xdr:cNvPr id="13336" name="Check Box 24" hidden="1">
              <a:extLst>
                <a:ext uri="{63B3BB69-23CF-44E3-9099-C40C66FF867C}">
                  <a14:compatExt spid="_x0000_s13336"/>
                </a:ext>
                <a:ext uri="{FF2B5EF4-FFF2-40B4-BE49-F238E27FC236}">
                  <a16:creationId xmlns:a16="http://schemas.microsoft.com/office/drawing/2014/main" id="{00000000-0008-0000-0200-00001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2025년 이내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</xdr:colOff>
          <xdr:row>22</xdr:row>
          <xdr:rowOff>19050</xdr:rowOff>
        </xdr:from>
        <xdr:to>
          <xdr:col>8</xdr:col>
          <xdr:colOff>838200</xdr:colOff>
          <xdr:row>22</xdr:row>
          <xdr:rowOff>228600</xdr:rowOff>
        </xdr:to>
        <xdr:sp macro="" textlink="">
          <xdr:nvSpPr>
            <xdr:cNvPr id="13337" name="Check Box 25" hidden="1">
              <a:extLst>
                <a:ext uri="{63B3BB69-23CF-44E3-9099-C40C66FF867C}">
                  <a14:compatExt spid="_x0000_s13337"/>
                </a:ext>
                <a:ext uri="{FF2B5EF4-FFF2-40B4-BE49-F238E27FC236}">
                  <a16:creationId xmlns:a16="http://schemas.microsoft.com/office/drawing/2014/main" id="{00000000-0008-0000-0200-00001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2025년 이후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20</xdr:row>
          <xdr:rowOff>31750</xdr:rowOff>
        </xdr:from>
        <xdr:to>
          <xdr:col>8</xdr:col>
          <xdr:colOff>209550</xdr:colOff>
          <xdr:row>20</xdr:row>
          <xdr:rowOff>241300</xdr:rowOff>
        </xdr:to>
        <xdr:sp macro="" textlink="">
          <xdr:nvSpPr>
            <xdr:cNvPr id="13338" name="Check Box 26" hidden="1">
              <a:extLst>
                <a:ext uri="{63B3BB69-23CF-44E3-9099-C40C66FF867C}">
                  <a14:compatExt spid="_x0000_s13338"/>
                </a:ext>
                <a:ext uri="{FF2B5EF4-FFF2-40B4-BE49-F238E27FC236}">
                  <a16:creationId xmlns:a16="http://schemas.microsoft.com/office/drawing/2014/main" id="{00000000-0008-0000-0200-00001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플랫폼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20</xdr:row>
          <xdr:rowOff>31750</xdr:rowOff>
        </xdr:from>
        <xdr:to>
          <xdr:col>9</xdr:col>
          <xdr:colOff>266700</xdr:colOff>
          <xdr:row>20</xdr:row>
          <xdr:rowOff>241300</xdr:rowOff>
        </xdr:to>
        <xdr:sp macro="" textlink="">
          <xdr:nvSpPr>
            <xdr:cNvPr id="13339" name="Check Box 27" hidden="1">
              <a:extLst>
                <a:ext uri="{63B3BB69-23CF-44E3-9099-C40C66FF867C}">
                  <a14:compatExt spid="_x0000_s13339"/>
                </a:ext>
                <a:ext uri="{FF2B5EF4-FFF2-40B4-BE49-F238E27FC236}">
                  <a16:creationId xmlns:a16="http://schemas.microsoft.com/office/drawing/2014/main" id="{00000000-0008-0000-0200-00001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핀테크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50800</xdr:colOff>
          <xdr:row>20</xdr:row>
          <xdr:rowOff>19050</xdr:rowOff>
        </xdr:from>
        <xdr:to>
          <xdr:col>10</xdr:col>
          <xdr:colOff>165100</xdr:colOff>
          <xdr:row>20</xdr:row>
          <xdr:rowOff>241300</xdr:rowOff>
        </xdr:to>
        <xdr:sp macro="" textlink="">
          <xdr:nvSpPr>
            <xdr:cNvPr id="13340" name="Check Box 28" hidden="1">
              <a:extLst>
                <a:ext uri="{63B3BB69-23CF-44E3-9099-C40C66FF867C}">
                  <a14:compatExt spid="_x0000_s13340"/>
                </a:ext>
                <a:ext uri="{FF2B5EF4-FFF2-40B4-BE49-F238E27FC236}">
                  <a16:creationId xmlns:a16="http://schemas.microsoft.com/office/drawing/2014/main" id="{00000000-0008-0000-0200-00001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기타(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514350</xdr:colOff>
          <xdr:row>19</xdr:row>
          <xdr:rowOff>19050</xdr:rowOff>
        </xdr:from>
        <xdr:to>
          <xdr:col>9</xdr:col>
          <xdr:colOff>736600</xdr:colOff>
          <xdr:row>19</xdr:row>
          <xdr:rowOff>228600</xdr:rowOff>
        </xdr:to>
        <xdr:sp macro="" textlink="">
          <xdr:nvSpPr>
            <xdr:cNvPr id="13341" name="Check Box 29" hidden="1">
              <a:extLst>
                <a:ext uri="{63B3BB69-23CF-44E3-9099-C40C66FF867C}">
                  <a14:compatExt spid="_x0000_s13341"/>
                </a:ext>
                <a:ext uri="{FF2B5EF4-FFF2-40B4-BE49-F238E27FC236}">
                  <a16:creationId xmlns:a16="http://schemas.microsoft.com/office/drawing/2014/main" id="{00000000-0008-0000-0200-00001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508000</xdr:colOff>
          <xdr:row>18</xdr:row>
          <xdr:rowOff>31750</xdr:rowOff>
        </xdr:from>
        <xdr:to>
          <xdr:col>9</xdr:col>
          <xdr:colOff>704850</xdr:colOff>
          <xdr:row>18</xdr:row>
          <xdr:rowOff>241300</xdr:rowOff>
        </xdr:to>
        <xdr:sp macro="" textlink="">
          <xdr:nvSpPr>
            <xdr:cNvPr id="13342" name="Check Box 30" hidden="1">
              <a:extLst>
                <a:ext uri="{63B3BB69-23CF-44E3-9099-C40C66FF867C}">
                  <a14:compatExt spid="_x0000_s13342"/>
                </a:ext>
                <a:ext uri="{FF2B5EF4-FFF2-40B4-BE49-F238E27FC236}">
                  <a16:creationId xmlns:a16="http://schemas.microsoft.com/office/drawing/2014/main" id="{00000000-0008-0000-0200-00001E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19050</xdr:rowOff>
        </xdr:from>
        <xdr:to>
          <xdr:col>4</xdr:col>
          <xdr:colOff>438150</xdr:colOff>
          <xdr:row>25</xdr:row>
          <xdr:rowOff>228600</xdr:rowOff>
        </xdr:to>
        <xdr:sp macro="" textlink="">
          <xdr:nvSpPr>
            <xdr:cNvPr id="13343" name="Check Box 31" hidden="1">
              <a:extLst>
                <a:ext uri="{63B3BB69-23CF-44E3-9099-C40C66FF867C}">
                  <a14:compatExt spid="_x0000_s13343"/>
                </a:ext>
                <a:ext uri="{FF2B5EF4-FFF2-40B4-BE49-F238E27FC236}">
                  <a16:creationId xmlns:a16="http://schemas.microsoft.com/office/drawing/2014/main" id="{00000000-0008-0000-0200-00001F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부문(본부장)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25</xdr:row>
          <xdr:rowOff>31750</xdr:rowOff>
        </xdr:from>
        <xdr:to>
          <xdr:col>5</xdr:col>
          <xdr:colOff>476250</xdr:colOff>
          <xdr:row>25</xdr:row>
          <xdr:rowOff>241300</xdr:rowOff>
        </xdr:to>
        <xdr:sp macro="" textlink="">
          <xdr:nvSpPr>
            <xdr:cNvPr id="13344" name="Check Box 32" hidden="1">
              <a:extLst>
                <a:ext uri="{63B3BB69-23CF-44E3-9099-C40C66FF867C}">
                  <a14:compatExt spid="_x0000_s13344"/>
                </a:ext>
                <a:ext uri="{FF2B5EF4-FFF2-40B4-BE49-F238E27FC236}">
                  <a16:creationId xmlns:a16="http://schemas.microsoft.com/office/drawing/2014/main" id="{00000000-0008-0000-0200-000020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부서장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717550</xdr:colOff>
          <xdr:row>25</xdr:row>
          <xdr:rowOff>31750</xdr:rowOff>
        </xdr:from>
        <xdr:to>
          <xdr:col>7</xdr:col>
          <xdr:colOff>298450</xdr:colOff>
          <xdr:row>25</xdr:row>
          <xdr:rowOff>241300</xdr:rowOff>
        </xdr:to>
        <xdr:sp macro="" textlink="">
          <xdr:nvSpPr>
            <xdr:cNvPr id="13345" name="Check Box 33" hidden="1">
              <a:extLst>
                <a:ext uri="{63B3BB69-23CF-44E3-9099-C40C66FF867C}">
                  <a14:compatExt spid="_x0000_s13345"/>
                </a:ext>
                <a:ext uri="{FF2B5EF4-FFF2-40B4-BE49-F238E27FC236}">
                  <a16:creationId xmlns:a16="http://schemas.microsoft.com/office/drawing/2014/main" id="{00000000-0008-0000-0200-00002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22</xdr:row>
          <xdr:rowOff>12700</xdr:rowOff>
        </xdr:from>
        <xdr:to>
          <xdr:col>9</xdr:col>
          <xdr:colOff>895350</xdr:colOff>
          <xdr:row>22</xdr:row>
          <xdr:rowOff>228600</xdr:rowOff>
        </xdr:to>
        <xdr:sp macro="" textlink="">
          <xdr:nvSpPr>
            <xdr:cNvPr id="13346" name="Check Box 34" hidden="1">
              <a:extLst>
                <a:ext uri="{63B3BB69-23CF-44E3-9099-C40C66FF867C}">
                  <a14:compatExt spid="_x0000_s13346"/>
                </a:ext>
                <a:ext uri="{FF2B5EF4-FFF2-40B4-BE49-F238E27FC236}">
                  <a16:creationId xmlns:a16="http://schemas.microsoft.com/office/drawing/2014/main" id="{00000000-0008-0000-0200-00002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별도없음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19</xdr:row>
          <xdr:rowOff>19050</xdr:rowOff>
        </xdr:from>
        <xdr:to>
          <xdr:col>8</xdr:col>
          <xdr:colOff>514350</xdr:colOff>
          <xdr:row>19</xdr:row>
          <xdr:rowOff>228600</xdr:rowOff>
        </xdr:to>
        <xdr:sp macro="" textlink="">
          <xdr:nvSpPr>
            <xdr:cNvPr id="13347" name="Check Box 35" hidden="1">
              <a:extLst>
                <a:ext uri="{63B3BB69-23CF-44E3-9099-C40C66FF867C}">
                  <a14:compatExt spid="_x0000_s13347"/>
                </a:ext>
                <a:ext uri="{FF2B5EF4-FFF2-40B4-BE49-F238E27FC236}">
                  <a16:creationId xmlns:a16="http://schemas.microsoft.com/office/drawing/2014/main" id="{00000000-0008-0000-0200-00002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660400</xdr:colOff>
          <xdr:row>26</xdr:row>
          <xdr:rowOff>19050</xdr:rowOff>
        </xdr:from>
        <xdr:to>
          <xdr:col>7</xdr:col>
          <xdr:colOff>1009650</xdr:colOff>
          <xdr:row>26</xdr:row>
          <xdr:rowOff>228600</xdr:rowOff>
        </xdr:to>
        <xdr:sp macro="" textlink="">
          <xdr:nvSpPr>
            <xdr:cNvPr id="13348" name="Check Box 36" hidden="1">
              <a:extLst>
                <a:ext uri="{63B3BB69-23CF-44E3-9099-C40C66FF867C}">
                  <a14:compatExt spid="_x0000_s13348"/>
                </a:ext>
                <a:ext uri="{FF2B5EF4-FFF2-40B4-BE49-F238E27FC236}">
                  <a16:creationId xmlns:a16="http://schemas.microsoft.com/office/drawing/2014/main" id="{00000000-0008-0000-0200-00002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26</xdr:row>
          <xdr:rowOff>19050</xdr:rowOff>
        </xdr:from>
        <xdr:to>
          <xdr:col>8</xdr:col>
          <xdr:colOff>812800</xdr:colOff>
          <xdr:row>26</xdr:row>
          <xdr:rowOff>241300</xdr:rowOff>
        </xdr:to>
        <xdr:sp macro="" textlink="">
          <xdr:nvSpPr>
            <xdr:cNvPr id="13349" name="Check Box 37" hidden="1">
              <a:extLst>
                <a:ext uri="{63B3BB69-23CF-44E3-9099-C40C66FF867C}">
                  <a14:compatExt spid="_x0000_s13349"/>
                </a:ext>
                <a:ext uri="{FF2B5EF4-FFF2-40B4-BE49-F238E27FC236}">
                  <a16:creationId xmlns:a16="http://schemas.microsoft.com/office/drawing/2014/main" id="{00000000-0008-0000-0200-00002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N/A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7</xdr:row>
          <xdr:rowOff>0</xdr:rowOff>
        </xdr:from>
        <xdr:to>
          <xdr:col>3</xdr:col>
          <xdr:colOff>704850</xdr:colOff>
          <xdr:row>8</xdr:row>
          <xdr:rowOff>38100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3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7</xdr:row>
          <xdr:rowOff>0</xdr:rowOff>
        </xdr:from>
        <xdr:to>
          <xdr:col>3</xdr:col>
          <xdr:colOff>1638300</xdr:colOff>
          <xdr:row>8</xdr:row>
          <xdr:rowOff>31750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3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계정계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2000250</xdr:colOff>
          <xdr:row>7</xdr:row>
          <xdr:rowOff>0</xdr:rowOff>
        </xdr:from>
        <xdr:to>
          <xdr:col>3</xdr:col>
          <xdr:colOff>2603500</xdr:colOff>
          <xdr:row>8</xdr:row>
          <xdr:rowOff>38100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3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정보계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2946400</xdr:colOff>
          <xdr:row>7</xdr:row>
          <xdr:rowOff>0</xdr:rowOff>
        </xdr:from>
        <xdr:to>
          <xdr:col>4</xdr:col>
          <xdr:colOff>584200</xdr:colOff>
          <xdr:row>8</xdr:row>
          <xdr:rowOff>38100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3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경영관리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7</xdr:row>
          <xdr:rowOff>0</xdr:rowOff>
        </xdr:from>
        <xdr:to>
          <xdr:col>5</xdr:col>
          <xdr:colOff>514350</xdr:colOff>
          <xdr:row>8</xdr:row>
          <xdr:rowOff>38100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3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946150</xdr:colOff>
          <xdr:row>7</xdr:row>
          <xdr:rowOff>0</xdr:rowOff>
        </xdr:from>
        <xdr:to>
          <xdr:col>7</xdr:col>
          <xdr:colOff>184150</xdr:colOff>
          <xdr:row>8</xdr:row>
          <xdr:rowOff>38100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3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8</xdr:row>
          <xdr:rowOff>38100</xdr:rowOff>
        </xdr:from>
        <xdr:to>
          <xdr:col>3</xdr:col>
          <xdr:colOff>666750</xdr:colOff>
          <xdr:row>8</xdr:row>
          <xdr:rowOff>355600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3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온라인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8</xdr:row>
          <xdr:rowOff>38100</xdr:rowOff>
        </xdr:from>
        <xdr:to>
          <xdr:col>3</xdr:col>
          <xdr:colOff>1638300</xdr:colOff>
          <xdr:row>8</xdr:row>
          <xdr:rowOff>355600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3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24*365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2000250</xdr:colOff>
          <xdr:row>8</xdr:row>
          <xdr:rowOff>38100</xdr:rowOff>
        </xdr:from>
        <xdr:to>
          <xdr:col>3</xdr:col>
          <xdr:colOff>2571750</xdr:colOff>
          <xdr:row>8</xdr:row>
          <xdr:rowOff>361950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3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이중화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2946400</xdr:colOff>
          <xdr:row>8</xdr:row>
          <xdr:rowOff>38100</xdr:rowOff>
        </xdr:from>
        <xdr:to>
          <xdr:col>4</xdr:col>
          <xdr:colOff>622300</xdr:colOff>
          <xdr:row>8</xdr:row>
          <xdr:rowOff>355600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3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재해복구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8</xdr:row>
          <xdr:rowOff>38100</xdr:rowOff>
        </xdr:from>
        <xdr:to>
          <xdr:col>5</xdr:col>
          <xdr:colOff>679450</xdr:colOff>
          <xdr:row>8</xdr:row>
          <xdr:rowOff>361950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3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 연동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946150</xdr:colOff>
          <xdr:row>8</xdr:row>
          <xdr:rowOff>38100</xdr:rowOff>
        </xdr:from>
        <xdr:to>
          <xdr:col>7</xdr:col>
          <xdr:colOff>361950</xdr:colOff>
          <xdr:row>8</xdr:row>
          <xdr:rowOff>374650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3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대외기관 연동</a:t>
              </a:r>
            </a:p>
          </xdr:txBody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933450</xdr:colOff>
          <xdr:row>12</xdr:row>
          <xdr:rowOff>31750</xdr:rowOff>
        </xdr:from>
        <xdr:to>
          <xdr:col>3</xdr:col>
          <xdr:colOff>666750</xdr:colOff>
          <xdr:row>12</xdr:row>
          <xdr:rowOff>241300</xdr:rowOff>
        </xdr:to>
        <xdr:sp macro="" textlink="">
          <xdr:nvSpPr>
            <xdr:cNvPr id="17409" name="Check Box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04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여신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12</xdr:row>
          <xdr:rowOff>31750</xdr:rowOff>
        </xdr:from>
        <xdr:to>
          <xdr:col>4</xdr:col>
          <xdr:colOff>762000</xdr:colOff>
          <xdr:row>12</xdr:row>
          <xdr:rowOff>241300</xdr:rowOff>
        </xdr:to>
        <xdr:sp macro="" textlink="">
          <xdr:nvSpPr>
            <xdr:cNvPr id="17410" name="Check Box 2" hidden="1">
              <a:extLst>
                <a:ext uri="{63B3BB69-23CF-44E3-9099-C40C66FF867C}">
                  <a14:compatExt spid="_x0000_s17410"/>
                </a:ext>
                <a:ext uri="{FF2B5EF4-FFF2-40B4-BE49-F238E27FC236}">
                  <a16:creationId xmlns:a16="http://schemas.microsoft.com/office/drawing/2014/main" id="{00000000-0008-0000-0400-00000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수신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812800</xdr:colOff>
          <xdr:row>12</xdr:row>
          <xdr:rowOff>31750</xdr:rowOff>
        </xdr:from>
        <xdr:to>
          <xdr:col>5</xdr:col>
          <xdr:colOff>323850</xdr:colOff>
          <xdr:row>12</xdr:row>
          <xdr:rowOff>241300</xdr:rowOff>
        </xdr:to>
        <xdr:sp macro="" textlink="">
          <xdr:nvSpPr>
            <xdr:cNvPr id="17411" name="Check Box 3" hidden="1">
              <a:extLst>
                <a:ext uri="{63B3BB69-23CF-44E3-9099-C40C66FF867C}">
                  <a14:compatExt spid="_x0000_s17411"/>
                </a:ext>
                <a:ext uri="{FF2B5EF4-FFF2-40B4-BE49-F238E27FC236}">
                  <a16:creationId xmlns:a16="http://schemas.microsoft.com/office/drawing/2014/main" id="{00000000-0008-0000-0400-00000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국제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19050</xdr:colOff>
          <xdr:row>12</xdr:row>
          <xdr:rowOff>31750</xdr:rowOff>
        </xdr:from>
        <xdr:to>
          <xdr:col>6</xdr:col>
          <xdr:colOff>698500</xdr:colOff>
          <xdr:row>12</xdr:row>
          <xdr:rowOff>241300</xdr:rowOff>
        </xdr:to>
        <xdr:sp macro="" textlink="">
          <xdr:nvSpPr>
            <xdr:cNvPr id="17412" name="Check Box 4" hidden="1">
              <a:extLst>
                <a:ext uri="{63B3BB69-23CF-44E3-9099-C40C66FF867C}">
                  <a14:compatExt spid="_x0000_s17412"/>
                </a:ext>
                <a:ext uri="{FF2B5EF4-FFF2-40B4-BE49-F238E27FC236}">
                  <a16:creationId xmlns:a16="http://schemas.microsoft.com/office/drawing/2014/main" id="{00000000-0008-0000-0400-00000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리스크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812800</xdr:colOff>
          <xdr:row>12</xdr:row>
          <xdr:rowOff>31750</xdr:rowOff>
        </xdr:from>
        <xdr:to>
          <xdr:col>7</xdr:col>
          <xdr:colOff>546100</xdr:colOff>
          <xdr:row>12</xdr:row>
          <xdr:rowOff>241300</xdr:rowOff>
        </xdr:to>
        <xdr:sp macro="" textlink="">
          <xdr:nvSpPr>
            <xdr:cNvPr id="17413" name="Check Box 5" hidden="1">
              <a:extLst>
                <a:ext uri="{63B3BB69-23CF-44E3-9099-C40C66FF867C}">
                  <a14:compatExt spid="_x0000_s17413"/>
                </a:ext>
                <a:ext uri="{FF2B5EF4-FFF2-40B4-BE49-F238E27FC236}">
                  <a16:creationId xmlns:a16="http://schemas.microsoft.com/office/drawing/2014/main" id="{00000000-0008-0000-0400-00000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관리지원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717550</xdr:colOff>
          <xdr:row>12</xdr:row>
          <xdr:rowOff>31750</xdr:rowOff>
        </xdr:from>
        <xdr:to>
          <xdr:col>7</xdr:col>
          <xdr:colOff>1009650</xdr:colOff>
          <xdr:row>12</xdr:row>
          <xdr:rowOff>241300</xdr:rowOff>
        </xdr:to>
        <xdr:sp macro="" textlink="">
          <xdr:nvSpPr>
            <xdr:cNvPr id="17414" name="Check Box 6" hidden="1">
              <a:extLst>
                <a:ext uri="{63B3BB69-23CF-44E3-9099-C40C66FF867C}">
                  <a14:compatExt spid="_x0000_s17414"/>
                </a:ext>
                <a:ext uri="{FF2B5EF4-FFF2-40B4-BE49-F238E27FC236}">
                  <a16:creationId xmlns:a16="http://schemas.microsoft.com/office/drawing/2014/main" id="{00000000-0008-0000-0400-00000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889000</xdr:colOff>
          <xdr:row>13</xdr:row>
          <xdr:rowOff>12700</xdr:rowOff>
        </xdr:from>
        <xdr:to>
          <xdr:col>3</xdr:col>
          <xdr:colOff>774700</xdr:colOff>
          <xdr:row>13</xdr:row>
          <xdr:rowOff>228600</xdr:rowOff>
        </xdr:to>
        <xdr:sp macro="" textlink="">
          <xdr:nvSpPr>
            <xdr:cNvPr id="17415" name="Check Box 7" descr="신규 개발" hidden="1">
              <a:extLst>
                <a:ext uri="{63B3BB69-23CF-44E3-9099-C40C66FF867C}">
                  <a14:compatExt spid="_x0000_s17415"/>
                </a:ext>
                <a:ext uri="{FF2B5EF4-FFF2-40B4-BE49-F238E27FC236}">
                  <a16:creationId xmlns:a16="http://schemas.microsoft.com/office/drawing/2014/main" id="{00000000-0008-0000-0400-00000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신규 개발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</xdr:colOff>
          <xdr:row>13</xdr:row>
          <xdr:rowOff>12700</xdr:rowOff>
        </xdr:from>
        <xdr:to>
          <xdr:col>5</xdr:col>
          <xdr:colOff>374650</xdr:colOff>
          <xdr:row>13</xdr:row>
          <xdr:rowOff>241300</xdr:rowOff>
        </xdr:to>
        <xdr:sp macro="" textlink="">
          <xdr:nvSpPr>
            <xdr:cNvPr id="17416" name="Check Box 8" hidden="1">
              <a:extLst>
                <a:ext uri="{63B3BB69-23CF-44E3-9099-C40C66FF867C}">
                  <a14:compatExt spid="_x0000_s17416"/>
                </a:ext>
                <a:ext uri="{FF2B5EF4-FFF2-40B4-BE49-F238E27FC236}">
                  <a16:creationId xmlns:a16="http://schemas.microsoft.com/office/drawing/2014/main" id="{00000000-0008-0000-0400-00000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기능 개선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527050</xdr:colOff>
          <xdr:row>13</xdr:row>
          <xdr:rowOff>19050</xdr:rowOff>
        </xdr:from>
        <xdr:to>
          <xdr:col>7</xdr:col>
          <xdr:colOff>584200</xdr:colOff>
          <xdr:row>13</xdr:row>
          <xdr:rowOff>228600</xdr:rowOff>
        </xdr:to>
        <xdr:sp macro="" textlink="">
          <xdr:nvSpPr>
            <xdr:cNvPr id="17417" name="Check Box 9" hidden="1">
              <a:extLst>
                <a:ext uri="{63B3BB69-23CF-44E3-9099-C40C66FF867C}">
                  <a14:compatExt spid="_x0000_s17417"/>
                </a:ext>
                <a:ext uri="{FF2B5EF4-FFF2-40B4-BE49-F238E27FC236}">
                  <a16:creationId xmlns:a16="http://schemas.microsoft.com/office/drawing/2014/main" id="{00000000-0008-0000-0400-00000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IT인프라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171450</xdr:colOff>
          <xdr:row>13</xdr:row>
          <xdr:rowOff>19050</xdr:rowOff>
        </xdr:from>
        <xdr:to>
          <xdr:col>6</xdr:col>
          <xdr:colOff>361950</xdr:colOff>
          <xdr:row>13</xdr:row>
          <xdr:rowOff>241300</xdr:rowOff>
        </xdr:to>
        <xdr:sp macro="" textlink="">
          <xdr:nvSpPr>
            <xdr:cNvPr id="17418" name="Check Box 10" hidden="1">
              <a:extLst>
                <a:ext uri="{63B3BB69-23CF-44E3-9099-C40C66FF867C}">
                  <a14:compatExt spid="_x0000_s17418"/>
                </a:ext>
                <a:ext uri="{FF2B5EF4-FFF2-40B4-BE49-F238E27FC236}">
                  <a16:creationId xmlns:a16="http://schemas.microsoft.com/office/drawing/2014/main" id="{00000000-0008-0000-0400-00000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법률/규제 대응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19050</xdr:rowOff>
        </xdr:from>
        <xdr:to>
          <xdr:col>3</xdr:col>
          <xdr:colOff>685800</xdr:colOff>
          <xdr:row>15</xdr:row>
          <xdr:rowOff>228600</xdr:rowOff>
        </xdr:to>
        <xdr:sp macro="" textlink="">
          <xdr:nvSpPr>
            <xdr:cNvPr id="17419" name="Check Box 11" hidden="1">
              <a:extLst>
                <a:ext uri="{63B3BB69-23CF-44E3-9099-C40C66FF867C}">
                  <a14:compatExt spid="_x0000_s17419"/>
                </a:ext>
                <a:ext uri="{FF2B5EF4-FFF2-40B4-BE49-F238E27FC236}">
                  <a16:creationId xmlns:a16="http://schemas.microsoft.com/office/drawing/2014/main" id="{00000000-0008-0000-0400-00000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기업고객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31750</xdr:colOff>
          <xdr:row>15</xdr:row>
          <xdr:rowOff>19050</xdr:rowOff>
        </xdr:from>
        <xdr:to>
          <xdr:col>4</xdr:col>
          <xdr:colOff>704850</xdr:colOff>
          <xdr:row>15</xdr:row>
          <xdr:rowOff>228600</xdr:rowOff>
        </xdr:to>
        <xdr:sp macro="" textlink="">
          <xdr:nvSpPr>
            <xdr:cNvPr id="17420" name="Check Box 12" hidden="1">
              <a:extLst>
                <a:ext uri="{63B3BB69-23CF-44E3-9099-C40C66FF867C}">
                  <a14:compatExt spid="_x0000_s17420"/>
                </a:ext>
                <a:ext uri="{FF2B5EF4-FFF2-40B4-BE49-F238E27FC236}">
                  <a16:creationId xmlns:a16="http://schemas.microsoft.com/office/drawing/2014/main" id="{00000000-0008-0000-0400-00000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개인고객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15</xdr:row>
          <xdr:rowOff>12700</xdr:rowOff>
        </xdr:from>
        <xdr:to>
          <xdr:col>5</xdr:col>
          <xdr:colOff>736600</xdr:colOff>
          <xdr:row>15</xdr:row>
          <xdr:rowOff>228600</xdr:rowOff>
        </xdr:to>
        <xdr:sp macro="" textlink="">
          <xdr:nvSpPr>
            <xdr:cNvPr id="17421" name="Check Box 13" hidden="1">
              <a:extLst>
                <a:ext uri="{63B3BB69-23CF-44E3-9099-C40C66FF867C}">
                  <a14:compatExt spid="_x0000_s17421"/>
                </a:ext>
                <a:ext uri="{FF2B5EF4-FFF2-40B4-BE49-F238E27FC236}">
                  <a16:creationId xmlns:a16="http://schemas.microsoft.com/office/drawing/2014/main" id="{00000000-0008-0000-0400-00000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내부직원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12700</xdr:colOff>
          <xdr:row>15</xdr:row>
          <xdr:rowOff>19050</xdr:rowOff>
        </xdr:from>
        <xdr:to>
          <xdr:col>7</xdr:col>
          <xdr:colOff>450850</xdr:colOff>
          <xdr:row>15</xdr:row>
          <xdr:rowOff>228600</xdr:rowOff>
        </xdr:to>
        <xdr:sp macro="" textlink="">
          <xdr:nvSpPr>
            <xdr:cNvPr id="17422" name="Check Box 14" hidden="1">
              <a:extLst>
                <a:ext uri="{63B3BB69-23CF-44E3-9099-C40C66FF867C}">
                  <a14:compatExt spid="_x0000_s17422"/>
                </a:ext>
                <a:ext uri="{FF2B5EF4-FFF2-40B4-BE49-F238E27FC236}">
                  <a16:creationId xmlns:a16="http://schemas.microsoft.com/office/drawing/2014/main" id="{00000000-0008-0000-0400-00000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 기타(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20</xdr:row>
          <xdr:rowOff>19050</xdr:rowOff>
        </xdr:from>
        <xdr:to>
          <xdr:col>4</xdr:col>
          <xdr:colOff>285750</xdr:colOff>
          <xdr:row>20</xdr:row>
          <xdr:rowOff>228600</xdr:rowOff>
        </xdr:to>
        <xdr:sp macro="" textlink="">
          <xdr:nvSpPr>
            <xdr:cNvPr id="17423" name="Check Box 15" hidden="1">
              <a:extLst>
                <a:ext uri="{63B3BB69-23CF-44E3-9099-C40C66FF867C}">
                  <a14:compatExt spid="_x0000_s17423"/>
                </a:ext>
                <a:ext uri="{FF2B5EF4-FFF2-40B4-BE49-F238E27FC236}">
                  <a16:creationId xmlns:a16="http://schemas.microsoft.com/office/drawing/2014/main" id="{00000000-0008-0000-0400-00000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확정(변동가능성 無)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20</xdr:row>
          <xdr:rowOff>19050</xdr:rowOff>
        </xdr:from>
        <xdr:to>
          <xdr:col>9</xdr:col>
          <xdr:colOff>57150</xdr:colOff>
          <xdr:row>20</xdr:row>
          <xdr:rowOff>228600</xdr:rowOff>
        </xdr:to>
        <xdr:sp macro="" textlink="">
          <xdr:nvSpPr>
            <xdr:cNvPr id="17424" name="Check Box 16" hidden="1">
              <a:extLst>
                <a:ext uri="{63B3BB69-23CF-44E3-9099-C40C66FF867C}">
                  <a14:compatExt spid="_x0000_s17424"/>
                </a:ext>
                <a:ext uri="{FF2B5EF4-FFF2-40B4-BE49-F238E27FC236}">
                  <a16:creationId xmlns:a16="http://schemas.microsoft.com/office/drawing/2014/main" id="{00000000-0008-0000-0400-00001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추진계획 검토중 (유관부서검토 여부 :                                             ) (변동가능성 有)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209550</xdr:colOff>
          <xdr:row>20</xdr:row>
          <xdr:rowOff>19050</xdr:rowOff>
        </xdr:from>
        <xdr:to>
          <xdr:col>7</xdr:col>
          <xdr:colOff>552450</xdr:colOff>
          <xdr:row>20</xdr:row>
          <xdr:rowOff>228600</xdr:rowOff>
        </xdr:to>
        <xdr:sp macro="" textlink="">
          <xdr:nvSpPr>
            <xdr:cNvPr id="17425" name="Check Box 17" hidden="1">
              <a:extLst>
                <a:ext uri="{63B3BB69-23CF-44E3-9099-C40C66FF867C}">
                  <a14:compatExt spid="_x0000_s17425"/>
                </a:ext>
                <a:ext uri="{FF2B5EF4-FFF2-40B4-BE49-F238E27FC236}">
                  <a16:creationId xmlns:a16="http://schemas.microsoft.com/office/drawing/2014/main" id="{00000000-0008-0000-0400-00001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889000</xdr:colOff>
          <xdr:row>14</xdr:row>
          <xdr:rowOff>19050</xdr:rowOff>
        </xdr:from>
        <xdr:to>
          <xdr:col>3</xdr:col>
          <xdr:colOff>742950</xdr:colOff>
          <xdr:row>14</xdr:row>
          <xdr:rowOff>241300</xdr:rowOff>
        </xdr:to>
        <xdr:sp macro="" textlink="">
          <xdr:nvSpPr>
            <xdr:cNvPr id="17426" name="Check Box 18" hidden="1">
              <a:extLst>
                <a:ext uri="{63B3BB69-23CF-44E3-9099-C40C66FF867C}">
                  <a14:compatExt spid="_x0000_s17426"/>
                </a:ext>
                <a:ext uri="{FF2B5EF4-FFF2-40B4-BE49-F238E27FC236}">
                  <a16:creationId xmlns:a16="http://schemas.microsoft.com/office/drawing/2014/main" id="{00000000-0008-0000-0400-00001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빅데이터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88900</xdr:colOff>
          <xdr:row>14</xdr:row>
          <xdr:rowOff>19050</xdr:rowOff>
        </xdr:from>
        <xdr:to>
          <xdr:col>4</xdr:col>
          <xdr:colOff>584200</xdr:colOff>
          <xdr:row>14</xdr:row>
          <xdr:rowOff>241300</xdr:rowOff>
        </xdr:to>
        <xdr:sp macro="" textlink="">
          <xdr:nvSpPr>
            <xdr:cNvPr id="17427" name="Check Box 19" hidden="1">
              <a:extLst>
                <a:ext uri="{63B3BB69-23CF-44E3-9099-C40C66FF867C}">
                  <a14:compatExt spid="_x0000_s17427"/>
                </a:ext>
                <a:ext uri="{FF2B5EF4-FFF2-40B4-BE49-F238E27FC236}">
                  <a16:creationId xmlns:a16="http://schemas.microsoft.com/office/drawing/2014/main" id="{00000000-0008-0000-0400-00001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AI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819150</xdr:colOff>
          <xdr:row>14</xdr:row>
          <xdr:rowOff>19050</xdr:rowOff>
        </xdr:from>
        <xdr:to>
          <xdr:col>5</xdr:col>
          <xdr:colOff>552450</xdr:colOff>
          <xdr:row>14</xdr:row>
          <xdr:rowOff>241300</xdr:rowOff>
        </xdr:to>
        <xdr:sp macro="" textlink="">
          <xdr:nvSpPr>
            <xdr:cNvPr id="17428" name="Check Box 20" hidden="1">
              <a:extLst>
                <a:ext uri="{63B3BB69-23CF-44E3-9099-C40C66FF867C}">
                  <a14:compatExt spid="_x0000_s17428"/>
                </a:ext>
                <a:ext uri="{FF2B5EF4-FFF2-40B4-BE49-F238E27FC236}">
                  <a16:creationId xmlns:a16="http://schemas.microsoft.com/office/drawing/2014/main" id="{00000000-0008-0000-0400-00001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클라우드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14</xdr:row>
          <xdr:rowOff>31750</xdr:rowOff>
        </xdr:from>
        <xdr:to>
          <xdr:col>7</xdr:col>
          <xdr:colOff>133350</xdr:colOff>
          <xdr:row>14</xdr:row>
          <xdr:rowOff>241300</xdr:rowOff>
        </xdr:to>
        <xdr:sp macro="" textlink="">
          <xdr:nvSpPr>
            <xdr:cNvPr id="17429" name="Check Box 21" hidden="1">
              <a:extLst>
                <a:ext uri="{63B3BB69-23CF-44E3-9099-C40C66FF867C}">
                  <a14:compatExt spid="_x0000_s17429"/>
                </a:ext>
                <a:ext uri="{FF2B5EF4-FFF2-40B4-BE49-F238E27FC236}">
                  <a16:creationId xmlns:a16="http://schemas.microsoft.com/office/drawing/2014/main" id="{00000000-0008-0000-0400-00001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블록체인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400050</xdr:colOff>
          <xdr:row>16</xdr:row>
          <xdr:rowOff>19050</xdr:rowOff>
        </xdr:from>
        <xdr:to>
          <xdr:col>4</xdr:col>
          <xdr:colOff>203200</xdr:colOff>
          <xdr:row>16</xdr:row>
          <xdr:rowOff>228600</xdr:rowOff>
        </xdr:to>
        <xdr:sp macro="" textlink="">
          <xdr:nvSpPr>
            <xdr:cNvPr id="17430" name="Check Box 22" hidden="1">
              <a:extLst>
                <a:ext uri="{63B3BB69-23CF-44E3-9099-C40C66FF867C}">
                  <a14:compatExt spid="_x0000_s17430"/>
                </a:ext>
                <a:ext uri="{FF2B5EF4-FFF2-40B4-BE49-F238E27FC236}">
                  <a16:creationId xmlns:a16="http://schemas.microsoft.com/office/drawing/2014/main" id="{00000000-0008-0000-0400-000016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비중복(N)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584200</xdr:colOff>
          <xdr:row>16</xdr:row>
          <xdr:rowOff>19050</xdr:rowOff>
        </xdr:from>
        <xdr:to>
          <xdr:col>5</xdr:col>
          <xdr:colOff>361950</xdr:colOff>
          <xdr:row>16</xdr:row>
          <xdr:rowOff>228600</xdr:rowOff>
        </xdr:to>
        <xdr:sp macro="" textlink="">
          <xdr:nvSpPr>
            <xdr:cNvPr id="17431" name="Check Box 23" hidden="1">
              <a:extLst>
                <a:ext uri="{63B3BB69-23CF-44E3-9099-C40C66FF867C}">
                  <a14:compatExt spid="_x0000_s17431"/>
                </a:ext>
                <a:ext uri="{FF2B5EF4-FFF2-40B4-BE49-F238E27FC236}">
                  <a16:creationId xmlns:a16="http://schemas.microsoft.com/office/drawing/2014/main" id="{00000000-0008-0000-0400-000017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중복(Y)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12700</xdr:colOff>
          <xdr:row>16</xdr:row>
          <xdr:rowOff>19050</xdr:rowOff>
        </xdr:from>
        <xdr:to>
          <xdr:col>7</xdr:col>
          <xdr:colOff>927100</xdr:colOff>
          <xdr:row>16</xdr:row>
          <xdr:rowOff>228600</xdr:rowOff>
        </xdr:to>
        <xdr:sp macro="" textlink="">
          <xdr:nvSpPr>
            <xdr:cNvPr id="17432" name="Check Box 24" hidden="1">
              <a:extLst>
                <a:ext uri="{63B3BB69-23CF-44E3-9099-C40C66FF867C}">
                  <a14:compatExt spid="_x0000_s17432"/>
                </a:ext>
                <a:ext uri="{FF2B5EF4-FFF2-40B4-BE49-F238E27FC236}">
                  <a16:creationId xmlns:a16="http://schemas.microsoft.com/office/drawing/2014/main" id="{00000000-0008-0000-0400-000018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2025년 이내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12700</xdr:colOff>
          <xdr:row>16</xdr:row>
          <xdr:rowOff>19050</xdr:rowOff>
        </xdr:from>
        <xdr:to>
          <xdr:col>8</xdr:col>
          <xdr:colOff>838200</xdr:colOff>
          <xdr:row>16</xdr:row>
          <xdr:rowOff>228600</xdr:rowOff>
        </xdr:to>
        <xdr:sp macro="" textlink="">
          <xdr:nvSpPr>
            <xdr:cNvPr id="17433" name="Check Box 25" hidden="1">
              <a:extLst>
                <a:ext uri="{63B3BB69-23CF-44E3-9099-C40C66FF867C}">
                  <a14:compatExt spid="_x0000_s17433"/>
                </a:ext>
                <a:ext uri="{FF2B5EF4-FFF2-40B4-BE49-F238E27FC236}">
                  <a16:creationId xmlns:a16="http://schemas.microsoft.com/office/drawing/2014/main" id="{00000000-0008-0000-0400-000019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2025년 이후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0</xdr:colOff>
          <xdr:row>14</xdr:row>
          <xdr:rowOff>31750</xdr:rowOff>
        </xdr:from>
        <xdr:to>
          <xdr:col>8</xdr:col>
          <xdr:colOff>209550</xdr:colOff>
          <xdr:row>14</xdr:row>
          <xdr:rowOff>241300</xdr:rowOff>
        </xdr:to>
        <xdr:sp macro="" textlink="">
          <xdr:nvSpPr>
            <xdr:cNvPr id="17434" name="Check Box 26" hidden="1">
              <a:extLst>
                <a:ext uri="{63B3BB69-23CF-44E3-9099-C40C66FF867C}">
                  <a14:compatExt spid="_x0000_s17434"/>
                </a:ext>
                <a:ext uri="{FF2B5EF4-FFF2-40B4-BE49-F238E27FC236}">
                  <a16:creationId xmlns:a16="http://schemas.microsoft.com/office/drawing/2014/main" id="{00000000-0008-0000-0400-00001A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플랫폼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57150</xdr:colOff>
          <xdr:row>14</xdr:row>
          <xdr:rowOff>31750</xdr:rowOff>
        </xdr:from>
        <xdr:to>
          <xdr:col>9</xdr:col>
          <xdr:colOff>266700</xdr:colOff>
          <xdr:row>14</xdr:row>
          <xdr:rowOff>241300</xdr:rowOff>
        </xdr:to>
        <xdr:sp macro="" textlink="">
          <xdr:nvSpPr>
            <xdr:cNvPr id="17435" name="Check Box 27" hidden="1">
              <a:extLst>
                <a:ext uri="{63B3BB69-23CF-44E3-9099-C40C66FF867C}">
                  <a14:compatExt spid="_x0000_s17435"/>
                </a:ext>
                <a:ext uri="{FF2B5EF4-FFF2-40B4-BE49-F238E27FC236}">
                  <a16:creationId xmlns:a16="http://schemas.microsoft.com/office/drawing/2014/main" id="{00000000-0008-0000-0400-00001B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핀테크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50800</xdr:colOff>
          <xdr:row>14</xdr:row>
          <xdr:rowOff>19050</xdr:rowOff>
        </xdr:from>
        <xdr:to>
          <xdr:col>10</xdr:col>
          <xdr:colOff>165100</xdr:colOff>
          <xdr:row>14</xdr:row>
          <xdr:rowOff>241300</xdr:rowOff>
        </xdr:to>
        <xdr:sp macro="" textlink="">
          <xdr:nvSpPr>
            <xdr:cNvPr id="17436" name="Check Box 28" hidden="1">
              <a:extLst>
                <a:ext uri="{63B3BB69-23CF-44E3-9099-C40C66FF867C}">
                  <a14:compatExt spid="_x0000_s17436"/>
                </a:ext>
                <a:ext uri="{FF2B5EF4-FFF2-40B4-BE49-F238E27FC236}">
                  <a16:creationId xmlns:a16="http://schemas.microsoft.com/office/drawing/2014/main" id="{00000000-0008-0000-0400-00001C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기타(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514350</xdr:colOff>
          <xdr:row>13</xdr:row>
          <xdr:rowOff>19050</xdr:rowOff>
        </xdr:from>
        <xdr:to>
          <xdr:col>9</xdr:col>
          <xdr:colOff>736600</xdr:colOff>
          <xdr:row>13</xdr:row>
          <xdr:rowOff>228600</xdr:rowOff>
        </xdr:to>
        <xdr:sp macro="" textlink="">
          <xdr:nvSpPr>
            <xdr:cNvPr id="17437" name="Check Box 29" hidden="1">
              <a:extLst>
                <a:ext uri="{63B3BB69-23CF-44E3-9099-C40C66FF867C}">
                  <a14:compatExt spid="_x0000_s17437"/>
                </a:ext>
                <a:ext uri="{FF2B5EF4-FFF2-40B4-BE49-F238E27FC236}">
                  <a16:creationId xmlns:a16="http://schemas.microsoft.com/office/drawing/2014/main" id="{00000000-0008-0000-0400-00001D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508000</xdr:colOff>
          <xdr:row>12</xdr:row>
          <xdr:rowOff>31750</xdr:rowOff>
        </xdr:from>
        <xdr:to>
          <xdr:col>9</xdr:col>
          <xdr:colOff>971550</xdr:colOff>
          <xdr:row>12</xdr:row>
          <xdr:rowOff>241300</xdr:rowOff>
        </xdr:to>
        <xdr:sp macro="" textlink="">
          <xdr:nvSpPr>
            <xdr:cNvPr id="17438" name="Check Box 30" hidden="1">
              <a:extLst>
                <a:ext uri="{63B3BB69-23CF-44E3-9099-C40C66FF867C}">
                  <a14:compatExt spid="_x0000_s17438"/>
                </a:ext>
                <a:ext uri="{FF2B5EF4-FFF2-40B4-BE49-F238E27FC236}">
                  <a16:creationId xmlns:a16="http://schemas.microsoft.com/office/drawing/2014/main" id="{00000000-0008-0000-0400-00001E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(업무공통)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</xdr:row>
          <xdr:rowOff>19050</xdr:rowOff>
        </xdr:from>
        <xdr:to>
          <xdr:col>4</xdr:col>
          <xdr:colOff>438150</xdr:colOff>
          <xdr:row>19</xdr:row>
          <xdr:rowOff>228600</xdr:rowOff>
        </xdr:to>
        <xdr:sp macro="" textlink="">
          <xdr:nvSpPr>
            <xdr:cNvPr id="17439" name="Check Box 31" hidden="1">
              <a:extLst>
                <a:ext uri="{63B3BB69-23CF-44E3-9099-C40C66FF867C}">
                  <a14:compatExt spid="_x0000_s17439"/>
                </a:ext>
                <a:ext uri="{FF2B5EF4-FFF2-40B4-BE49-F238E27FC236}">
                  <a16:creationId xmlns:a16="http://schemas.microsoft.com/office/drawing/2014/main" id="{00000000-0008-0000-0400-00001F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부문(본부장)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469900</xdr:colOff>
          <xdr:row>19</xdr:row>
          <xdr:rowOff>31750</xdr:rowOff>
        </xdr:from>
        <xdr:to>
          <xdr:col>5</xdr:col>
          <xdr:colOff>476250</xdr:colOff>
          <xdr:row>19</xdr:row>
          <xdr:rowOff>241300</xdr:rowOff>
        </xdr:to>
        <xdr:sp macro="" textlink="">
          <xdr:nvSpPr>
            <xdr:cNvPr id="17440" name="Check Box 32" hidden="1">
              <a:extLst>
                <a:ext uri="{63B3BB69-23CF-44E3-9099-C40C66FF867C}">
                  <a14:compatExt spid="_x0000_s17440"/>
                </a:ext>
                <a:ext uri="{FF2B5EF4-FFF2-40B4-BE49-F238E27FC236}">
                  <a16:creationId xmlns:a16="http://schemas.microsoft.com/office/drawing/2014/main" id="{00000000-0008-0000-0400-000020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부서장 보고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717550</xdr:colOff>
          <xdr:row>19</xdr:row>
          <xdr:rowOff>31750</xdr:rowOff>
        </xdr:from>
        <xdr:to>
          <xdr:col>7</xdr:col>
          <xdr:colOff>298450</xdr:colOff>
          <xdr:row>19</xdr:row>
          <xdr:rowOff>241300</xdr:rowOff>
        </xdr:to>
        <xdr:sp macro="" textlink="">
          <xdr:nvSpPr>
            <xdr:cNvPr id="17441" name="Check Box 33" hidden="1">
              <a:extLst>
                <a:ext uri="{63B3BB69-23CF-44E3-9099-C40C66FF867C}">
                  <a14:compatExt spid="_x0000_s17441"/>
                </a:ext>
                <a:ext uri="{FF2B5EF4-FFF2-40B4-BE49-F238E27FC236}">
                  <a16:creationId xmlns:a16="http://schemas.microsoft.com/office/drawing/2014/main" id="{00000000-0008-0000-0400-00002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기타 (                   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12700</xdr:rowOff>
        </xdr:from>
        <xdr:to>
          <xdr:col>9</xdr:col>
          <xdr:colOff>895350</xdr:colOff>
          <xdr:row>16</xdr:row>
          <xdr:rowOff>228600</xdr:rowOff>
        </xdr:to>
        <xdr:sp macro="" textlink="">
          <xdr:nvSpPr>
            <xdr:cNvPr id="17442" name="Check Box 34" hidden="1">
              <a:extLst>
                <a:ext uri="{63B3BB69-23CF-44E3-9099-C40C66FF867C}">
                  <a14:compatExt spid="_x0000_s17442"/>
                </a:ext>
                <a:ext uri="{FF2B5EF4-FFF2-40B4-BE49-F238E27FC236}">
                  <a16:creationId xmlns:a16="http://schemas.microsoft.com/office/drawing/2014/main" id="{00000000-0008-0000-0400-000022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별도없음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552450</xdr:colOff>
          <xdr:row>13</xdr:row>
          <xdr:rowOff>19050</xdr:rowOff>
        </xdr:from>
        <xdr:to>
          <xdr:col>8</xdr:col>
          <xdr:colOff>514350</xdr:colOff>
          <xdr:row>13</xdr:row>
          <xdr:rowOff>228600</xdr:rowOff>
        </xdr:to>
        <xdr:sp macro="" textlink="">
          <xdr:nvSpPr>
            <xdr:cNvPr id="17443" name="Check Box 35" hidden="1">
              <a:extLst>
                <a:ext uri="{63B3BB69-23CF-44E3-9099-C40C66FF867C}">
                  <a14:compatExt spid="_x0000_s17443"/>
                </a:ext>
                <a:ext uri="{FF2B5EF4-FFF2-40B4-BE49-F238E27FC236}">
                  <a16:creationId xmlns:a16="http://schemas.microsoft.com/office/drawing/2014/main" id="{00000000-0008-0000-0400-000023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660400</xdr:colOff>
          <xdr:row>20</xdr:row>
          <xdr:rowOff>19050</xdr:rowOff>
        </xdr:from>
        <xdr:to>
          <xdr:col>7</xdr:col>
          <xdr:colOff>1009650</xdr:colOff>
          <xdr:row>20</xdr:row>
          <xdr:rowOff>228600</xdr:rowOff>
        </xdr:to>
        <xdr:sp macro="" textlink="">
          <xdr:nvSpPr>
            <xdr:cNvPr id="17444" name="Check Box 36" hidden="1">
              <a:extLst>
                <a:ext uri="{63B3BB69-23CF-44E3-9099-C40C66FF867C}">
                  <a14:compatExt spid="_x0000_s17444"/>
                </a:ext>
                <a:ext uri="{FF2B5EF4-FFF2-40B4-BE49-F238E27FC236}">
                  <a16:creationId xmlns:a16="http://schemas.microsoft.com/office/drawing/2014/main" id="{00000000-0008-0000-0400-000024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323850</xdr:colOff>
          <xdr:row>20</xdr:row>
          <xdr:rowOff>19050</xdr:rowOff>
        </xdr:from>
        <xdr:to>
          <xdr:col>8</xdr:col>
          <xdr:colOff>812800</xdr:colOff>
          <xdr:row>20</xdr:row>
          <xdr:rowOff>241300</xdr:rowOff>
        </xdr:to>
        <xdr:sp macro="" textlink="">
          <xdr:nvSpPr>
            <xdr:cNvPr id="17445" name="Check Box 37" hidden="1">
              <a:extLst>
                <a:ext uri="{63B3BB69-23CF-44E3-9099-C40C66FF867C}">
                  <a14:compatExt spid="_x0000_s17445"/>
                </a:ext>
                <a:ext uri="{FF2B5EF4-FFF2-40B4-BE49-F238E27FC236}">
                  <a16:creationId xmlns:a16="http://schemas.microsoft.com/office/drawing/2014/main" id="{00000000-0008-0000-0400-000025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N/A</a:t>
              </a:r>
            </a:p>
          </xdr:txBody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7</xdr:row>
          <xdr:rowOff>0</xdr:rowOff>
        </xdr:from>
        <xdr:to>
          <xdr:col>3</xdr:col>
          <xdr:colOff>704850</xdr:colOff>
          <xdr:row>8</xdr:row>
          <xdr:rowOff>38100</xdr:rowOff>
        </xdr:to>
        <xdr:sp macro="" textlink="">
          <xdr:nvSpPr>
            <xdr:cNvPr id="18433" name="Check Box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5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7</xdr:row>
          <xdr:rowOff>0</xdr:rowOff>
        </xdr:from>
        <xdr:to>
          <xdr:col>3</xdr:col>
          <xdr:colOff>1638300</xdr:colOff>
          <xdr:row>8</xdr:row>
          <xdr:rowOff>31750</xdr:rowOff>
        </xdr:to>
        <xdr:sp macro="" textlink="">
          <xdr:nvSpPr>
            <xdr:cNvPr id="18434" name="Check Box 2" hidden="1">
              <a:extLst>
                <a:ext uri="{63B3BB69-23CF-44E3-9099-C40C66FF867C}">
                  <a14:compatExt spid="_x0000_s18434"/>
                </a:ext>
                <a:ext uri="{FF2B5EF4-FFF2-40B4-BE49-F238E27FC236}">
                  <a16:creationId xmlns:a16="http://schemas.microsoft.com/office/drawing/2014/main" id="{00000000-0008-0000-0500-000002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계정계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2000250</xdr:colOff>
          <xdr:row>7</xdr:row>
          <xdr:rowOff>0</xdr:rowOff>
        </xdr:from>
        <xdr:to>
          <xdr:col>3</xdr:col>
          <xdr:colOff>2603500</xdr:colOff>
          <xdr:row>8</xdr:row>
          <xdr:rowOff>38100</xdr:rowOff>
        </xdr:to>
        <xdr:sp macro="" textlink="">
          <xdr:nvSpPr>
            <xdr:cNvPr id="18435" name="Check Box 3" hidden="1">
              <a:extLst>
                <a:ext uri="{63B3BB69-23CF-44E3-9099-C40C66FF867C}">
                  <a14:compatExt spid="_x0000_s18435"/>
                </a:ext>
                <a:ext uri="{FF2B5EF4-FFF2-40B4-BE49-F238E27FC236}">
                  <a16:creationId xmlns:a16="http://schemas.microsoft.com/office/drawing/2014/main" id="{00000000-0008-0000-0500-000003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정보계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2946400</xdr:colOff>
          <xdr:row>7</xdr:row>
          <xdr:rowOff>0</xdr:rowOff>
        </xdr:from>
        <xdr:to>
          <xdr:col>4</xdr:col>
          <xdr:colOff>488950</xdr:colOff>
          <xdr:row>8</xdr:row>
          <xdr:rowOff>38100</xdr:rowOff>
        </xdr:to>
        <xdr:sp macro="" textlink="">
          <xdr:nvSpPr>
            <xdr:cNvPr id="18436" name="Check Box 4" hidden="1">
              <a:extLst>
                <a:ext uri="{63B3BB69-23CF-44E3-9099-C40C66FF867C}">
                  <a14:compatExt spid="_x0000_s18436"/>
                </a:ext>
                <a:ext uri="{FF2B5EF4-FFF2-40B4-BE49-F238E27FC236}">
                  <a16:creationId xmlns:a16="http://schemas.microsoft.com/office/drawing/2014/main" id="{00000000-0008-0000-0500-000004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경영관리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7</xdr:row>
          <xdr:rowOff>0</xdr:rowOff>
        </xdr:from>
        <xdr:to>
          <xdr:col>5</xdr:col>
          <xdr:colOff>514350</xdr:colOff>
          <xdr:row>8</xdr:row>
          <xdr:rowOff>38100</xdr:rowOff>
        </xdr:to>
        <xdr:sp macro="" textlink="">
          <xdr:nvSpPr>
            <xdr:cNvPr id="18437" name="Check Box 5" hidden="1">
              <a:extLst>
                <a:ext uri="{63B3BB69-23CF-44E3-9099-C40C66FF867C}">
                  <a14:compatExt spid="_x0000_s18437"/>
                </a:ext>
                <a:ext uri="{FF2B5EF4-FFF2-40B4-BE49-F238E27FC236}">
                  <a16:creationId xmlns:a16="http://schemas.microsoft.com/office/drawing/2014/main" id="{00000000-0008-0000-0500-000005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인프라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946150</xdr:colOff>
          <xdr:row>7</xdr:row>
          <xdr:rowOff>0</xdr:rowOff>
        </xdr:from>
        <xdr:to>
          <xdr:col>7</xdr:col>
          <xdr:colOff>184150</xdr:colOff>
          <xdr:row>8</xdr:row>
          <xdr:rowOff>38100</xdr:rowOff>
        </xdr:to>
        <xdr:sp macro="" textlink="">
          <xdr:nvSpPr>
            <xdr:cNvPr id="18438" name="Check Box 6" hidden="1">
              <a:extLst>
                <a:ext uri="{63B3BB69-23CF-44E3-9099-C40C66FF867C}">
                  <a14:compatExt spid="_x0000_s18438"/>
                </a:ext>
                <a:ext uri="{FF2B5EF4-FFF2-40B4-BE49-F238E27FC236}">
                  <a16:creationId xmlns:a16="http://schemas.microsoft.com/office/drawing/2014/main" id="{00000000-0008-0000-0500-000006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보안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8</xdr:row>
          <xdr:rowOff>38100</xdr:rowOff>
        </xdr:from>
        <xdr:to>
          <xdr:col>3</xdr:col>
          <xdr:colOff>666750</xdr:colOff>
          <xdr:row>8</xdr:row>
          <xdr:rowOff>355600</xdr:rowOff>
        </xdr:to>
        <xdr:sp macro="" textlink="">
          <xdr:nvSpPr>
            <xdr:cNvPr id="18439" name="Check Box 7" hidden="1">
              <a:extLst>
                <a:ext uri="{63B3BB69-23CF-44E3-9099-C40C66FF867C}">
                  <a14:compatExt spid="_x0000_s18439"/>
                </a:ext>
                <a:ext uri="{FF2B5EF4-FFF2-40B4-BE49-F238E27FC236}">
                  <a16:creationId xmlns:a16="http://schemas.microsoft.com/office/drawing/2014/main" id="{00000000-0008-0000-0500-000007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온라인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1066800</xdr:colOff>
          <xdr:row>8</xdr:row>
          <xdr:rowOff>38100</xdr:rowOff>
        </xdr:from>
        <xdr:to>
          <xdr:col>3</xdr:col>
          <xdr:colOff>1638300</xdr:colOff>
          <xdr:row>8</xdr:row>
          <xdr:rowOff>355600</xdr:rowOff>
        </xdr:to>
        <xdr:sp macro="" textlink="">
          <xdr:nvSpPr>
            <xdr:cNvPr id="18440" name="Check Box 8" hidden="1">
              <a:extLst>
                <a:ext uri="{63B3BB69-23CF-44E3-9099-C40C66FF867C}">
                  <a14:compatExt spid="_x0000_s18440"/>
                </a:ext>
                <a:ext uri="{FF2B5EF4-FFF2-40B4-BE49-F238E27FC236}">
                  <a16:creationId xmlns:a16="http://schemas.microsoft.com/office/drawing/2014/main" id="{00000000-0008-0000-0500-000008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24*365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2000250</xdr:colOff>
          <xdr:row>8</xdr:row>
          <xdr:rowOff>38100</xdr:rowOff>
        </xdr:from>
        <xdr:to>
          <xdr:col>3</xdr:col>
          <xdr:colOff>2571750</xdr:colOff>
          <xdr:row>8</xdr:row>
          <xdr:rowOff>361950</xdr:rowOff>
        </xdr:to>
        <xdr:sp macro="" textlink="">
          <xdr:nvSpPr>
            <xdr:cNvPr id="18441" name="Check Box 9" hidden="1">
              <a:extLst>
                <a:ext uri="{63B3BB69-23CF-44E3-9099-C40C66FF867C}">
                  <a14:compatExt spid="_x0000_s18441"/>
                </a:ext>
                <a:ext uri="{FF2B5EF4-FFF2-40B4-BE49-F238E27FC236}">
                  <a16:creationId xmlns:a16="http://schemas.microsoft.com/office/drawing/2014/main" id="{00000000-0008-0000-0500-000009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이중화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2946400</xdr:colOff>
          <xdr:row>8</xdr:row>
          <xdr:rowOff>38100</xdr:rowOff>
        </xdr:from>
        <xdr:to>
          <xdr:col>4</xdr:col>
          <xdr:colOff>527050</xdr:colOff>
          <xdr:row>8</xdr:row>
          <xdr:rowOff>355600</xdr:rowOff>
        </xdr:to>
        <xdr:sp macro="" textlink="">
          <xdr:nvSpPr>
            <xdr:cNvPr id="18442" name="Check Box 10" hidden="1">
              <a:extLst>
                <a:ext uri="{63B3BB69-23CF-44E3-9099-C40C66FF867C}">
                  <a14:compatExt spid="_x0000_s18442"/>
                </a:ext>
                <a:ext uri="{FF2B5EF4-FFF2-40B4-BE49-F238E27FC236}">
                  <a16:creationId xmlns:a16="http://schemas.microsoft.com/office/drawing/2014/main" id="{00000000-0008-0000-0500-00000A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재해복구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889000</xdr:colOff>
          <xdr:row>8</xdr:row>
          <xdr:rowOff>38100</xdr:rowOff>
        </xdr:from>
        <xdr:to>
          <xdr:col>5</xdr:col>
          <xdr:colOff>679450</xdr:colOff>
          <xdr:row>8</xdr:row>
          <xdr:rowOff>361950</xdr:rowOff>
        </xdr:to>
        <xdr:sp macro="" textlink="">
          <xdr:nvSpPr>
            <xdr:cNvPr id="18443" name="Check Box 11" hidden="1">
              <a:extLst>
                <a:ext uri="{63B3BB69-23CF-44E3-9099-C40C66FF867C}">
                  <a14:compatExt spid="_x0000_s18443"/>
                </a:ext>
                <a:ext uri="{FF2B5EF4-FFF2-40B4-BE49-F238E27FC236}">
                  <a16:creationId xmlns:a16="http://schemas.microsoft.com/office/drawing/2014/main" id="{00000000-0008-0000-0500-00000B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채널 연동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946150</xdr:colOff>
          <xdr:row>8</xdr:row>
          <xdr:rowOff>38100</xdr:rowOff>
        </xdr:from>
        <xdr:to>
          <xdr:col>7</xdr:col>
          <xdr:colOff>361950</xdr:colOff>
          <xdr:row>8</xdr:row>
          <xdr:rowOff>374650</xdr:rowOff>
        </xdr:to>
        <xdr:sp macro="" textlink="">
          <xdr:nvSpPr>
            <xdr:cNvPr id="18444" name="Check Box 12" hidden="1">
              <a:extLst>
                <a:ext uri="{63B3BB69-23CF-44E3-9099-C40C66FF867C}">
                  <a14:compatExt spid="_x0000_s18444"/>
                </a:ext>
                <a:ext uri="{FF2B5EF4-FFF2-40B4-BE49-F238E27FC236}">
                  <a16:creationId xmlns:a16="http://schemas.microsoft.com/office/drawing/2014/main" id="{00000000-0008-0000-0500-00000C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9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27432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굴림"/>
                  <a:ea typeface="굴림"/>
                </a:rPr>
                <a:t> 대외기관 연동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9" Type="http://schemas.openxmlformats.org/officeDocument/2006/relationships/ctrlProp" Target="../ctrlProps/ctrlProp36.xml"/><Relationship Id="rId21" Type="http://schemas.openxmlformats.org/officeDocument/2006/relationships/ctrlProp" Target="../ctrlProps/ctrlProp18.xml"/><Relationship Id="rId34" Type="http://schemas.openxmlformats.org/officeDocument/2006/relationships/ctrlProp" Target="../ctrlProps/ctrlProp31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29" Type="http://schemas.openxmlformats.org/officeDocument/2006/relationships/ctrlProp" Target="../ctrlProps/ctrlProp26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31" Type="http://schemas.openxmlformats.org/officeDocument/2006/relationships/ctrlProp" Target="../ctrlProps/ctrlProp2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2.xml"/><Relationship Id="rId13" Type="http://schemas.openxmlformats.org/officeDocument/2006/relationships/ctrlProp" Target="../ctrlProps/ctrlProp47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1.xml"/><Relationship Id="rId12" Type="http://schemas.openxmlformats.org/officeDocument/2006/relationships/ctrlProp" Target="../ctrlProps/ctrlProp46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40.xml"/><Relationship Id="rId11" Type="http://schemas.openxmlformats.org/officeDocument/2006/relationships/ctrlProp" Target="../ctrlProps/ctrlProp45.xml"/><Relationship Id="rId5" Type="http://schemas.openxmlformats.org/officeDocument/2006/relationships/ctrlProp" Target="../ctrlProps/ctrlProp39.xml"/><Relationship Id="rId15" Type="http://schemas.openxmlformats.org/officeDocument/2006/relationships/ctrlProp" Target="../ctrlProps/ctrlProp49.xml"/><Relationship Id="rId10" Type="http://schemas.openxmlformats.org/officeDocument/2006/relationships/ctrlProp" Target="../ctrlProps/ctrlProp44.xml"/><Relationship Id="rId4" Type="http://schemas.openxmlformats.org/officeDocument/2006/relationships/ctrlProp" Target="../ctrlProps/ctrlProp38.xml"/><Relationship Id="rId9" Type="http://schemas.openxmlformats.org/officeDocument/2006/relationships/ctrlProp" Target="../ctrlProps/ctrlProp43.xml"/><Relationship Id="rId14" Type="http://schemas.openxmlformats.org/officeDocument/2006/relationships/ctrlProp" Target="../ctrlProps/ctrlProp48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59.xml"/><Relationship Id="rId18" Type="http://schemas.openxmlformats.org/officeDocument/2006/relationships/ctrlProp" Target="../ctrlProps/ctrlProp64.xml"/><Relationship Id="rId26" Type="http://schemas.openxmlformats.org/officeDocument/2006/relationships/ctrlProp" Target="../ctrlProps/ctrlProp72.xml"/><Relationship Id="rId39" Type="http://schemas.openxmlformats.org/officeDocument/2006/relationships/ctrlProp" Target="../ctrlProps/ctrlProp85.xml"/><Relationship Id="rId21" Type="http://schemas.openxmlformats.org/officeDocument/2006/relationships/ctrlProp" Target="../ctrlProps/ctrlProp67.xml"/><Relationship Id="rId34" Type="http://schemas.openxmlformats.org/officeDocument/2006/relationships/ctrlProp" Target="../ctrlProps/ctrlProp80.xml"/><Relationship Id="rId7" Type="http://schemas.openxmlformats.org/officeDocument/2006/relationships/ctrlProp" Target="../ctrlProps/ctrlProp53.xml"/><Relationship Id="rId12" Type="http://schemas.openxmlformats.org/officeDocument/2006/relationships/ctrlProp" Target="../ctrlProps/ctrlProp58.xml"/><Relationship Id="rId17" Type="http://schemas.openxmlformats.org/officeDocument/2006/relationships/ctrlProp" Target="../ctrlProps/ctrlProp63.xml"/><Relationship Id="rId25" Type="http://schemas.openxmlformats.org/officeDocument/2006/relationships/ctrlProp" Target="../ctrlProps/ctrlProp71.xml"/><Relationship Id="rId33" Type="http://schemas.openxmlformats.org/officeDocument/2006/relationships/ctrlProp" Target="../ctrlProps/ctrlProp79.xml"/><Relationship Id="rId38" Type="http://schemas.openxmlformats.org/officeDocument/2006/relationships/ctrlProp" Target="../ctrlProps/ctrlProp84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62.xml"/><Relationship Id="rId20" Type="http://schemas.openxmlformats.org/officeDocument/2006/relationships/ctrlProp" Target="../ctrlProps/ctrlProp66.xml"/><Relationship Id="rId29" Type="http://schemas.openxmlformats.org/officeDocument/2006/relationships/ctrlProp" Target="../ctrlProps/ctrlProp7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2.xml"/><Relationship Id="rId11" Type="http://schemas.openxmlformats.org/officeDocument/2006/relationships/ctrlProp" Target="../ctrlProps/ctrlProp57.xml"/><Relationship Id="rId24" Type="http://schemas.openxmlformats.org/officeDocument/2006/relationships/ctrlProp" Target="../ctrlProps/ctrlProp70.xml"/><Relationship Id="rId32" Type="http://schemas.openxmlformats.org/officeDocument/2006/relationships/ctrlProp" Target="../ctrlProps/ctrlProp78.xml"/><Relationship Id="rId37" Type="http://schemas.openxmlformats.org/officeDocument/2006/relationships/ctrlProp" Target="../ctrlProps/ctrlProp83.xml"/><Relationship Id="rId40" Type="http://schemas.openxmlformats.org/officeDocument/2006/relationships/ctrlProp" Target="../ctrlProps/ctrlProp86.xml"/><Relationship Id="rId5" Type="http://schemas.openxmlformats.org/officeDocument/2006/relationships/ctrlProp" Target="../ctrlProps/ctrlProp51.xml"/><Relationship Id="rId15" Type="http://schemas.openxmlformats.org/officeDocument/2006/relationships/ctrlProp" Target="../ctrlProps/ctrlProp61.xml"/><Relationship Id="rId23" Type="http://schemas.openxmlformats.org/officeDocument/2006/relationships/ctrlProp" Target="../ctrlProps/ctrlProp69.xml"/><Relationship Id="rId28" Type="http://schemas.openxmlformats.org/officeDocument/2006/relationships/ctrlProp" Target="../ctrlProps/ctrlProp74.xml"/><Relationship Id="rId36" Type="http://schemas.openxmlformats.org/officeDocument/2006/relationships/ctrlProp" Target="../ctrlProps/ctrlProp82.xml"/><Relationship Id="rId10" Type="http://schemas.openxmlformats.org/officeDocument/2006/relationships/ctrlProp" Target="../ctrlProps/ctrlProp56.xml"/><Relationship Id="rId19" Type="http://schemas.openxmlformats.org/officeDocument/2006/relationships/ctrlProp" Target="../ctrlProps/ctrlProp65.xml"/><Relationship Id="rId31" Type="http://schemas.openxmlformats.org/officeDocument/2006/relationships/ctrlProp" Target="../ctrlProps/ctrlProp77.xml"/><Relationship Id="rId4" Type="http://schemas.openxmlformats.org/officeDocument/2006/relationships/ctrlProp" Target="../ctrlProps/ctrlProp50.xml"/><Relationship Id="rId9" Type="http://schemas.openxmlformats.org/officeDocument/2006/relationships/ctrlProp" Target="../ctrlProps/ctrlProp55.xml"/><Relationship Id="rId14" Type="http://schemas.openxmlformats.org/officeDocument/2006/relationships/ctrlProp" Target="../ctrlProps/ctrlProp60.xml"/><Relationship Id="rId22" Type="http://schemas.openxmlformats.org/officeDocument/2006/relationships/ctrlProp" Target="../ctrlProps/ctrlProp68.xml"/><Relationship Id="rId27" Type="http://schemas.openxmlformats.org/officeDocument/2006/relationships/ctrlProp" Target="../ctrlProps/ctrlProp73.xml"/><Relationship Id="rId30" Type="http://schemas.openxmlformats.org/officeDocument/2006/relationships/ctrlProp" Target="../ctrlProps/ctrlProp76.xml"/><Relationship Id="rId35" Type="http://schemas.openxmlformats.org/officeDocument/2006/relationships/ctrlProp" Target="../ctrlProps/ctrlProp81.xml"/><Relationship Id="rId8" Type="http://schemas.openxmlformats.org/officeDocument/2006/relationships/ctrlProp" Target="../ctrlProps/ctrlProp54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91.xml"/><Relationship Id="rId13" Type="http://schemas.openxmlformats.org/officeDocument/2006/relationships/ctrlProp" Target="../ctrlProps/ctrlProp96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90.xml"/><Relationship Id="rId12" Type="http://schemas.openxmlformats.org/officeDocument/2006/relationships/ctrlProp" Target="../ctrlProps/ctrlProp9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89.xml"/><Relationship Id="rId11" Type="http://schemas.openxmlformats.org/officeDocument/2006/relationships/ctrlProp" Target="../ctrlProps/ctrlProp94.xml"/><Relationship Id="rId5" Type="http://schemas.openxmlformats.org/officeDocument/2006/relationships/ctrlProp" Target="../ctrlProps/ctrlProp88.xml"/><Relationship Id="rId15" Type="http://schemas.openxmlformats.org/officeDocument/2006/relationships/ctrlProp" Target="../ctrlProps/ctrlProp98.xml"/><Relationship Id="rId10" Type="http://schemas.openxmlformats.org/officeDocument/2006/relationships/ctrlProp" Target="../ctrlProps/ctrlProp93.xml"/><Relationship Id="rId4" Type="http://schemas.openxmlformats.org/officeDocument/2006/relationships/ctrlProp" Target="../ctrlProps/ctrlProp87.xml"/><Relationship Id="rId9" Type="http://schemas.openxmlformats.org/officeDocument/2006/relationships/ctrlProp" Target="../ctrlProps/ctrlProp92.xml"/><Relationship Id="rId14" Type="http://schemas.openxmlformats.org/officeDocument/2006/relationships/ctrlProp" Target="../ctrlProps/ctrlProp97.xm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08.xml"/><Relationship Id="rId18" Type="http://schemas.openxmlformats.org/officeDocument/2006/relationships/ctrlProp" Target="../ctrlProps/ctrlProp113.xml"/><Relationship Id="rId26" Type="http://schemas.openxmlformats.org/officeDocument/2006/relationships/ctrlProp" Target="../ctrlProps/ctrlProp121.xml"/><Relationship Id="rId39" Type="http://schemas.openxmlformats.org/officeDocument/2006/relationships/ctrlProp" Target="../ctrlProps/ctrlProp134.xml"/><Relationship Id="rId21" Type="http://schemas.openxmlformats.org/officeDocument/2006/relationships/ctrlProp" Target="../ctrlProps/ctrlProp116.xml"/><Relationship Id="rId34" Type="http://schemas.openxmlformats.org/officeDocument/2006/relationships/ctrlProp" Target="../ctrlProps/ctrlProp129.xml"/><Relationship Id="rId7" Type="http://schemas.openxmlformats.org/officeDocument/2006/relationships/ctrlProp" Target="../ctrlProps/ctrlProp102.xml"/><Relationship Id="rId12" Type="http://schemas.openxmlformats.org/officeDocument/2006/relationships/ctrlProp" Target="../ctrlProps/ctrlProp107.xml"/><Relationship Id="rId17" Type="http://schemas.openxmlformats.org/officeDocument/2006/relationships/ctrlProp" Target="../ctrlProps/ctrlProp112.xml"/><Relationship Id="rId25" Type="http://schemas.openxmlformats.org/officeDocument/2006/relationships/ctrlProp" Target="../ctrlProps/ctrlProp120.xml"/><Relationship Id="rId33" Type="http://schemas.openxmlformats.org/officeDocument/2006/relationships/ctrlProp" Target="../ctrlProps/ctrlProp128.xml"/><Relationship Id="rId38" Type="http://schemas.openxmlformats.org/officeDocument/2006/relationships/ctrlProp" Target="../ctrlProps/ctrlProp133.xml"/><Relationship Id="rId2" Type="http://schemas.openxmlformats.org/officeDocument/2006/relationships/drawing" Target="../drawings/drawing5.xml"/><Relationship Id="rId16" Type="http://schemas.openxmlformats.org/officeDocument/2006/relationships/ctrlProp" Target="../ctrlProps/ctrlProp111.xml"/><Relationship Id="rId20" Type="http://schemas.openxmlformats.org/officeDocument/2006/relationships/ctrlProp" Target="../ctrlProps/ctrlProp115.xml"/><Relationship Id="rId29" Type="http://schemas.openxmlformats.org/officeDocument/2006/relationships/ctrlProp" Target="../ctrlProps/ctrlProp124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101.xml"/><Relationship Id="rId11" Type="http://schemas.openxmlformats.org/officeDocument/2006/relationships/ctrlProp" Target="../ctrlProps/ctrlProp106.xml"/><Relationship Id="rId24" Type="http://schemas.openxmlformats.org/officeDocument/2006/relationships/ctrlProp" Target="../ctrlProps/ctrlProp119.xml"/><Relationship Id="rId32" Type="http://schemas.openxmlformats.org/officeDocument/2006/relationships/ctrlProp" Target="../ctrlProps/ctrlProp127.xml"/><Relationship Id="rId37" Type="http://schemas.openxmlformats.org/officeDocument/2006/relationships/ctrlProp" Target="../ctrlProps/ctrlProp132.xml"/><Relationship Id="rId40" Type="http://schemas.openxmlformats.org/officeDocument/2006/relationships/ctrlProp" Target="../ctrlProps/ctrlProp135.xml"/><Relationship Id="rId5" Type="http://schemas.openxmlformats.org/officeDocument/2006/relationships/ctrlProp" Target="../ctrlProps/ctrlProp100.xml"/><Relationship Id="rId15" Type="http://schemas.openxmlformats.org/officeDocument/2006/relationships/ctrlProp" Target="../ctrlProps/ctrlProp110.xml"/><Relationship Id="rId23" Type="http://schemas.openxmlformats.org/officeDocument/2006/relationships/ctrlProp" Target="../ctrlProps/ctrlProp118.xml"/><Relationship Id="rId28" Type="http://schemas.openxmlformats.org/officeDocument/2006/relationships/ctrlProp" Target="../ctrlProps/ctrlProp123.xml"/><Relationship Id="rId36" Type="http://schemas.openxmlformats.org/officeDocument/2006/relationships/ctrlProp" Target="../ctrlProps/ctrlProp131.xml"/><Relationship Id="rId10" Type="http://schemas.openxmlformats.org/officeDocument/2006/relationships/ctrlProp" Target="../ctrlProps/ctrlProp105.xml"/><Relationship Id="rId19" Type="http://schemas.openxmlformats.org/officeDocument/2006/relationships/ctrlProp" Target="../ctrlProps/ctrlProp114.xml"/><Relationship Id="rId31" Type="http://schemas.openxmlformats.org/officeDocument/2006/relationships/ctrlProp" Target="../ctrlProps/ctrlProp126.xml"/><Relationship Id="rId4" Type="http://schemas.openxmlformats.org/officeDocument/2006/relationships/ctrlProp" Target="../ctrlProps/ctrlProp99.xml"/><Relationship Id="rId9" Type="http://schemas.openxmlformats.org/officeDocument/2006/relationships/ctrlProp" Target="../ctrlProps/ctrlProp104.xml"/><Relationship Id="rId14" Type="http://schemas.openxmlformats.org/officeDocument/2006/relationships/ctrlProp" Target="../ctrlProps/ctrlProp109.xml"/><Relationship Id="rId22" Type="http://schemas.openxmlformats.org/officeDocument/2006/relationships/ctrlProp" Target="../ctrlProps/ctrlProp117.xml"/><Relationship Id="rId27" Type="http://schemas.openxmlformats.org/officeDocument/2006/relationships/ctrlProp" Target="../ctrlProps/ctrlProp122.xml"/><Relationship Id="rId30" Type="http://schemas.openxmlformats.org/officeDocument/2006/relationships/ctrlProp" Target="../ctrlProps/ctrlProp125.xml"/><Relationship Id="rId35" Type="http://schemas.openxmlformats.org/officeDocument/2006/relationships/ctrlProp" Target="../ctrlProps/ctrlProp130.xml"/><Relationship Id="rId8" Type="http://schemas.openxmlformats.org/officeDocument/2006/relationships/ctrlProp" Target="../ctrlProps/ctrlProp103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0.xml"/><Relationship Id="rId13" Type="http://schemas.openxmlformats.org/officeDocument/2006/relationships/ctrlProp" Target="../ctrlProps/ctrlProp145.xml"/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139.xml"/><Relationship Id="rId12" Type="http://schemas.openxmlformats.org/officeDocument/2006/relationships/ctrlProp" Target="../ctrlProps/ctrlProp14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138.xml"/><Relationship Id="rId11" Type="http://schemas.openxmlformats.org/officeDocument/2006/relationships/ctrlProp" Target="../ctrlProps/ctrlProp143.xml"/><Relationship Id="rId5" Type="http://schemas.openxmlformats.org/officeDocument/2006/relationships/ctrlProp" Target="../ctrlProps/ctrlProp137.xml"/><Relationship Id="rId15" Type="http://schemas.openxmlformats.org/officeDocument/2006/relationships/ctrlProp" Target="../ctrlProps/ctrlProp147.xml"/><Relationship Id="rId10" Type="http://schemas.openxmlformats.org/officeDocument/2006/relationships/ctrlProp" Target="../ctrlProps/ctrlProp142.xml"/><Relationship Id="rId4" Type="http://schemas.openxmlformats.org/officeDocument/2006/relationships/ctrlProp" Target="../ctrlProps/ctrlProp136.xml"/><Relationship Id="rId9" Type="http://schemas.openxmlformats.org/officeDocument/2006/relationships/ctrlProp" Target="../ctrlProps/ctrlProp141.xml"/><Relationship Id="rId14" Type="http://schemas.openxmlformats.org/officeDocument/2006/relationships/ctrlProp" Target="../ctrlProps/ctrlProp14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A1:J38"/>
  <sheetViews>
    <sheetView view="pageBreakPreview" zoomScaleNormal="100" zoomScaleSheetLayoutView="100" workbookViewId="0">
      <selection activeCell="D5" sqref="D5:J5"/>
    </sheetView>
  </sheetViews>
  <sheetFormatPr defaultColWidth="8.9140625" defaultRowHeight="13"/>
  <cols>
    <col min="1" max="1" width="9.9140625" style="1" customWidth="1"/>
    <col min="2" max="2" width="14.9140625" style="1" customWidth="1"/>
    <col min="3" max="6" width="11.6640625" style="1" customWidth="1"/>
    <col min="7" max="7" width="12.4140625" style="1" customWidth="1"/>
    <col min="8" max="10" width="13.6640625" style="1" customWidth="1"/>
    <col min="11" max="16384" width="8.9140625" style="1"/>
  </cols>
  <sheetData>
    <row r="1" spans="1:10" s="3" customFormat="1" ht="30" customHeight="1">
      <c r="A1" s="201" t="s">
        <v>40</v>
      </c>
      <c r="B1" s="202"/>
      <c r="C1" s="202"/>
      <c r="D1" s="202"/>
      <c r="E1" s="202"/>
      <c r="F1" s="202"/>
      <c r="G1" s="202"/>
      <c r="H1" s="202"/>
      <c r="I1" s="202"/>
      <c r="J1" s="203"/>
    </row>
    <row r="2" spans="1:10" s="3" customFormat="1" ht="17.25" customHeight="1">
      <c r="A2" s="27"/>
      <c r="B2" s="38"/>
      <c r="C2" s="27"/>
      <c r="D2" s="27"/>
      <c r="E2" s="27"/>
      <c r="F2" s="27"/>
      <c r="G2" s="29" t="s">
        <v>56</v>
      </c>
      <c r="H2" s="30" t="s">
        <v>70</v>
      </c>
      <c r="I2" s="29" t="s">
        <v>57</v>
      </c>
      <c r="J2" s="30" t="s">
        <v>71</v>
      </c>
    </row>
    <row r="3" spans="1:10" s="2" customFormat="1" ht="41.25" customHeight="1">
      <c r="A3" s="211" t="s">
        <v>0</v>
      </c>
      <c r="B3" s="212"/>
      <c r="C3" s="154" t="s">
        <v>72</v>
      </c>
      <c r="D3" s="155"/>
      <c r="E3" s="155"/>
      <c r="F3" s="155"/>
      <c r="G3" s="155"/>
      <c r="H3" s="155"/>
      <c r="I3" s="155"/>
      <c r="J3" s="156"/>
    </row>
    <row r="4" spans="1:10" s="2" customFormat="1" ht="23.25" customHeight="1">
      <c r="A4" s="197" t="s">
        <v>13</v>
      </c>
      <c r="B4" s="197"/>
      <c r="C4" s="40" t="s">
        <v>19</v>
      </c>
      <c r="D4" s="157" t="s">
        <v>73</v>
      </c>
      <c r="E4" s="158"/>
      <c r="F4" s="158"/>
      <c r="G4" s="158"/>
      <c r="H4" s="158"/>
      <c r="I4" s="158"/>
      <c r="J4" s="159"/>
    </row>
    <row r="5" spans="1:10" ht="73.5" customHeight="1">
      <c r="A5" s="197"/>
      <c r="B5" s="197"/>
      <c r="C5" s="41" t="s">
        <v>20</v>
      </c>
      <c r="D5" s="160" t="s">
        <v>158</v>
      </c>
      <c r="E5" s="161"/>
      <c r="F5" s="161"/>
      <c r="G5" s="161"/>
      <c r="H5" s="161"/>
      <c r="I5" s="161"/>
      <c r="J5" s="162"/>
    </row>
    <row r="6" spans="1:10" ht="54.75" customHeight="1">
      <c r="A6" s="197"/>
      <c r="B6" s="197"/>
      <c r="C6" s="41" t="s">
        <v>55</v>
      </c>
      <c r="D6" s="160" t="s">
        <v>74</v>
      </c>
      <c r="E6" s="161"/>
      <c r="F6" s="161"/>
      <c r="G6" s="161"/>
      <c r="H6" s="161"/>
      <c r="I6" s="161"/>
      <c r="J6" s="162"/>
    </row>
    <row r="7" spans="1:10" ht="110.65" customHeight="1">
      <c r="A7" s="197"/>
      <c r="B7" s="197"/>
      <c r="C7" s="41" t="s">
        <v>54</v>
      </c>
      <c r="D7" s="157" t="s">
        <v>114</v>
      </c>
      <c r="E7" s="158"/>
      <c r="F7" s="158"/>
      <c r="G7" s="158"/>
      <c r="H7" s="158"/>
      <c r="I7" s="158"/>
      <c r="J7" s="159"/>
    </row>
    <row r="8" spans="1:10" ht="43.5" customHeight="1">
      <c r="A8" s="197"/>
      <c r="B8" s="197"/>
      <c r="C8" s="40" t="s">
        <v>21</v>
      </c>
      <c r="D8" s="160" t="s">
        <v>116</v>
      </c>
      <c r="E8" s="161"/>
      <c r="F8" s="161"/>
      <c r="G8" s="161"/>
      <c r="H8" s="161"/>
      <c r="I8" s="161"/>
      <c r="J8" s="162"/>
    </row>
    <row r="9" spans="1:10" ht="33" customHeight="1">
      <c r="A9" s="197" t="s">
        <v>46</v>
      </c>
      <c r="B9" s="197"/>
      <c r="C9" s="163" t="s">
        <v>75</v>
      </c>
      <c r="D9" s="164"/>
      <c r="E9" s="164"/>
      <c r="F9" s="164"/>
      <c r="G9" s="164"/>
      <c r="H9" s="164"/>
      <c r="I9" s="164"/>
      <c r="J9" s="165"/>
    </row>
    <row r="10" spans="1:10" ht="33" customHeight="1">
      <c r="A10" s="197"/>
      <c r="B10" s="197"/>
      <c r="C10" s="166"/>
      <c r="D10" s="167"/>
      <c r="E10" s="167"/>
      <c r="F10" s="167"/>
      <c r="G10" s="167"/>
      <c r="H10" s="167"/>
      <c r="I10" s="167"/>
      <c r="J10" s="168"/>
    </row>
    <row r="11" spans="1:10" ht="33" customHeight="1">
      <c r="A11" s="197"/>
      <c r="B11" s="197"/>
      <c r="C11" s="166"/>
      <c r="D11" s="167"/>
      <c r="E11" s="167"/>
      <c r="F11" s="167"/>
      <c r="G11" s="167"/>
      <c r="H11" s="167"/>
      <c r="I11" s="167"/>
      <c r="J11" s="168"/>
    </row>
    <row r="12" spans="1:10" ht="33" customHeight="1">
      <c r="A12" s="197"/>
      <c r="B12" s="197"/>
      <c r="C12" s="166"/>
      <c r="D12" s="167"/>
      <c r="E12" s="167"/>
      <c r="F12" s="167"/>
      <c r="G12" s="167"/>
      <c r="H12" s="167"/>
      <c r="I12" s="167"/>
      <c r="J12" s="168"/>
    </row>
    <row r="13" spans="1:10" ht="33" customHeight="1">
      <c r="A13" s="197"/>
      <c r="B13" s="197"/>
      <c r="C13" s="166"/>
      <c r="D13" s="167"/>
      <c r="E13" s="167"/>
      <c r="F13" s="167"/>
      <c r="G13" s="167"/>
      <c r="H13" s="167"/>
      <c r="I13" s="167"/>
      <c r="J13" s="168"/>
    </row>
    <row r="14" spans="1:10" ht="33" customHeight="1">
      <c r="A14" s="197"/>
      <c r="B14" s="197"/>
      <c r="C14" s="166"/>
      <c r="D14" s="167"/>
      <c r="E14" s="167"/>
      <c r="F14" s="167"/>
      <c r="G14" s="167"/>
      <c r="H14" s="167"/>
      <c r="I14" s="167"/>
      <c r="J14" s="168"/>
    </row>
    <row r="15" spans="1:10" ht="33" customHeight="1">
      <c r="A15" s="197"/>
      <c r="B15" s="197"/>
      <c r="C15" s="169"/>
      <c r="D15" s="170"/>
      <c r="E15" s="170"/>
      <c r="F15" s="170"/>
      <c r="G15" s="170"/>
      <c r="H15" s="170"/>
      <c r="I15" s="170"/>
      <c r="J15" s="171"/>
    </row>
    <row r="16" spans="1:10" ht="27.4" customHeight="1">
      <c r="A16" s="213" t="s">
        <v>35</v>
      </c>
      <c r="B16" s="213"/>
      <c r="C16" s="181" t="s">
        <v>76</v>
      </c>
      <c r="D16" s="172" t="s">
        <v>104</v>
      </c>
      <c r="E16" s="173"/>
      <c r="F16" s="174"/>
      <c r="G16" s="184" t="s">
        <v>77</v>
      </c>
      <c r="H16" s="172" t="s">
        <v>78</v>
      </c>
      <c r="I16" s="173"/>
      <c r="J16" s="174"/>
    </row>
    <row r="17" spans="1:10" ht="27.4" customHeight="1">
      <c r="A17" s="213"/>
      <c r="B17" s="213"/>
      <c r="C17" s="182"/>
      <c r="D17" s="175"/>
      <c r="E17" s="176"/>
      <c r="F17" s="177"/>
      <c r="G17" s="185"/>
      <c r="H17" s="175"/>
      <c r="I17" s="176"/>
      <c r="J17" s="177"/>
    </row>
    <row r="18" spans="1:10" ht="27.4" customHeight="1">
      <c r="A18" s="213"/>
      <c r="B18" s="213"/>
      <c r="C18" s="183"/>
      <c r="D18" s="178"/>
      <c r="E18" s="179"/>
      <c r="F18" s="180"/>
      <c r="G18" s="186"/>
      <c r="H18" s="178"/>
      <c r="I18" s="179"/>
      <c r="J18" s="180"/>
    </row>
    <row r="19" spans="1:10" ht="20.149999999999999" customHeight="1">
      <c r="A19" s="197" t="s">
        <v>25</v>
      </c>
      <c r="B19" s="197"/>
      <c r="C19" s="42" t="s">
        <v>9</v>
      </c>
      <c r="D19" s="204"/>
      <c r="E19" s="205"/>
      <c r="F19" s="205"/>
      <c r="G19" s="205"/>
      <c r="H19" s="205"/>
      <c r="I19" s="205"/>
      <c r="J19" s="206"/>
    </row>
    <row r="20" spans="1:10" ht="20.149999999999999" customHeight="1">
      <c r="A20" s="197"/>
      <c r="B20" s="197"/>
      <c r="C20" s="42" t="s">
        <v>1</v>
      </c>
      <c r="D20" s="204"/>
      <c r="E20" s="205"/>
      <c r="F20" s="205"/>
      <c r="G20" s="205"/>
      <c r="H20" s="205"/>
      <c r="I20" s="205"/>
      <c r="J20" s="206"/>
    </row>
    <row r="21" spans="1:10" ht="20.149999999999999" customHeight="1">
      <c r="A21" s="197"/>
      <c r="B21" s="197"/>
      <c r="C21" s="43" t="s">
        <v>42</v>
      </c>
      <c r="D21" s="5"/>
      <c r="E21" s="5"/>
      <c r="F21" s="5"/>
      <c r="G21" s="5"/>
      <c r="H21" s="5"/>
      <c r="I21" s="5"/>
      <c r="J21" s="6"/>
    </row>
    <row r="22" spans="1:10" ht="20.149999999999999" customHeight="1">
      <c r="A22" s="197"/>
      <c r="B22" s="197"/>
      <c r="C22" s="44" t="s">
        <v>2</v>
      </c>
      <c r="D22" s="210"/>
      <c r="E22" s="205"/>
      <c r="F22" s="205"/>
      <c r="G22" s="205"/>
      <c r="H22" s="205"/>
      <c r="I22" s="205"/>
      <c r="J22" s="206"/>
    </row>
    <row r="23" spans="1:10" ht="19.5" customHeight="1">
      <c r="A23" s="197" t="s">
        <v>36</v>
      </c>
      <c r="B23" s="197"/>
      <c r="C23" s="45" t="s">
        <v>41</v>
      </c>
      <c r="D23" s="207"/>
      <c r="E23" s="208"/>
      <c r="F23" s="209"/>
      <c r="G23" s="12" t="s">
        <v>26</v>
      </c>
      <c r="H23" s="207"/>
      <c r="I23" s="208"/>
      <c r="J23" s="209"/>
    </row>
    <row r="24" spans="1:10" ht="20.149999999999999" customHeight="1">
      <c r="A24" s="197" t="s">
        <v>37</v>
      </c>
      <c r="B24" s="197"/>
      <c r="C24" s="66" t="s">
        <v>79</v>
      </c>
      <c r="D24" s="217" t="s">
        <v>80</v>
      </c>
      <c r="E24" s="218"/>
      <c r="F24" s="65" t="s">
        <v>81</v>
      </c>
      <c r="G24" s="215" t="s">
        <v>82</v>
      </c>
      <c r="H24" s="216"/>
      <c r="I24" s="62" t="s">
        <v>83</v>
      </c>
      <c r="J24" s="63" t="s">
        <v>84</v>
      </c>
    </row>
    <row r="25" spans="1:10" ht="20.149999999999999" customHeight="1">
      <c r="A25" s="197"/>
      <c r="B25" s="197"/>
      <c r="C25" s="67" t="s">
        <v>85</v>
      </c>
      <c r="D25" s="219" t="s">
        <v>86</v>
      </c>
      <c r="E25" s="220"/>
      <c r="F25" s="62" t="s">
        <v>87</v>
      </c>
      <c r="G25" s="215" t="s">
        <v>88</v>
      </c>
      <c r="H25" s="216"/>
      <c r="I25" s="64" t="s">
        <v>89</v>
      </c>
      <c r="J25" s="63" t="s">
        <v>84</v>
      </c>
    </row>
    <row r="26" spans="1:10" ht="20.149999999999999" customHeight="1">
      <c r="A26" s="197" t="s">
        <v>47</v>
      </c>
      <c r="B26" s="197"/>
      <c r="C26" s="46" t="s">
        <v>48</v>
      </c>
      <c r="D26" s="221"/>
      <c r="E26" s="222"/>
      <c r="F26" s="222"/>
      <c r="G26" s="222"/>
      <c r="H26" s="216"/>
      <c r="I26" s="10" t="s">
        <v>49</v>
      </c>
      <c r="J26" s="4" t="s">
        <v>90</v>
      </c>
    </row>
    <row r="27" spans="1:10" ht="20.149999999999999" customHeight="1">
      <c r="A27" s="197" t="s">
        <v>43</v>
      </c>
      <c r="B27" s="197"/>
      <c r="C27" s="46" t="s">
        <v>44</v>
      </c>
      <c r="D27" s="221"/>
      <c r="E27" s="222"/>
      <c r="F27" s="222"/>
      <c r="G27" s="222"/>
      <c r="H27" s="222"/>
      <c r="I27" s="222"/>
      <c r="J27" s="216"/>
    </row>
    <row r="28" spans="1:10" ht="20.149999999999999" customHeight="1">
      <c r="A28" s="197" t="s">
        <v>38</v>
      </c>
      <c r="B28" s="197"/>
      <c r="C28" s="225" t="s">
        <v>91</v>
      </c>
      <c r="D28" s="198" t="s">
        <v>92</v>
      </c>
      <c r="E28" s="227" t="s">
        <v>93</v>
      </c>
      <c r="F28" s="198" t="s">
        <v>94</v>
      </c>
      <c r="G28" s="223" t="s">
        <v>10</v>
      </c>
      <c r="H28" s="187" t="s">
        <v>95</v>
      </c>
      <c r="I28" s="188"/>
      <c r="J28" s="68" t="s">
        <v>96</v>
      </c>
    </row>
    <row r="29" spans="1:10" ht="20.149999999999999" customHeight="1">
      <c r="A29" s="197"/>
      <c r="B29" s="197"/>
      <c r="C29" s="226"/>
      <c r="D29" s="199"/>
      <c r="E29" s="228"/>
      <c r="F29" s="199"/>
      <c r="G29" s="224"/>
      <c r="H29" s="229" t="s">
        <v>97</v>
      </c>
      <c r="I29" s="230"/>
      <c r="J29" s="68" t="s">
        <v>98</v>
      </c>
    </row>
    <row r="30" spans="1:10" ht="37.5" customHeight="1">
      <c r="A30" s="197" t="s">
        <v>39</v>
      </c>
      <c r="B30" s="197"/>
      <c r="C30" s="47" t="s">
        <v>14</v>
      </c>
      <c r="D30" s="7" t="s">
        <v>15</v>
      </c>
      <c r="E30" s="7" t="s">
        <v>16</v>
      </c>
      <c r="F30" s="7" t="s">
        <v>17</v>
      </c>
      <c r="G30" s="34" t="s">
        <v>59</v>
      </c>
      <c r="H30" s="15" t="s">
        <v>60</v>
      </c>
      <c r="I30" s="200" t="s">
        <v>18</v>
      </c>
      <c r="J30" s="200"/>
    </row>
    <row r="31" spans="1:10" ht="19.5" customHeight="1">
      <c r="A31" s="193" t="s">
        <v>61</v>
      </c>
      <c r="B31" s="11" t="s">
        <v>22</v>
      </c>
      <c r="C31" s="8">
        <v>808</v>
      </c>
      <c r="D31" s="8"/>
      <c r="E31" s="8"/>
      <c r="F31" s="9"/>
      <c r="G31" s="31">
        <f>SUM(C31:F31)</f>
        <v>808</v>
      </c>
      <c r="H31" s="8"/>
      <c r="I31" s="150">
        <f>SUM(G31:H31)</f>
        <v>808</v>
      </c>
      <c r="J31" s="151"/>
    </row>
    <row r="32" spans="1:10" ht="19.5" customHeight="1">
      <c r="A32" s="214"/>
      <c r="B32" s="11" t="s">
        <v>23</v>
      </c>
      <c r="C32" s="8">
        <v>0</v>
      </c>
      <c r="D32" s="8"/>
      <c r="E32" s="8"/>
      <c r="F32" s="9"/>
      <c r="G32" s="31">
        <f>SUM(C32:F32)</f>
        <v>0</v>
      </c>
      <c r="H32" s="8"/>
      <c r="I32" s="150">
        <f>SUM(G32:H32)</f>
        <v>0</v>
      </c>
      <c r="J32" s="151"/>
    </row>
    <row r="33" spans="1:10" ht="19.5" customHeight="1">
      <c r="A33" s="194"/>
      <c r="B33" s="11" t="s">
        <v>24</v>
      </c>
      <c r="C33" s="8">
        <v>0</v>
      </c>
      <c r="D33" s="8"/>
      <c r="E33" s="8"/>
      <c r="F33" s="9"/>
      <c r="G33" s="31">
        <f>SUM(C33:F33)</f>
        <v>0</v>
      </c>
      <c r="H33" s="8"/>
      <c r="I33" s="150">
        <f>SUM(G33:H33)</f>
        <v>0</v>
      </c>
      <c r="J33" s="151"/>
    </row>
    <row r="34" spans="1:10" ht="19.5" customHeight="1">
      <c r="A34" s="195" t="s">
        <v>66</v>
      </c>
      <c r="B34" s="196"/>
      <c r="C34" s="51">
        <f t="shared" ref="C34:H34" si="0">SUM(C31:C33)</f>
        <v>808</v>
      </c>
      <c r="D34" s="51">
        <f t="shared" si="0"/>
        <v>0</v>
      </c>
      <c r="E34" s="51">
        <f t="shared" si="0"/>
        <v>0</v>
      </c>
      <c r="F34" s="51">
        <f t="shared" si="0"/>
        <v>0</v>
      </c>
      <c r="G34" s="51">
        <f t="shared" si="0"/>
        <v>808</v>
      </c>
      <c r="H34" s="52">
        <f t="shared" si="0"/>
        <v>0</v>
      </c>
      <c r="I34" s="191">
        <f>SUM(I31:J33)</f>
        <v>808</v>
      </c>
      <c r="J34" s="192"/>
    </row>
    <row r="35" spans="1:10" ht="19.5" customHeight="1">
      <c r="A35" s="193" t="s">
        <v>62</v>
      </c>
      <c r="B35" s="11" t="s">
        <v>63</v>
      </c>
      <c r="C35" s="8">
        <v>0</v>
      </c>
      <c r="D35" s="8"/>
      <c r="E35" s="8"/>
      <c r="F35" s="9"/>
      <c r="G35" s="31">
        <f>SUM(C35:F35)</f>
        <v>0</v>
      </c>
      <c r="H35" s="8"/>
      <c r="I35" s="150">
        <f>SUM(G35:H35)</f>
        <v>0</v>
      </c>
      <c r="J35" s="151"/>
    </row>
    <row r="36" spans="1:10" ht="19.5" customHeight="1">
      <c r="A36" s="194"/>
      <c r="B36" s="11" t="s">
        <v>64</v>
      </c>
      <c r="C36" s="8">
        <v>0</v>
      </c>
      <c r="D36" s="8"/>
      <c r="E36" s="8"/>
      <c r="F36" s="9"/>
      <c r="G36" s="31">
        <f>SUM(C36:F36)</f>
        <v>0</v>
      </c>
      <c r="H36" s="8"/>
      <c r="I36" s="150">
        <f>SUM(G36:H36)</f>
        <v>0</v>
      </c>
      <c r="J36" s="151"/>
    </row>
    <row r="37" spans="1:10" ht="19.5" customHeight="1">
      <c r="A37" s="152" t="s">
        <v>66</v>
      </c>
      <c r="B37" s="153"/>
      <c r="C37" s="26">
        <f t="shared" ref="C37:H37" si="1">SUM(C35:C36)</f>
        <v>0</v>
      </c>
      <c r="D37" s="26">
        <f t="shared" si="1"/>
        <v>0</v>
      </c>
      <c r="E37" s="26">
        <f t="shared" si="1"/>
        <v>0</v>
      </c>
      <c r="F37" s="26">
        <f t="shared" si="1"/>
        <v>0</v>
      </c>
      <c r="G37" s="26">
        <f t="shared" si="1"/>
        <v>0</v>
      </c>
      <c r="H37" s="50">
        <f t="shared" si="1"/>
        <v>0</v>
      </c>
      <c r="I37" s="189">
        <f>SUM(I35:J36)</f>
        <v>0</v>
      </c>
      <c r="J37" s="190"/>
    </row>
    <row r="38" spans="1:10" ht="19.5" customHeight="1">
      <c r="A38" s="152" t="s">
        <v>67</v>
      </c>
      <c r="B38" s="153"/>
      <c r="C38" s="26">
        <f t="shared" ref="C38:I38" si="2">C34+C37</f>
        <v>808</v>
      </c>
      <c r="D38" s="26">
        <f t="shared" si="2"/>
        <v>0</v>
      </c>
      <c r="E38" s="26">
        <f t="shared" si="2"/>
        <v>0</v>
      </c>
      <c r="F38" s="26">
        <f t="shared" si="2"/>
        <v>0</v>
      </c>
      <c r="G38" s="26">
        <f t="shared" si="2"/>
        <v>808</v>
      </c>
      <c r="H38" s="50">
        <f t="shared" si="2"/>
        <v>0</v>
      </c>
      <c r="I38" s="189">
        <f t="shared" si="2"/>
        <v>808</v>
      </c>
      <c r="J38" s="190"/>
    </row>
  </sheetData>
  <mergeCells count="55">
    <mergeCell ref="A31:A33"/>
    <mergeCell ref="I33:J33"/>
    <mergeCell ref="G24:H24"/>
    <mergeCell ref="G25:H25"/>
    <mergeCell ref="D24:E24"/>
    <mergeCell ref="D25:E25"/>
    <mergeCell ref="A24:B25"/>
    <mergeCell ref="A28:B29"/>
    <mergeCell ref="D27:J27"/>
    <mergeCell ref="G28:G29"/>
    <mergeCell ref="C28:C29"/>
    <mergeCell ref="E28:E29"/>
    <mergeCell ref="D28:D29"/>
    <mergeCell ref="H29:I29"/>
    <mergeCell ref="D26:H26"/>
    <mergeCell ref="A26:B26"/>
    <mergeCell ref="F28:F29"/>
    <mergeCell ref="I30:J30"/>
    <mergeCell ref="A1:J1"/>
    <mergeCell ref="D19:J19"/>
    <mergeCell ref="D23:F23"/>
    <mergeCell ref="D22:J22"/>
    <mergeCell ref="A3:B3"/>
    <mergeCell ref="A19:B22"/>
    <mergeCell ref="A4:B8"/>
    <mergeCell ref="A16:B18"/>
    <mergeCell ref="D20:J20"/>
    <mergeCell ref="H23:J23"/>
    <mergeCell ref="A23:B23"/>
    <mergeCell ref="A9:B15"/>
    <mergeCell ref="A30:B30"/>
    <mergeCell ref="I38:J38"/>
    <mergeCell ref="A38:B38"/>
    <mergeCell ref="I35:J35"/>
    <mergeCell ref="I34:J34"/>
    <mergeCell ref="A35:A36"/>
    <mergeCell ref="I36:J36"/>
    <mergeCell ref="I37:J37"/>
    <mergeCell ref="A34:B34"/>
    <mergeCell ref="I31:J31"/>
    <mergeCell ref="A37:B37"/>
    <mergeCell ref="I32:J32"/>
    <mergeCell ref="C3:J3"/>
    <mergeCell ref="D7:J7"/>
    <mergeCell ref="D4:J4"/>
    <mergeCell ref="D6:J6"/>
    <mergeCell ref="D8:J8"/>
    <mergeCell ref="D5:J5"/>
    <mergeCell ref="C9:J15"/>
    <mergeCell ref="H16:J18"/>
    <mergeCell ref="D16:F18"/>
    <mergeCell ref="C16:C18"/>
    <mergeCell ref="G16:G18"/>
    <mergeCell ref="H28:I28"/>
    <mergeCell ref="A27:B27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63" fitToHeight="0" orientation="portrait" r:id="rId1"/>
  <headerFooter alignWithMargins="0">
    <oddFooter>&amp;C&amp;"굴림,보통"&amp;8 1/7</oddFooter>
  </headerFooter>
  <ignoredErrors>
    <ignoredError sqref="F28 D28" twoDigitTextYear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84" r:id="rId4" name="Check Box 16">
              <controlPr defaultSize="0" autoFill="0" autoLine="0" autoPict="0">
                <anchor moveWithCells="1">
                  <from>
                    <xdr:col>2</xdr:col>
                    <xdr:colOff>933450</xdr:colOff>
                    <xdr:row>18</xdr:row>
                    <xdr:rowOff>31750</xdr:rowOff>
                  </from>
                  <to>
                    <xdr:col>3</xdr:col>
                    <xdr:colOff>660400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7" r:id="rId5" name="Check Box 19">
              <controlPr defaultSize="0" autoFill="0" autoLine="0" autoPict="0">
                <anchor moveWithCells="1">
                  <from>
                    <xdr:col>4</xdr:col>
                    <xdr:colOff>31750</xdr:colOff>
                    <xdr:row>18</xdr:row>
                    <xdr:rowOff>31750</xdr:rowOff>
                  </from>
                  <to>
                    <xdr:col>4</xdr:col>
                    <xdr:colOff>762000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8" r:id="rId6" name="Check Box 20">
              <controlPr defaultSize="0" autoFill="0" autoLine="0" autoPict="0">
                <anchor moveWithCells="1">
                  <from>
                    <xdr:col>4</xdr:col>
                    <xdr:colOff>812800</xdr:colOff>
                    <xdr:row>18</xdr:row>
                    <xdr:rowOff>31750</xdr:rowOff>
                  </from>
                  <to>
                    <xdr:col>5</xdr:col>
                    <xdr:colOff>323850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89" r:id="rId7" name="Check Box 21">
              <controlPr defaultSize="0" autoFill="0" autoLine="0" autoPict="0">
                <anchor moveWithCells="1">
                  <from>
                    <xdr:col>6</xdr:col>
                    <xdr:colOff>19050</xdr:colOff>
                    <xdr:row>18</xdr:row>
                    <xdr:rowOff>31750</xdr:rowOff>
                  </from>
                  <to>
                    <xdr:col>6</xdr:col>
                    <xdr:colOff>704850</xdr:colOff>
                    <xdr:row>18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0" r:id="rId8" name="Check Box 22">
              <controlPr defaultSize="0" autoFill="0" autoLine="0" autoPict="0">
                <anchor moveWithCells="1">
                  <from>
                    <xdr:col>6</xdr:col>
                    <xdr:colOff>812800</xdr:colOff>
                    <xdr:row>18</xdr:row>
                    <xdr:rowOff>31750</xdr:rowOff>
                  </from>
                  <to>
                    <xdr:col>7</xdr:col>
                    <xdr:colOff>546100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1" r:id="rId9" name="Check Box 23">
              <controlPr defaultSize="0" autoFill="0" autoLine="0" autoPict="0">
                <anchor moveWithCells="1">
                  <from>
                    <xdr:col>7</xdr:col>
                    <xdr:colOff>717550</xdr:colOff>
                    <xdr:row>18</xdr:row>
                    <xdr:rowOff>31750</xdr:rowOff>
                  </from>
                  <to>
                    <xdr:col>7</xdr:col>
                    <xdr:colOff>1028700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2" r:id="rId10" name="Check Box 24">
              <controlPr defaultSize="0" autoFill="0" autoLine="0" autoPict="0" altText="신규 개발">
                <anchor moveWithCells="1">
                  <from>
                    <xdr:col>2</xdr:col>
                    <xdr:colOff>889000</xdr:colOff>
                    <xdr:row>19</xdr:row>
                    <xdr:rowOff>12700</xdr:rowOff>
                  </from>
                  <to>
                    <xdr:col>3</xdr:col>
                    <xdr:colOff>781050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3" r:id="rId11" name="Check Box 25">
              <controlPr defaultSize="0" autoFill="0" autoLine="0" autoPict="0">
                <anchor moveWithCells="1">
                  <from>
                    <xdr:col>4</xdr:col>
                    <xdr:colOff>88900</xdr:colOff>
                    <xdr:row>19</xdr:row>
                    <xdr:rowOff>12700</xdr:rowOff>
                  </from>
                  <to>
                    <xdr:col>5</xdr:col>
                    <xdr:colOff>361950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4" r:id="rId12" name="Check Box 26">
              <controlPr defaultSize="0" autoFill="0" autoLine="0" autoPict="0">
                <anchor moveWithCells="1">
                  <from>
                    <xdr:col>6</xdr:col>
                    <xdr:colOff>527050</xdr:colOff>
                    <xdr:row>19</xdr:row>
                    <xdr:rowOff>19050</xdr:rowOff>
                  </from>
                  <to>
                    <xdr:col>7</xdr:col>
                    <xdr:colOff>584200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96" r:id="rId13" name="Check Box 28">
              <controlPr defaultSize="0" autoFill="0" autoLine="0" autoPict="0">
                <anchor moveWithCells="1">
                  <from>
                    <xdr:col>5</xdr:col>
                    <xdr:colOff>171450</xdr:colOff>
                    <xdr:row>19</xdr:row>
                    <xdr:rowOff>19050</xdr:rowOff>
                  </from>
                  <to>
                    <xdr:col>6</xdr:col>
                    <xdr:colOff>355600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5" r:id="rId14" name="Check Box 37">
              <controlPr defaultSize="0" autoFill="0" autoLine="0" autoPict="0">
                <anchor moveWithCells="1">
                  <from>
                    <xdr:col>3</xdr:col>
                    <xdr:colOff>0</xdr:colOff>
                    <xdr:row>21</xdr:row>
                    <xdr:rowOff>19050</xdr:rowOff>
                  </from>
                  <to>
                    <xdr:col>3</xdr:col>
                    <xdr:colOff>685800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7" r:id="rId15" name="Check Box 39">
              <controlPr defaultSize="0" autoFill="0" autoLine="0" autoPict="0">
                <anchor moveWithCells="1">
                  <from>
                    <xdr:col>4</xdr:col>
                    <xdr:colOff>31750</xdr:colOff>
                    <xdr:row>21</xdr:row>
                    <xdr:rowOff>19050</xdr:rowOff>
                  </from>
                  <to>
                    <xdr:col>4</xdr:col>
                    <xdr:colOff>717550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8" r:id="rId16" name="Check Box 40">
              <controlPr defaultSize="0" autoFill="0" autoLine="0" autoPict="0">
                <anchor moveWithCells="1">
                  <from>
                    <xdr:col>5</xdr:col>
                    <xdr:colOff>19050</xdr:colOff>
                    <xdr:row>21</xdr:row>
                    <xdr:rowOff>12700</xdr:rowOff>
                  </from>
                  <to>
                    <xdr:col>5</xdr:col>
                    <xdr:colOff>736600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09" r:id="rId17" name="Check Box 41">
              <controlPr defaultSize="0" autoFill="0" autoLine="0" autoPict="0">
                <anchor moveWithCells="1">
                  <from>
                    <xdr:col>6</xdr:col>
                    <xdr:colOff>12700</xdr:colOff>
                    <xdr:row>21</xdr:row>
                    <xdr:rowOff>19050</xdr:rowOff>
                  </from>
                  <to>
                    <xdr:col>7</xdr:col>
                    <xdr:colOff>457200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1" r:id="rId18" name="Check Box 43">
              <controlPr defaultSize="0" autoFill="0" autoLine="0" autoPict="0">
                <anchor moveWithCells="1">
                  <from>
                    <xdr:col>3</xdr:col>
                    <xdr:colOff>0</xdr:colOff>
                    <xdr:row>26</xdr:row>
                    <xdr:rowOff>19050</xdr:rowOff>
                  </from>
                  <to>
                    <xdr:col>4</xdr:col>
                    <xdr:colOff>285750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2" r:id="rId19" name="Check Box 44">
              <controlPr defaultSize="0" autoFill="0" autoLine="0" autoPict="0">
                <anchor moveWithCells="1">
                  <from>
                    <xdr:col>4</xdr:col>
                    <xdr:colOff>469900</xdr:colOff>
                    <xdr:row>26</xdr:row>
                    <xdr:rowOff>19050</xdr:rowOff>
                  </from>
                  <to>
                    <xdr:col>9</xdr:col>
                    <xdr:colOff>57150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13" r:id="rId20" name="Check Box 45">
              <controlPr defaultSize="0" autoFill="0" autoLine="0" autoPict="0">
                <anchor moveWithCells="1">
                  <from>
                    <xdr:col>7</xdr:col>
                    <xdr:colOff>209550</xdr:colOff>
                    <xdr:row>26</xdr:row>
                    <xdr:rowOff>19050</xdr:rowOff>
                  </from>
                  <to>
                    <xdr:col>7</xdr:col>
                    <xdr:colOff>565150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4" r:id="rId21" name="Check Box 56">
              <controlPr defaultSize="0" autoFill="0" autoLine="0" autoPict="0">
                <anchor moveWithCells="1" sizeWithCells="1">
                  <from>
                    <xdr:col>2</xdr:col>
                    <xdr:colOff>889000</xdr:colOff>
                    <xdr:row>20</xdr:row>
                    <xdr:rowOff>19050</xdr:rowOff>
                  </from>
                  <to>
                    <xdr:col>3</xdr:col>
                    <xdr:colOff>742950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5" r:id="rId22" name="Check Box 57">
              <controlPr defaultSize="0" autoFill="0" autoLine="0" autoPict="0">
                <anchor moveWithCells="1" sizeWithCells="1">
                  <from>
                    <xdr:col>4</xdr:col>
                    <xdr:colOff>88900</xdr:colOff>
                    <xdr:row>20</xdr:row>
                    <xdr:rowOff>19050</xdr:rowOff>
                  </from>
                  <to>
                    <xdr:col>4</xdr:col>
                    <xdr:colOff>584200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6" r:id="rId23" name="Check Box 58">
              <controlPr defaultSize="0" autoFill="0" autoLine="0" autoPict="0">
                <anchor moveWithCells="1" sizeWithCells="1">
                  <from>
                    <xdr:col>4</xdr:col>
                    <xdr:colOff>819150</xdr:colOff>
                    <xdr:row>20</xdr:row>
                    <xdr:rowOff>19050</xdr:rowOff>
                  </from>
                  <to>
                    <xdr:col>5</xdr:col>
                    <xdr:colOff>552450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27" r:id="rId24" name="Check Box 59">
              <controlPr defaultSize="0" autoFill="0" autoLine="0" autoPict="0">
                <anchor moveWithCells="1" sizeWithCells="1">
                  <from>
                    <xdr:col>6</xdr:col>
                    <xdr:colOff>19050</xdr:colOff>
                    <xdr:row>20</xdr:row>
                    <xdr:rowOff>31750</xdr:rowOff>
                  </from>
                  <to>
                    <xdr:col>7</xdr:col>
                    <xdr:colOff>133350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6" r:id="rId25" name="Check Box 68">
              <controlPr defaultSize="0" autoFill="0" autoLine="0" autoPict="0">
                <anchor moveWithCells="1">
                  <from>
                    <xdr:col>3</xdr:col>
                    <xdr:colOff>400050</xdr:colOff>
                    <xdr:row>22</xdr:row>
                    <xdr:rowOff>19050</xdr:rowOff>
                  </from>
                  <to>
                    <xdr:col>4</xdr:col>
                    <xdr:colOff>203200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37" r:id="rId26" name="Check Box 69">
              <controlPr defaultSize="0" autoFill="0" autoLine="0" autoPict="0">
                <anchor moveWithCells="1">
                  <from>
                    <xdr:col>4</xdr:col>
                    <xdr:colOff>584200</xdr:colOff>
                    <xdr:row>22</xdr:row>
                    <xdr:rowOff>19050</xdr:rowOff>
                  </from>
                  <to>
                    <xdr:col>5</xdr:col>
                    <xdr:colOff>361950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0" r:id="rId27" name="Check Box 72">
              <controlPr defaultSize="0" autoFill="0" autoLine="0" autoPict="0">
                <anchor moveWithCells="1">
                  <from>
                    <xdr:col>7</xdr:col>
                    <xdr:colOff>12700</xdr:colOff>
                    <xdr:row>22</xdr:row>
                    <xdr:rowOff>19050</xdr:rowOff>
                  </from>
                  <to>
                    <xdr:col>7</xdr:col>
                    <xdr:colOff>933450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1" r:id="rId28" name="Check Box 73">
              <controlPr defaultSize="0" autoFill="0" autoLine="0" autoPict="0">
                <anchor moveWithCells="1">
                  <from>
                    <xdr:col>8</xdr:col>
                    <xdr:colOff>12700</xdr:colOff>
                    <xdr:row>22</xdr:row>
                    <xdr:rowOff>19050</xdr:rowOff>
                  </from>
                  <to>
                    <xdr:col>8</xdr:col>
                    <xdr:colOff>838200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2" r:id="rId29" name="Check Box 74">
              <controlPr defaultSize="0" autoFill="0" autoLine="0" autoPict="0">
                <anchor moveWithCells="1" sizeWithCells="1">
                  <from>
                    <xdr:col>7</xdr:col>
                    <xdr:colOff>0</xdr:colOff>
                    <xdr:row>20</xdr:row>
                    <xdr:rowOff>31750</xdr:rowOff>
                  </from>
                  <to>
                    <xdr:col>8</xdr:col>
                    <xdr:colOff>209550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3" r:id="rId30" name="Check Box 75">
              <controlPr defaultSize="0" autoFill="0" autoLine="0" autoPict="0">
                <anchor moveWithCells="1" sizeWithCells="1">
                  <from>
                    <xdr:col>8</xdr:col>
                    <xdr:colOff>57150</xdr:colOff>
                    <xdr:row>20</xdr:row>
                    <xdr:rowOff>31750</xdr:rowOff>
                  </from>
                  <to>
                    <xdr:col>9</xdr:col>
                    <xdr:colOff>266700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4" r:id="rId31" name="Check Box 76">
              <controlPr defaultSize="0" autoFill="0" autoLine="0" autoPict="0">
                <anchor moveWithCells="1" sizeWithCells="1">
                  <from>
                    <xdr:col>9</xdr:col>
                    <xdr:colOff>50800</xdr:colOff>
                    <xdr:row>20</xdr:row>
                    <xdr:rowOff>19050</xdr:rowOff>
                  </from>
                  <to>
                    <xdr:col>10</xdr:col>
                    <xdr:colOff>165100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6" r:id="rId32" name="Check Box 78">
              <controlPr defaultSize="0" autoFill="0" autoLine="0" autoPict="0">
                <anchor moveWithCells="1">
                  <from>
                    <xdr:col>8</xdr:col>
                    <xdr:colOff>514350</xdr:colOff>
                    <xdr:row>19</xdr:row>
                    <xdr:rowOff>19050</xdr:rowOff>
                  </from>
                  <to>
                    <xdr:col>9</xdr:col>
                    <xdr:colOff>736600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47" r:id="rId33" name="Check Box 79">
              <controlPr defaultSize="0" autoFill="0" autoLine="0" autoPict="0">
                <anchor moveWithCells="1">
                  <from>
                    <xdr:col>8</xdr:col>
                    <xdr:colOff>508000</xdr:colOff>
                    <xdr:row>18</xdr:row>
                    <xdr:rowOff>31750</xdr:rowOff>
                  </from>
                  <to>
                    <xdr:col>9</xdr:col>
                    <xdr:colOff>704850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7" r:id="rId34" name="Check Box 89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438150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58" r:id="rId35" name="Check Box 90">
              <controlPr defaultSize="0" autoFill="0" autoLine="0" autoPict="0">
                <anchor moveWithCells="1">
                  <from>
                    <xdr:col>4</xdr:col>
                    <xdr:colOff>469900</xdr:colOff>
                    <xdr:row>25</xdr:row>
                    <xdr:rowOff>31750</xdr:rowOff>
                  </from>
                  <to>
                    <xdr:col>5</xdr:col>
                    <xdr:colOff>476250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0" r:id="rId36" name="Check Box 92">
              <controlPr defaultSize="0" autoFill="0" autoLine="0" autoPict="0">
                <anchor moveWithCells="1">
                  <from>
                    <xdr:col>5</xdr:col>
                    <xdr:colOff>717550</xdr:colOff>
                    <xdr:row>25</xdr:row>
                    <xdr:rowOff>31750</xdr:rowOff>
                  </from>
                  <to>
                    <xdr:col>7</xdr:col>
                    <xdr:colOff>285750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4" r:id="rId37" name="Check Box 96">
              <controlPr defaultSize="0" autoFill="0" autoLine="0" autoPict="0">
                <anchor moveWithCells="1">
                  <from>
                    <xdr:col>9</xdr:col>
                    <xdr:colOff>57150</xdr:colOff>
                    <xdr:row>22</xdr:row>
                    <xdr:rowOff>12700</xdr:rowOff>
                  </from>
                  <to>
                    <xdr:col>9</xdr:col>
                    <xdr:colOff>889000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5" r:id="rId38" name="Check Box 97">
              <controlPr defaultSize="0" autoFill="0" autoLine="0" autoPict="0">
                <anchor moveWithCells="1">
                  <from>
                    <xdr:col>7</xdr:col>
                    <xdr:colOff>552450</xdr:colOff>
                    <xdr:row>19</xdr:row>
                    <xdr:rowOff>19050</xdr:rowOff>
                  </from>
                  <to>
                    <xdr:col>8</xdr:col>
                    <xdr:colOff>514350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7" r:id="rId39" name="Check Box 99">
              <controlPr defaultSize="0" autoFill="0" autoLine="0" autoPict="0">
                <anchor moveWithCells="1">
                  <from>
                    <xdr:col>7</xdr:col>
                    <xdr:colOff>660400</xdr:colOff>
                    <xdr:row>26</xdr:row>
                    <xdr:rowOff>19050</xdr:rowOff>
                  </from>
                  <to>
                    <xdr:col>7</xdr:col>
                    <xdr:colOff>1009650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268" r:id="rId40" name="Check Box 100">
              <controlPr defaultSize="0" autoFill="0" autoLine="0" autoPict="0">
                <anchor moveWithCells="1">
                  <from>
                    <xdr:col>8</xdr:col>
                    <xdr:colOff>323850</xdr:colOff>
                    <xdr:row>26</xdr:row>
                    <xdr:rowOff>19050</xdr:rowOff>
                  </from>
                  <to>
                    <xdr:col>8</xdr:col>
                    <xdr:colOff>812800</xdr:colOff>
                    <xdr:row>26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fitToPage="1"/>
  </sheetPr>
  <dimension ref="A1:L23"/>
  <sheetViews>
    <sheetView view="pageBreakPreview" zoomScaleNormal="100" zoomScaleSheetLayoutView="100" workbookViewId="0">
      <selection activeCell="H11" sqref="H11"/>
    </sheetView>
  </sheetViews>
  <sheetFormatPr defaultColWidth="8.9140625" defaultRowHeight="13"/>
  <cols>
    <col min="1" max="1" width="16" style="1" customWidth="1"/>
    <col min="2" max="2" width="10.4140625" style="1" customWidth="1"/>
    <col min="3" max="3" width="14.08203125" style="1" customWidth="1"/>
    <col min="4" max="4" width="35.6640625" style="1" bestFit="1" customWidth="1"/>
    <col min="5" max="6" width="12.75" style="1" customWidth="1"/>
    <col min="7" max="7" width="14.25" style="1" customWidth="1"/>
    <col min="8" max="8" width="15.75" style="1" customWidth="1"/>
    <col min="9" max="9" width="20.58203125" style="1" bestFit="1" customWidth="1"/>
    <col min="10" max="11" width="12.75" style="1" customWidth="1"/>
    <col min="12" max="12" width="19.9140625" style="1" customWidth="1"/>
    <col min="13" max="14" width="18.9140625" style="1" customWidth="1"/>
    <col min="15" max="16384" width="8.9140625" style="1"/>
  </cols>
  <sheetData>
    <row r="1" spans="1:12" ht="30" customHeight="1">
      <c r="A1" s="231" t="s">
        <v>58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</row>
    <row r="2" spans="1:12" ht="30" customHeight="1">
      <c r="A2" s="28"/>
      <c r="B2" s="39"/>
      <c r="C2" s="28"/>
      <c r="D2" s="28"/>
      <c r="E2" s="28"/>
      <c r="F2" s="28"/>
      <c r="G2" s="28"/>
      <c r="H2" s="28"/>
      <c r="I2" s="29" t="s">
        <v>56</v>
      </c>
      <c r="J2" s="30" t="s">
        <v>70</v>
      </c>
      <c r="K2" s="29" t="s">
        <v>57</v>
      </c>
      <c r="L2" s="30" t="s">
        <v>71</v>
      </c>
    </row>
    <row r="3" spans="1:12" ht="31.5" customHeight="1">
      <c r="A3" s="232" t="s">
        <v>6</v>
      </c>
      <c r="B3" s="245" t="s">
        <v>12</v>
      </c>
      <c r="C3" s="245"/>
      <c r="D3" s="48" t="s">
        <v>3</v>
      </c>
      <c r="E3" s="13" t="s">
        <v>4</v>
      </c>
      <c r="F3" s="246" t="s">
        <v>5</v>
      </c>
      <c r="G3" s="247"/>
      <c r="H3" s="247"/>
      <c r="I3" s="247"/>
      <c r="J3" s="247"/>
      <c r="K3" s="248"/>
      <c r="L3" s="13" t="s">
        <v>28</v>
      </c>
    </row>
    <row r="4" spans="1:12" ht="26.25" customHeight="1">
      <c r="A4" s="233"/>
      <c r="B4" s="245"/>
      <c r="C4" s="245"/>
      <c r="D4" s="49"/>
      <c r="E4" s="14"/>
      <c r="F4" s="242"/>
      <c r="G4" s="243"/>
      <c r="H4" s="243"/>
      <c r="I4" s="243"/>
      <c r="J4" s="243"/>
      <c r="K4" s="244"/>
      <c r="L4" s="36"/>
    </row>
    <row r="5" spans="1:12" ht="26.25" customHeight="1">
      <c r="A5" s="233"/>
      <c r="B5" s="245"/>
      <c r="C5" s="245"/>
      <c r="D5" s="49"/>
      <c r="E5" s="14"/>
      <c r="F5" s="242"/>
      <c r="G5" s="243"/>
      <c r="H5" s="243"/>
      <c r="I5" s="243"/>
      <c r="J5" s="243"/>
      <c r="K5" s="244"/>
      <c r="L5" s="36"/>
    </row>
    <row r="6" spans="1:12" ht="26.25" customHeight="1">
      <c r="A6" s="233"/>
      <c r="B6" s="245"/>
      <c r="C6" s="245"/>
      <c r="D6" s="49"/>
      <c r="E6" s="14"/>
      <c r="F6" s="242"/>
      <c r="G6" s="243"/>
      <c r="H6" s="243"/>
      <c r="I6" s="243"/>
      <c r="J6" s="243"/>
      <c r="K6" s="244"/>
      <c r="L6" s="36"/>
    </row>
    <row r="7" spans="1:12" ht="31.5" customHeight="1">
      <c r="A7" s="233"/>
      <c r="B7" s="245" t="s">
        <v>7</v>
      </c>
      <c r="C7" s="245"/>
      <c r="D7" s="237"/>
      <c r="E7" s="237"/>
      <c r="F7" s="238"/>
      <c r="G7" s="238"/>
      <c r="H7" s="238"/>
      <c r="I7" s="238"/>
      <c r="J7" s="238"/>
      <c r="K7" s="238"/>
      <c r="L7" s="239"/>
    </row>
    <row r="8" spans="1:12" ht="31.5" customHeight="1">
      <c r="A8" s="234"/>
      <c r="B8" s="245" t="s">
        <v>8</v>
      </c>
      <c r="C8" s="245"/>
      <c r="D8" s="240"/>
      <c r="E8" s="240"/>
      <c r="F8" s="240"/>
      <c r="G8" s="240"/>
      <c r="H8" s="240"/>
      <c r="I8" s="240"/>
      <c r="J8" s="240"/>
      <c r="K8" s="240"/>
      <c r="L8" s="241"/>
    </row>
    <row r="9" spans="1:12" ht="31.5" customHeight="1">
      <c r="A9" s="197" t="s">
        <v>11</v>
      </c>
      <c r="B9" s="260" t="s">
        <v>65</v>
      </c>
      <c r="C9" s="261"/>
      <c r="D9" s="261"/>
      <c r="E9" s="261"/>
      <c r="F9" s="261"/>
      <c r="G9" s="261"/>
      <c r="H9" s="261"/>
      <c r="I9" s="261"/>
      <c r="J9" s="261"/>
      <c r="K9" s="261"/>
      <c r="L9" s="262"/>
    </row>
    <row r="10" spans="1:12" ht="44.25" customHeight="1">
      <c r="A10" s="197"/>
      <c r="B10" s="257" t="s">
        <v>34</v>
      </c>
      <c r="C10" s="258"/>
      <c r="D10" s="69" t="s">
        <v>29</v>
      </c>
      <c r="E10" s="69" t="s">
        <v>30</v>
      </c>
      <c r="F10" s="69" t="s">
        <v>45</v>
      </c>
      <c r="G10" s="69" t="s">
        <v>31</v>
      </c>
      <c r="H10" s="69" t="s">
        <v>52</v>
      </c>
      <c r="I10" s="69" t="s">
        <v>32</v>
      </c>
      <c r="J10" s="69" t="s">
        <v>33</v>
      </c>
      <c r="K10" s="69" t="s">
        <v>27</v>
      </c>
      <c r="L10" s="70" t="s">
        <v>50</v>
      </c>
    </row>
    <row r="11" spans="1:12" ht="44.25" customHeight="1">
      <c r="A11" s="197"/>
      <c r="B11" s="254" t="s">
        <v>61</v>
      </c>
      <c r="C11" s="235" t="s">
        <v>22</v>
      </c>
      <c r="D11" s="87" t="s">
        <v>99</v>
      </c>
      <c r="E11" s="88">
        <v>1</v>
      </c>
      <c r="F11" s="117" t="s">
        <v>100</v>
      </c>
      <c r="G11" s="88" t="s">
        <v>101</v>
      </c>
      <c r="H11" s="136">
        <v>808000000</v>
      </c>
      <c r="I11" s="88" t="s">
        <v>102</v>
      </c>
      <c r="J11" s="88" t="s">
        <v>100</v>
      </c>
      <c r="K11" s="88" t="s">
        <v>100</v>
      </c>
      <c r="L11" s="89" t="s">
        <v>100</v>
      </c>
    </row>
    <row r="12" spans="1:12" ht="44.25" customHeight="1">
      <c r="A12" s="197"/>
      <c r="B12" s="255"/>
      <c r="C12" s="236"/>
      <c r="D12" s="17"/>
      <c r="E12" s="18"/>
      <c r="F12" s="18"/>
      <c r="G12" s="18"/>
      <c r="H12" s="18"/>
      <c r="I12" s="18"/>
      <c r="J12" s="18"/>
      <c r="K12" s="18"/>
      <c r="L12" s="19"/>
    </row>
    <row r="13" spans="1:12" ht="44.25" customHeight="1">
      <c r="A13" s="197"/>
      <c r="B13" s="255"/>
      <c r="C13" s="235" t="s">
        <v>23</v>
      </c>
      <c r="D13" s="23"/>
      <c r="E13" s="24"/>
      <c r="F13" s="53"/>
      <c r="G13" s="16"/>
      <c r="H13" s="53"/>
      <c r="I13" s="24"/>
      <c r="J13" s="24"/>
      <c r="K13" s="24"/>
      <c r="L13" s="33"/>
    </row>
    <row r="14" spans="1:12" ht="44.25" customHeight="1">
      <c r="A14" s="197"/>
      <c r="B14" s="255"/>
      <c r="C14" s="259"/>
      <c r="D14" s="20"/>
      <c r="E14" s="21"/>
      <c r="F14" s="57"/>
      <c r="G14" s="21"/>
      <c r="H14" s="57"/>
      <c r="I14" s="21"/>
      <c r="J14" s="21"/>
      <c r="K14" s="21"/>
      <c r="L14" s="22"/>
    </row>
    <row r="15" spans="1:12" ht="44.25" customHeight="1">
      <c r="A15" s="197"/>
      <c r="B15" s="255"/>
      <c r="C15" s="236" t="s">
        <v>24</v>
      </c>
      <c r="D15" s="23"/>
      <c r="E15" s="24"/>
      <c r="F15" s="53"/>
      <c r="G15" s="16"/>
      <c r="H15" s="53"/>
      <c r="I15" s="24"/>
      <c r="J15" s="24"/>
      <c r="K15" s="24"/>
      <c r="L15" s="25"/>
    </row>
    <row r="16" spans="1:12" ht="44.25" customHeight="1">
      <c r="A16" s="197"/>
      <c r="B16" s="255"/>
      <c r="C16" s="236"/>
      <c r="D16" s="54"/>
      <c r="E16" s="55"/>
      <c r="F16" s="58"/>
      <c r="G16" s="55"/>
      <c r="H16" s="58"/>
      <c r="I16" s="55"/>
      <c r="J16" s="55"/>
      <c r="K16" s="55"/>
      <c r="L16" s="56"/>
    </row>
    <row r="17" spans="1:12" ht="44.25" customHeight="1">
      <c r="A17" s="197"/>
      <c r="B17" s="256"/>
      <c r="C17" s="253"/>
      <c r="D17" s="20"/>
      <c r="E17" s="21"/>
      <c r="F17" s="57"/>
      <c r="G17" s="55"/>
      <c r="H17" s="57"/>
      <c r="I17" s="21"/>
      <c r="J17" s="21"/>
      <c r="K17" s="21"/>
      <c r="L17" s="22"/>
    </row>
    <row r="18" spans="1:12" ht="44.25" customHeight="1">
      <c r="A18" s="197"/>
      <c r="B18" s="249" t="s">
        <v>34</v>
      </c>
      <c r="C18" s="250"/>
      <c r="D18" s="32" t="s">
        <v>29</v>
      </c>
      <c r="E18" s="32" t="s">
        <v>30</v>
      </c>
      <c r="F18" s="59" t="s">
        <v>45</v>
      </c>
      <c r="G18" s="61" t="s">
        <v>31</v>
      </c>
      <c r="H18" s="60" t="s">
        <v>69</v>
      </c>
      <c r="I18" s="32" t="s">
        <v>32</v>
      </c>
      <c r="J18" s="32" t="s">
        <v>68</v>
      </c>
      <c r="K18" s="32" t="s">
        <v>27</v>
      </c>
      <c r="L18" s="37" t="s">
        <v>50</v>
      </c>
    </row>
    <row r="19" spans="1:12" ht="43.5" customHeight="1">
      <c r="A19" s="197"/>
      <c r="B19" s="251" t="s">
        <v>62</v>
      </c>
      <c r="C19" s="236" t="s">
        <v>63</v>
      </c>
      <c r="D19" s="23"/>
      <c r="E19" s="24"/>
      <c r="F19" s="53"/>
      <c r="G19" s="24"/>
      <c r="H19" s="53"/>
      <c r="I19" s="24"/>
      <c r="J19" s="24"/>
      <c r="K19" s="24"/>
      <c r="L19" s="25"/>
    </row>
    <row r="20" spans="1:12" ht="43.5" customHeight="1">
      <c r="A20" s="197"/>
      <c r="B20" s="255"/>
      <c r="C20" s="253"/>
      <c r="D20" s="20"/>
      <c r="E20" s="21"/>
      <c r="F20" s="21"/>
      <c r="G20" s="21"/>
      <c r="H20" s="21"/>
      <c r="I20" s="21"/>
      <c r="J20" s="21"/>
      <c r="K20" s="21"/>
      <c r="L20" s="22"/>
    </row>
    <row r="21" spans="1:12" ht="43.5" customHeight="1">
      <c r="A21" s="197"/>
      <c r="B21" s="255"/>
      <c r="C21" s="251" t="s">
        <v>64</v>
      </c>
      <c r="D21" s="23"/>
      <c r="E21" s="24"/>
      <c r="F21" s="53"/>
      <c r="G21" s="24"/>
      <c r="H21" s="53"/>
      <c r="I21" s="24"/>
      <c r="J21" s="24"/>
      <c r="K21" s="24"/>
      <c r="L21" s="25"/>
    </row>
    <row r="22" spans="1:12" ht="43.5" customHeight="1">
      <c r="A22" s="197"/>
      <c r="B22" s="252"/>
      <c r="C22" s="252"/>
      <c r="D22" s="20"/>
      <c r="E22" s="21"/>
      <c r="F22" s="21"/>
      <c r="G22" s="21"/>
      <c r="H22" s="21"/>
      <c r="I22" s="21"/>
      <c r="J22" s="21"/>
      <c r="K22" s="21"/>
      <c r="L22" s="22"/>
    </row>
    <row r="23" spans="1:12" ht="16.149999999999999" customHeight="1">
      <c r="A23" s="35" t="s">
        <v>51</v>
      </c>
    </row>
  </sheetData>
  <mergeCells count="22">
    <mergeCell ref="B10:C10"/>
    <mergeCell ref="C19:C20"/>
    <mergeCell ref="C13:C14"/>
    <mergeCell ref="B8:C8"/>
    <mergeCell ref="B9:L9"/>
    <mergeCell ref="B19:B22"/>
    <mergeCell ref="A1:L1"/>
    <mergeCell ref="A3:A8"/>
    <mergeCell ref="C11:C12"/>
    <mergeCell ref="D7:L7"/>
    <mergeCell ref="D8:L8"/>
    <mergeCell ref="F5:K5"/>
    <mergeCell ref="F6:K6"/>
    <mergeCell ref="B3:C6"/>
    <mergeCell ref="F3:K3"/>
    <mergeCell ref="F4:K4"/>
    <mergeCell ref="A9:A22"/>
    <mergeCell ref="B18:C18"/>
    <mergeCell ref="C21:C22"/>
    <mergeCell ref="B7:C7"/>
    <mergeCell ref="C15:C17"/>
    <mergeCell ref="B11:B17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40" orientation="portrait" r:id="rId1"/>
  <headerFooter alignWithMargins="0">
    <oddFooter>&amp;C&amp;"굴림,보통"&amp;8 2/7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3" r:id="rId4" name="Check Box 3">
              <controlPr defaultSize="0" autoFill="0" autoLine="0" autoPict="0">
                <anchor moveWithCells="1">
                  <from>
                    <xdr:col>3</xdr:col>
                    <xdr:colOff>95250</xdr:colOff>
                    <xdr:row>6</xdr:row>
                    <xdr:rowOff>0</xdr:rowOff>
                  </from>
                  <to>
                    <xdr:col>3</xdr:col>
                    <xdr:colOff>704850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4" r:id="rId5" name="Check Box 4">
              <controlPr defaultSize="0" autoFill="0" autoLine="0" autoPict="0">
                <anchor moveWithCells="1">
                  <from>
                    <xdr:col>3</xdr:col>
                    <xdr:colOff>838200</xdr:colOff>
                    <xdr:row>5</xdr:row>
                    <xdr:rowOff>323850</xdr:rowOff>
                  </from>
                  <to>
                    <xdr:col>3</xdr:col>
                    <xdr:colOff>1409700</xdr:colOff>
                    <xdr:row>7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5" r:id="rId6" name="Check Box 5">
              <controlPr defaultSize="0" autoFill="0" autoLine="0" autoPict="0">
                <anchor moveWithCells="1">
                  <from>
                    <xdr:col>3</xdr:col>
                    <xdr:colOff>1574800</xdr:colOff>
                    <xdr:row>6</xdr:row>
                    <xdr:rowOff>0</xdr:rowOff>
                  </from>
                  <to>
                    <xdr:col>3</xdr:col>
                    <xdr:colOff>2184400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7" name="Check Box 6">
              <controlPr defaultSize="0" autoFill="0" autoLine="0" autoPict="0">
                <anchor moveWithCells="1">
                  <from>
                    <xdr:col>4</xdr:col>
                    <xdr:colOff>57150</xdr:colOff>
                    <xdr:row>6</xdr:row>
                    <xdr:rowOff>0</xdr:rowOff>
                  </from>
                  <to>
                    <xdr:col>4</xdr:col>
                    <xdr:colOff>742950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7" r:id="rId8" name="Check Box 7">
              <controlPr defaultSize="0" autoFill="0" autoLine="0" autoPict="0">
                <anchor moveWithCells="1">
                  <from>
                    <xdr:col>4</xdr:col>
                    <xdr:colOff>889000</xdr:colOff>
                    <xdr:row>6</xdr:row>
                    <xdr:rowOff>0</xdr:rowOff>
                  </from>
                  <to>
                    <xdr:col>5</xdr:col>
                    <xdr:colOff>514350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8" r:id="rId9" name="Check Box 8">
              <controlPr defaultSize="0" autoFill="0" autoLine="0" autoPict="0">
                <anchor moveWithCells="1">
                  <from>
                    <xdr:col>5</xdr:col>
                    <xdr:colOff>590550</xdr:colOff>
                    <xdr:row>6</xdr:row>
                    <xdr:rowOff>0</xdr:rowOff>
                  </from>
                  <to>
                    <xdr:col>6</xdr:col>
                    <xdr:colOff>336550</xdr:colOff>
                    <xdr:row>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9" r:id="rId10" name="Check Box 9">
              <controlPr defaultSize="0" autoFill="0" autoLine="0" autoPict="0">
                <anchor moveWithCells="1">
                  <from>
                    <xdr:col>3</xdr:col>
                    <xdr:colOff>95250</xdr:colOff>
                    <xdr:row>7</xdr:row>
                    <xdr:rowOff>38100</xdr:rowOff>
                  </from>
                  <to>
                    <xdr:col>3</xdr:col>
                    <xdr:colOff>679450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0" r:id="rId11" name="Check Box 10">
              <controlPr defaultSize="0" autoFill="0" autoLine="0" autoPict="0">
                <anchor moveWithCells="1">
                  <from>
                    <xdr:col>3</xdr:col>
                    <xdr:colOff>831850</xdr:colOff>
                    <xdr:row>7</xdr:row>
                    <xdr:rowOff>38100</xdr:rowOff>
                  </from>
                  <to>
                    <xdr:col>3</xdr:col>
                    <xdr:colOff>1428750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1" r:id="rId12" name="Check Box 11">
              <controlPr defaultSize="0" autoFill="0" autoLine="0" autoPict="0">
                <anchor moveWithCells="1">
                  <from>
                    <xdr:col>3</xdr:col>
                    <xdr:colOff>1574800</xdr:colOff>
                    <xdr:row>7</xdr:row>
                    <xdr:rowOff>38100</xdr:rowOff>
                  </from>
                  <to>
                    <xdr:col>3</xdr:col>
                    <xdr:colOff>2165350</xdr:colOff>
                    <xdr:row>7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2" r:id="rId13" name="Check Box 12">
              <controlPr defaultSize="0" autoFill="0" autoLine="0" autoPict="0">
                <anchor moveWithCells="1">
                  <from>
                    <xdr:col>4</xdr:col>
                    <xdr:colOff>57150</xdr:colOff>
                    <xdr:row>7</xdr:row>
                    <xdr:rowOff>38100</xdr:rowOff>
                  </from>
                  <to>
                    <xdr:col>4</xdr:col>
                    <xdr:colOff>781050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3" r:id="rId14" name="Check Box 13">
              <controlPr defaultSize="0" autoFill="0" autoLine="0" autoPict="0">
                <anchor moveWithCells="1">
                  <from>
                    <xdr:col>4</xdr:col>
                    <xdr:colOff>889000</xdr:colOff>
                    <xdr:row>7</xdr:row>
                    <xdr:rowOff>38100</xdr:rowOff>
                  </from>
                  <to>
                    <xdr:col>5</xdr:col>
                    <xdr:colOff>666750</xdr:colOff>
                    <xdr:row>7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4" r:id="rId15" name="Check Box 14">
              <controlPr defaultSize="0" autoFill="0" autoLine="0" autoPict="0">
                <anchor moveWithCells="1">
                  <from>
                    <xdr:col>5</xdr:col>
                    <xdr:colOff>742950</xdr:colOff>
                    <xdr:row>7</xdr:row>
                    <xdr:rowOff>38100</xdr:rowOff>
                  </from>
                  <to>
                    <xdr:col>6</xdr:col>
                    <xdr:colOff>666750</xdr:colOff>
                    <xdr:row>7</xdr:row>
                    <xdr:rowOff>361950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ABC1-3EEE-45CA-B552-78D30BC1B89F}">
  <sheetPr>
    <tabColor theme="4"/>
    <pageSetUpPr fitToPage="1"/>
  </sheetPr>
  <dimension ref="A1:J38"/>
  <sheetViews>
    <sheetView view="pageBreakPreview" topLeftCell="A10" zoomScaleNormal="100" zoomScaleSheetLayoutView="100" workbookViewId="0">
      <selection activeCell="K52" sqref="K52"/>
    </sheetView>
  </sheetViews>
  <sheetFormatPr defaultColWidth="8.9140625" defaultRowHeight="13"/>
  <cols>
    <col min="1" max="1" width="9.9140625" style="71" customWidth="1"/>
    <col min="2" max="2" width="14.9140625" style="71" customWidth="1"/>
    <col min="3" max="6" width="11.6640625" style="71" customWidth="1"/>
    <col min="7" max="7" width="12.4140625" style="71" customWidth="1"/>
    <col min="8" max="10" width="13.6640625" style="71" customWidth="1"/>
    <col min="11" max="16384" width="8.9140625" style="71"/>
  </cols>
  <sheetData>
    <row r="1" spans="1:10" s="73" customFormat="1" ht="30" customHeight="1">
      <c r="A1" s="201" t="s">
        <v>40</v>
      </c>
      <c r="B1" s="202"/>
      <c r="C1" s="202"/>
      <c r="D1" s="202"/>
      <c r="E1" s="202"/>
      <c r="F1" s="202"/>
      <c r="G1" s="202"/>
      <c r="H1" s="202"/>
      <c r="I1" s="202"/>
      <c r="J1" s="203"/>
    </row>
    <row r="2" spans="1:10" s="73" customFormat="1" ht="17.25" customHeight="1">
      <c r="A2" s="98"/>
      <c r="B2" s="98"/>
      <c r="C2" s="98"/>
      <c r="D2" s="98"/>
      <c r="E2" s="98"/>
      <c r="F2" s="98"/>
      <c r="G2" s="100" t="s">
        <v>56</v>
      </c>
      <c r="H2" s="101" t="s">
        <v>70</v>
      </c>
      <c r="I2" s="100" t="s">
        <v>57</v>
      </c>
      <c r="J2" s="101" t="s">
        <v>71</v>
      </c>
    </row>
    <row r="3" spans="1:10" s="72" customFormat="1" ht="41.25" customHeight="1">
      <c r="A3" s="211" t="s">
        <v>0</v>
      </c>
      <c r="B3" s="212"/>
      <c r="C3" s="154" t="s">
        <v>103</v>
      </c>
      <c r="D3" s="155"/>
      <c r="E3" s="155"/>
      <c r="F3" s="155"/>
      <c r="G3" s="155"/>
      <c r="H3" s="155"/>
      <c r="I3" s="155"/>
      <c r="J3" s="156"/>
    </row>
    <row r="4" spans="1:10" s="72" customFormat="1" ht="39.4" customHeight="1">
      <c r="A4" s="197" t="s">
        <v>13</v>
      </c>
      <c r="B4" s="197"/>
      <c r="C4" s="106" t="s">
        <v>19</v>
      </c>
      <c r="D4" s="157" t="s">
        <v>125</v>
      </c>
      <c r="E4" s="158"/>
      <c r="F4" s="158"/>
      <c r="G4" s="158"/>
      <c r="H4" s="158"/>
      <c r="I4" s="158"/>
      <c r="J4" s="159"/>
    </row>
    <row r="5" spans="1:10" ht="54.4" customHeight="1">
      <c r="A5" s="197"/>
      <c r="B5" s="197"/>
      <c r="C5" s="107" t="s">
        <v>20</v>
      </c>
      <c r="D5" s="160" t="s">
        <v>115</v>
      </c>
      <c r="E5" s="161"/>
      <c r="F5" s="161"/>
      <c r="G5" s="161"/>
      <c r="H5" s="161"/>
      <c r="I5" s="161"/>
      <c r="J5" s="162"/>
    </row>
    <row r="6" spans="1:10" ht="107.65" customHeight="1">
      <c r="A6" s="197"/>
      <c r="B6" s="197"/>
      <c r="C6" s="107" t="s">
        <v>55</v>
      </c>
      <c r="D6" s="160" t="s">
        <v>117</v>
      </c>
      <c r="E6" s="161"/>
      <c r="F6" s="161"/>
      <c r="G6" s="161"/>
      <c r="H6" s="161"/>
      <c r="I6" s="161"/>
      <c r="J6" s="162"/>
    </row>
    <row r="7" spans="1:10" ht="93.4" customHeight="1">
      <c r="A7" s="197"/>
      <c r="B7" s="197"/>
      <c r="C7" s="107" t="s">
        <v>54</v>
      </c>
      <c r="D7" s="157" t="s">
        <v>113</v>
      </c>
      <c r="E7" s="158"/>
      <c r="F7" s="158"/>
      <c r="G7" s="158"/>
      <c r="H7" s="158"/>
      <c r="I7" s="158"/>
      <c r="J7" s="159"/>
    </row>
    <row r="8" spans="1:10" ht="40.15" customHeight="1">
      <c r="A8" s="197"/>
      <c r="B8" s="197"/>
      <c r="C8" s="106" t="s">
        <v>21</v>
      </c>
      <c r="D8" s="157" t="s">
        <v>116</v>
      </c>
      <c r="E8" s="158"/>
      <c r="F8" s="158"/>
      <c r="G8" s="158"/>
      <c r="H8" s="158"/>
      <c r="I8" s="158"/>
      <c r="J8" s="159"/>
    </row>
    <row r="9" spans="1:10" ht="23.65" customHeight="1">
      <c r="A9" s="197" t="s">
        <v>46</v>
      </c>
      <c r="B9" s="197"/>
      <c r="C9" s="163" t="s">
        <v>157</v>
      </c>
      <c r="D9" s="164"/>
      <c r="E9" s="164"/>
      <c r="F9" s="164"/>
      <c r="G9" s="164"/>
      <c r="H9" s="164"/>
      <c r="I9" s="164"/>
      <c r="J9" s="165"/>
    </row>
    <row r="10" spans="1:10" ht="23.65" customHeight="1">
      <c r="A10" s="197"/>
      <c r="B10" s="197"/>
      <c r="C10" s="166"/>
      <c r="D10" s="167"/>
      <c r="E10" s="167"/>
      <c r="F10" s="167"/>
      <c r="G10" s="167"/>
      <c r="H10" s="167"/>
      <c r="I10" s="167"/>
      <c r="J10" s="168"/>
    </row>
    <row r="11" spans="1:10" ht="23.65" customHeight="1">
      <c r="A11" s="197"/>
      <c r="B11" s="197"/>
      <c r="C11" s="166"/>
      <c r="D11" s="167"/>
      <c r="E11" s="167"/>
      <c r="F11" s="167"/>
      <c r="G11" s="167"/>
      <c r="H11" s="167"/>
      <c r="I11" s="167"/>
      <c r="J11" s="168"/>
    </row>
    <row r="12" spans="1:10" ht="23.65" customHeight="1">
      <c r="A12" s="197"/>
      <c r="B12" s="197"/>
      <c r="C12" s="166"/>
      <c r="D12" s="167"/>
      <c r="E12" s="167"/>
      <c r="F12" s="167"/>
      <c r="G12" s="167"/>
      <c r="H12" s="167"/>
      <c r="I12" s="167"/>
      <c r="J12" s="168"/>
    </row>
    <row r="13" spans="1:10" ht="23.65" customHeight="1">
      <c r="A13" s="197"/>
      <c r="B13" s="197"/>
      <c r="C13" s="166"/>
      <c r="D13" s="167"/>
      <c r="E13" s="167"/>
      <c r="F13" s="167"/>
      <c r="G13" s="167"/>
      <c r="H13" s="167"/>
      <c r="I13" s="167"/>
      <c r="J13" s="168"/>
    </row>
    <row r="14" spans="1:10" ht="23.65" customHeight="1">
      <c r="A14" s="197"/>
      <c r="B14" s="197"/>
      <c r="C14" s="166"/>
      <c r="D14" s="167"/>
      <c r="E14" s="167"/>
      <c r="F14" s="167"/>
      <c r="G14" s="167"/>
      <c r="H14" s="167"/>
      <c r="I14" s="167"/>
      <c r="J14" s="168"/>
    </row>
    <row r="15" spans="1:10" ht="23.65" customHeight="1">
      <c r="A15" s="197"/>
      <c r="B15" s="197"/>
      <c r="C15" s="169"/>
      <c r="D15" s="170"/>
      <c r="E15" s="170"/>
      <c r="F15" s="170"/>
      <c r="G15" s="170"/>
      <c r="H15" s="170"/>
      <c r="I15" s="170"/>
      <c r="J15" s="171"/>
    </row>
    <row r="16" spans="1:10" ht="33" customHeight="1">
      <c r="A16" s="213" t="s">
        <v>35</v>
      </c>
      <c r="B16" s="213"/>
      <c r="C16" s="181" t="s">
        <v>76</v>
      </c>
      <c r="D16" s="172" t="s">
        <v>104</v>
      </c>
      <c r="E16" s="173"/>
      <c r="F16" s="174"/>
      <c r="G16" s="184" t="s">
        <v>77</v>
      </c>
      <c r="H16" s="172" t="s">
        <v>108</v>
      </c>
      <c r="I16" s="173"/>
      <c r="J16" s="174"/>
    </row>
    <row r="17" spans="1:10" ht="33" customHeight="1">
      <c r="A17" s="213"/>
      <c r="B17" s="213"/>
      <c r="C17" s="182"/>
      <c r="D17" s="175"/>
      <c r="E17" s="176"/>
      <c r="F17" s="177"/>
      <c r="G17" s="185"/>
      <c r="H17" s="175"/>
      <c r="I17" s="176"/>
      <c r="J17" s="177"/>
    </row>
    <row r="18" spans="1:10" ht="33" customHeight="1">
      <c r="A18" s="213"/>
      <c r="B18" s="213"/>
      <c r="C18" s="183"/>
      <c r="D18" s="178"/>
      <c r="E18" s="179"/>
      <c r="F18" s="180"/>
      <c r="G18" s="186"/>
      <c r="H18" s="178"/>
      <c r="I18" s="179"/>
      <c r="J18" s="180"/>
    </row>
    <row r="19" spans="1:10" ht="20.149999999999999" customHeight="1">
      <c r="A19" s="197" t="s">
        <v>25</v>
      </c>
      <c r="B19" s="197"/>
      <c r="C19" s="108" t="s">
        <v>9</v>
      </c>
      <c r="D19" s="204"/>
      <c r="E19" s="205"/>
      <c r="F19" s="205"/>
      <c r="G19" s="205"/>
      <c r="H19" s="205"/>
      <c r="I19" s="205"/>
      <c r="J19" s="206"/>
    </row>
    <row r="20" spans="1:10" ht="20.149999999999999" customHeight="1">
      <c r="A20" s="197"/>
      <c r="B20" s="197"/>
      <c r="C20" s="108" t="s">
        <v>1</v>
      </c>
      <c r="D20" s="204"/>
      <c r="E20" s="205"/>
      <c r="F20" s="205"/>
      <c r="G20" s="205"/>
      <c r="H20" s="205"/>
      <c r="I20" s="205"/>
      <c r="J20" s="206"/>
    </row>
    <row r="21" spans="1:10" ht="20.149999999999999" customHeight="1">
      <c r="A21" s="197"/>
      <c r="B21" s="197"/>
      <c r="C21" s="109" t="s">
        <v>42</v>
      </c>
      <c r="D21" s="77"/>
      <c r="E21" s="77"/>
      <c r="F21" s="77"/>
      <c r="G21" s="77"/>
      <c r="H21" s="77"/>
      <c r="I21" s="77"/>
      <c r="J21" s="78"/>
    </row>
    <row r="22" spans="1:10" ht="20.149999999999999" customHeight="1">
      <c r="A22" s="197"/>
      <c r="B22" s="197"/>
      <c r="C22" s="110" t="s">
        <v>2</v>
      </c>
      <c r="D22" s="210"/>
      <c r="E22" s="205"/>
      <c r="F22" s="205"/>
      <c r="G22" s="205"/>
      <c r="H22" s="205"/>
      <c r="I22" s="205"/>
      <c r="J22" s="206"/>
    </row>
    <row r="23" spans="1:10" ht="19.5" customHeight="1">
      <c r="A23" s="197" t="s">
        <v>36</v>
      </c>
      <c r="B23" s="197"/>
      <c r="C23" s="111" t="s">
        <v>41</v>
      </c>
      <c r="D23" s="207"/>
      <c r="E23" s="208"/>
      <c r="F23" s="209"/>
      <c r="G23" s="82" t="s">
        <v>26</v>
      </c>
      <c r="H23" s="207"/>
      <c r="I23" s="208"/>
      <c r="J23" s="209"/>
    </row>
    <row r="24" spans="1:10" ht="20.149999999999999" customHeight="1">
      <c r="A24" s="197" t="s">
        <v>37</v>
      </c>
      <c r="B24" s="197"/>
      <c r="C24" s="112" t="s">
        <v>79</v>
      </c>
      <c r="D24" s="217" t="s">
        <v>80</v>
      </c>
      <c r="E24" s="218"/>
      <c r="F24" s="86" t="s">
        <v>81</v>
      </c>
      <c r="G24" s="215" t="s">
        <v>82</v>
      </c>
      <c r="H24" s="216"/>
      <c r="I24" s="74" t="s">
        <v>83</v>
      </c>
      <c r="J24" s="75" t="s">
        <v>84</v>
      </c>
    </row>
    <row r="25" spans="1:10" ht="20.149999999999999" customHeight="1">
      <c r="A25" s="197"/>
      <c r="B25" s="197"/>
      <c r="C25" s="113" t="s">
        <v>85</v>
      </c>
      <c r="D25" s="219" t="s">
        <v>86</v>
      </c>
      <c r="E25" s="220"/>
      <c r="F25" s="74" t="s">
        <v>87</v>
      </c>
      <c r="G25" s="215" t="s">
        <v>88</v>
      </c>
      <c r="H25" s="216"/>
      <c r="I25" s="80" t="s">
        <v>89</v>
      </c>
      <c r="J25" s="75" t="s">
        <v>84</v>
      </c>
    </row>
    <row r="26" spans="1:10" ht="20.149999999999999" customHeight="1">
      <c r="A26" s="197" t="s">
        <v>47</v>
      </c>
      <c r="B26" s="197"/>
      <c r="C26" s="113" t="s">
        <v>48</v>
      </c>
      <c r="D26" s="221"/>
      <c r="E26" s="222"/>
      <c r="F26" s="222"/>
      <c r="G26" s="222"/>
      <c r="H26" s="216"/>
      <c r="I26" s="80" t="s">
        <v>49</v>
      </c>
      <c r="J26" s="76" t="s">
        <v>107</v>
      </c>
    </row>
    <row r="27" spans="1:10" ht="20.149999999999999" customHeight="1">
      <c r="A27" s="197" t="s">
        <v>43</v>
      </c>
      <c r="B27" s="197"/>
      <c r="C27" s="113" t="s">
        <v>44</v>
      </c>
      <c r="D27" s="221"/>
      <c r="E27" s="222"/>
      <c r="F27" s="222"/>
      <c r="G27" s="222"/>
      <c r="H27" s="222"/>
      <c r="I27" s="222"/>
      <c r="J27" s="216"/>
    </row>
    <row r="28" spans="1:10" ht="20.149999999999999" customHeight="1">
      <c r="A28" s="197" t="s">
        <v>38</v>
      </c>
      <c r="B28" s="197"/>
      <c r="C28" s="225" t="s">
        <v>91</v>
      </c>
      <c r="D28" s="198" t="s">
        <v>105</v>
      </c>
      <c r="E28" s="227" t="s">
        <v>93</v>
      </c>
      <c r="F28" s="198" t="s">
        <v>106</v>
      </c>
      <c r="G28" s="223" t="s">
        <v>10</v>
      </c>
      <c r="H28" s="187" t="s">
        <v>95</v>
      </c>
      <c r="I28" s="188"/>
      <c r="J28" s="142">
        <f>I38</f>
        <v>11473</v>
      </c>
    </row>
    <row r="29" spans="1:10" ht="20.149999999999999" customHeight="1">
      <c r="A29" s="197"/>
      <c r="B29" s="197"/>
      <c r="C29" s="226"/>
      <c r="D29" s="199"/>
      <c r="E29" s="228"/>
      <c r="F29" s="199"/>
      <c r="G29" s="224"/>
      <c r="H29" s="229" t="s">
        <v>97</v>
      </c>
      <c r="I29" s="230"/>
      <c r="J29" s="142">
        <f>G38</f>
        <v>8701</v>
      </c>
    </row>
    <row r="30" spans="1:10" ht="37.5" customHeight="1">
      <c r="A30" s="197" t="s">
        <v>39</v>
      </c>
      <c r="B30" s="197"/>
      <c r="C30" s="114" t="s">
        <v>14</v>
      </c>
      <c r="D30" s="79" t="s">
        <v>15</v>
      </c>
      <c r="E30" s="79" t="s">
        <v>16</v>
      </c>
      <c r="F30" s="79" t="s">
        <v>17</v>
      </c>
      <c r="G30" s="104" t="s">
        <v>59</v>
      </c>
      <c r="H30" s="85" t="s">
        <v>60</v>
      </c>
      <c r="I30" s="200" t="s">
        <v>18</v>
      </c>
      <c r="J30" s="200"/>
    </row>
    <row r="31" spans="1:10" ht="31.5" customHeight="1">
      <c r="A31" s="193" t="s">
        <v>61</v>
      </c>
      <c r="B31" s="141" t="s">
        <v>132</v>
      </c>
      <c r="C31" s="8"/>
      <c r="D31" s="8"/>
      <c r="E31" s="8">
        <v>1386</v>
      </c>
      <c r="F31" s="9">
        <v>1386</v>
      </c>
      <c r="G31" s="31">
        <f>SUM(C31:F31)</f>
        <v>2772</v>
      </c>
      <c r="H31" s="8">
        <v>2772</v>
      </c>
      <c r="I31" s="150">
        <f>SUM(G31:H31)</f>
        <v>5544</v>
      </c>
      <c r="J31" s="151"/>
    </row>
    <row r="32" spans="1:10" ht="19.5" customHeight="1">
      <c r="A32" s="214"/>
      <c r="B32" s="81" t="s">
        <v>23</v>
      </c>
      <c r="C32" s="8"/>
      <c r="D32" s="8"/>
      <c r="E32" s="8">
        <v>1893</v>
      </c>
      <c r="F32" s="9">
        <v>0</v>
      </c>
      <c r="G32" s="31">
        <f>SUM(C32:F32)</f>
        <v>1893</v>
      </c>
      <c r="H32" s="8">
        <v>0</v>
      </c>
      <c r="I32" s="150">
        <f>SUM(G32:H32)</f>
        <v>1893</v>
      </c>
      <c r="J32" s="151"/>
    </row>
    <row r="33" spans="1:10" ht="19.5" customHeight="1">
      <c r="A33" s="194"/>
      <c r="B33" s="81" t="s">
        <v>24</v>
      </c>
      <c r="C33" s="8"/>
      <c r="D33" s="8"/>
      <c r="E33" s="8">
        <v>4036</v>
      </c>
      <c r="F33" s="9">
        <v>0</v>
      </c>
      <c r="G33" s="31">
        <f>SUM(C33:F33)</f>
        <v>4036</v>
      </c>
      <c r="H33" s="8">
        <v>0</v>
      </c>
      <c r="I33" s="150">
        <f>SUM(G33:H33)</f>
        <v>4036</v>
      </c>
      <c r="J33" s="151"/>
    </row>
    <row r="34" spans="1:10" ht="19.5" customHeight="1">
      <c r="A34" s="195" t="s">
        <v>66</v>
      </c>
      <c r="B34" s="196"/>
      <c r="C34" s="51">
        <f t="shared" ref="C34:H34" si="0">SUM(C31:C33)</f>
        <v>0</v>
      </c>
      <c r="D34" s="51">
        <f t="shared" si="0"/>
        <v>0</v>
      </c>
      <c r="E34" s="51">
        <f t="shared" si="0"/>
        <v>7315</v>
      </c>
      <c r="F34" s="51">
        <f t="shared" si="0"/>
        <v>1386</v>
      </c>
      <c r="G34" s="51">
        <f t="shared" si="0"/>
        <v>8701</v>
      </c>
      <c r="H34" s="52">
        <f t="shared" si="0"/>
        <v>2772</v>
      </c>
      <c r="I34" s="191">
        <f>SUM(I31:J33)</f>
        <v>11473</v>
      </c>
      <c r="J34" s="192"/>
    </row>
    <row r="35" spans="1:10" ht="19.5" customHeight="1">
      <c r="A35" s="193" t="s">
        <v>62</v>
      </c>
      <c r="B35" s="81" t="s">
        <v>63</v>
      </c>
      <c r="C35" s="8"/>
      <c r="D35" s="8"/>
      <c r="E35" s="8"/>
      <c r="F35" s="9"/>
      <c r="G35" s="31">
        <f>SUM(C35:F35)</f>
        <v>0</v>
      </c>
      <c r="H35" s="8"/>
      <c r="I35" s="150">
        <f>SUM(G35:H35)</f>
        <v>0</v>
      </c>
      <c r="J35" s="151"/>
    </row>
    <row r="36" spans="1:10" ht="19.5" customHeight="1">
      <c r="A36" s="194"/>
      <c r="B36" s="81" t="s">
        <v>64</v>
      </c>
      <c r="C36" s="8"/>
      <c r="D36" s="8"/>
      <c r="E36" s="8"/>
      <c r="F36" s="9"/>
      <c r="G36" s="31">
        <f>SUM(C36:F36)</f>
        <v>0</v>
      </c>
      <c r="H36" s="8"/>
      <c r="I36" s="150">
        <f>SUM(G36:H36)</f>
        <v>0</v>
      </c>
      <c r="J36" s="151"/>
    </row>
    <row r="37" spans="1:10" ht="19.5" customHeight="1">
      <c r="A37" s="152" t="s">
        <v>66</v>
      </c>
      <c r="B37" s="153"/>
      <c r="C37" s="26">
        <f t="shared" ref="C37:H37" si="1">SUM(C35:C36)</f>
        <v>0</v>
      </c>
      <c r="D37" s="26">
        <f t="shared" si="1"/>
        <v>0</v>
      </c>
      <c r="E37" s="26">
        <f t="shared" si="1"/>
        <v>0</v>
      </c>
      <c r="F37" s="26">
        <f t="shared" si="1"/>
        <v>0</v>
      </c>
      <c r="G37" s="26">
        <f t="shared" si="1"/>
        <v>0</v>
      </c>
      <c r="H37" s="50">
        <f t="shared" si="1"/>
        <v>0</v>
      </c>
      <c r="I37" s="189">
        <f>SUM(I35:J36)</f>
        <v>0</v>
      </c>
      <c r="J37" s="190"/>
    </row>
    <row r="38" spans="1:10" ht="19.5" customHeight="1">
      <c r="A38" s="152" t="s">
        <v>67</v>
      </c>
      <c r="B38" s="153"/>
      <c r="C38" s="26">
        <f t="shared" ref="C38:I38" si="2">C34+C37</f>
        <v>0</v>
      </c>
      <c r="D38" s="26">
        <f t="shared" si="2"/>
        <v>0</v>
      </c>
      <c r="E38" s="26">
        <f t="shared" si="2"/>
        <v>7315</v>
      </c>
      <c r="F38" s="26">
        <f t="shared" si="2"/>
        <v>1386</v>
      </c>
      <c r="G38" s="26">
        <f t="shared" si="2"/>
        <v>8701</v>
      </c>
      <c r="H38" s="50">
        <f t="shared" si="2"/>
        <v>2772</v>
      </c>
      <c r="I38" s="189">
        <f t="shared" si="2"/>
        <v>11473</v>
      </c>
      <c r="J38" s="190"/>
    </row>
  </sheetData>
  <mergeCells count="55">
    <mergeCell ref="A1:J1"/>
    <mergeCell ref="A3:B3"/>
    <mergeCell ref="C3:J3"/>
    <mergeCell ref="A4:B8"/>
    <mergeCell ref="D5:J5"/>
    <mergeCell ref="D6:J6"/>
    <mergeCell ref="D7:J7"/>
    <mergeCell ref="D8:J8"/>
    <mergeCell ref="A9:B15"/>
    <mergeCell ref="C9:J15"/>
    <mergeCell ref="A16:B18"/>
    <mergeCell ref="C16:C18"/>
    <mergeCell ref="D16:F18"/>
    <mergeCell ref="G16:G18"/>
    <mergeCell ref="H16:J18"/>
    <mergeCell ref="A26:B26"/>
    <mergeCell ref="D26:H26"/>
    <mergeCell ref="A19:B22"/>
    <mergeCell ref="D19:J19"/>
    <mergeCell ref="D20:J20"/>
    <mergeCell ref="D22:J22"/>
    <mergeCell ref="A23:B23"/>
    <mergeCell ref="D23:F23"/>
    <mergeCell ref="H23:J23"/>
    <mergeCell ref="A24:B25"/>
    <mergeCell ref="D24:E24"/>
    <mergeCell ref="G24:H24"/>
    <mergeCell ref="D25:E25"/>
    <mergeCell ref="G25:H25"/>
    <mergeCell ref="A27:B27"/>
    <mergeCell ref="D27:J27"/>
    <mergeCell ref="A28:B29"/>
    <mergeCell ref="C28:C29"/>
    <mergeCell ref="D28:D29"/>
    <mergeCell ref="E28:E29"/>
    <mergeCell ref="F28:F29"/>
    <mergeCell ref="G28:G29"/>
    <mergeCell ref="H28:I28"/>
    <mergeCell ref="H29:I29"/>
    <mergeCell ref="A38:B38"/>
    <mergeCell ref="I38:J38"/>
    <mergeCell ref="D4:J4"/>
    <mergeCell ref="A34:B34"/>
    <mergeCell ref="I34:J34"/>
    <mergeCell ref="A35:A36"/>
    <mergeCell ref="I35:J35"/>
    <mergeCell ref="I36:J36"/>
    <mergeCell ref="A37:B37"/>
    <mergeCell ref="I37:J37"/>
    <mergeCell ref="A30:B30"/>
    <mergeCell ref="I30:J30"/>
    <mergeCell ref="A31:A33"/>
    <mergeCell ref="I31:J31"/>
    <mergeCell ref="I32:J32"/>
    <mergeCell ref="I33:J33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63" fitToHeight="0" orientation="portrait" r:id="rId1"/>
  <headerFooter alignWithMargins="0">
    <oddFooter>&amp;C&amp;"굴림,보통"&amp;8 1/7</oddFooter>
  </headerFooter>
  <ignoredErrors>
    <ignoredError sqref="I34 G34" 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Fill="0" autoLine="0" autoPict="0">
                <anchor moveWithCells="1">
                  <from>
                    <xdr:col>2</xdr:col>
                    <xdr:colOff>933450</xdr:colOff>
                    <xdr:row>18</xdr:row>
                    <xdr:rowOff>31750</xdr:rowOff>
                  </from>
                  <to>
                    <xdr:col>3</xdr:col>
                    <xdr:colOff>666750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Fill="0" autoLine="0" autoPict="0">
                <anchor moveWithCells="1">
                  <from>
                    <xdr:col>4</xdr:col>
                    <xdr:colOff>31750</xdr:colOff>
                    <xdr:row>18</xdr:row>
                    <xdr:rowOff>31750</xdr:rowOff>
                  </from>
                  <to>
                    <xdr:col>4</xdr:col>
                    <xdr:colOff>762000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Fill="0" autoLine="0" autoPict="0">
                <anchor moveWithCells="1">
                  <from>
                    <xdr:col>4</xdr:col>
                    <xdr:colOff>812800</xdr:colOff>
                    <xdr:row>18</xdr:row>
                    <xdr:rowOff>31750</xdr:rowOff>
                  </from>
                  <to>
                    <xdr:col>5</xdr:col>
                    <xdr:colOff>323850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Fill="0" autoLine="0" autoPict="0">
                <anchor moveWithCells="1">
                  <from>
                    <xdr:col>6</xdr:col>
                    <xdr:colOff>19050</xdr:colOff>
                    <xdr:row>18</xdr:row>
                    <xdr:rowOff>31750</xdr:rowOff>
                  </from>
                  <to>
                    <xdr:col>6</xdr:col>
                    <xdr:colOff>698500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Fill="0" autoLine="0" autoPict="0">
                <anchor moveWithCells="1">
                  <from>
                    <xdr:col>6</xdr:col>
                    <xdr:colOff>812800</xdr:colOff>
                    <xdr:row>18</xdr:row>
                    <xdr:rowOff>31750</xdr:rowOff>
                  </from>
                  <to>
                    <xdr:col>7</xdr:col>
                    <xdr:colOff>546100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Fill="0" autoLine="0" autoPict="0">
                <anchor moveWithCells="1">
                  <from>
                    <xdr:col>7</xdr:col>
                    <xdr:colOff>717550</xdr:colOff>
                    <xdr:row>18</xdr:row>
                    <xdr:rowOff>31750</xdr:rowOff>
                  </from>
                  <to>
                    <xdr:col>7</xdr:col>
                    <xdr:colOff>1009650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Fill="0" autoLine="0" autoPict="0" altText="신규 개발">
                <anchor moveWithCells="1">
                  <from>
                    <xdr:col>2</xdr:col>
                    <xdr:colOff>889000</xdr:colOff>
                    <xdr:row>19</xdr:row>
                    <xdr:rowOff>12700</xdr:rowOff>
                  </from>
                  <to>
                    <xdr:col>3</xdr:col>
                    <xdr:colOff>774700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Fill="0" autoLine="0" autoPict="0">
                <anchor moveWithCells="1">
                  <from>
                    <xdr:col>4</xdr:col>
                    <xdr:colOff>88900</xdr:colOff>
                    <xdr:row>19</xdr:row>
                    <xdr:rowOff>12700</xdr:rowOff>
                  </from>
                  <to>
                    <xdr:col>5</xdr:col>
                    <xdr:colOff>374650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Fill="0" autoLine="0" autoPict="0">
                <anchor moveWithCells="1">
                  <from>
                    <xdr:col>6</xdr:col>
                    <xdr:colOff>527050</xdr:colOff>
                    <xdr:row>19</xdr:row>
                    <xdr:rowOff>19050</xdr:rowOff>
                  </from>
                  <to>
                    <xdr:col>7</xdr:col>
                    <xdr:colOff>584200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Fill="0" autoLine="0" autoPict="0">
                <anchor moveWithCells="1">
                  <from>
                    <xdr:col>5</xdr:col>
                    <xdr:colOff>171450</xdr:colOff>
                    <xdr:row>19</xdr:row>
                    <xdr:rowOff>19050</xdr:rowOff>
                  </from>
                  <to>
                    <xdr:col>6</xdr:col>
                    <xdr:colOff>361950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Fill="0" autoLine="0" autoPict="0">
                <anchor moveWithCells="1">
                  <from>
                    <xdr:col>3</xdr:col>
                    <xdr:colOff>0</xdr:colOff>
                    <xdr:row>21</xdr:row>
                    <xdr:rowOff>19050</xdr:rowOff>
                  </from>
                  <to>
                    <xdr:col>3</xdr:col>
                    <xdr:colOff>685800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Fill="0" autoLine="0" autoPict="0">
                <anchor moveWithCells="1">
                  <from>
                    <xdr:col>4</xdr:col>
                    <xdr:colOff>31750</xdr:colOff>
                    <xdr:row>21</xdr:row>
                    <xdr:rowOff>19050</xdr:rowOff>
                  </from>
                  <to>
                    <xdr:col>4</xdr:col>
                    <xdr:colOff>704850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Fill="0" autoLine="0" autoPict="0">
                <anchor moveWithCells="1">
                  <from>
                    <xdr:col>5</xdr:col>
                    <xdr:colOff>19050</xdr:colOff>
                    <xdr:row>21</xdr:row>
                    <xdr:rowOff>12700</xdr:rowOff>
                  </from>
                  <to>
                    <xdr:col>5</xdr:col>
                    <xdr:colOff>736600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6" r:id="rId17" name="Check Box 14">
              <controlPr defaultSize="0" autoFill="0" autoLine="0" autoPict="0">
                <anchor moveWithCells="1">
                  <from>
                    <xdr:col>6</xdr:col>
                    <xdr:colOff>12700</xdr:colOff>
                    <xdr:row>21</xdr:row>
                    <xdr:rowOff>19050</xdr:rowOff>
                  </from>
                  <to>
                    <xdr:col>7</xdr:col>
                    <xdr:colOff>450850</xdr:colOff>
                    <xdr:row>21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7" r:id="rId18" name="Check Box 15">
              <controlPr defaultSize="0" autoFill="0" autoLine="0" autoPict="0">
                <anchor moveWithCells="1">
                  <from>
                    <xdr:col>3</xdr:col>
                    <xdr:colOff>0</xdr:colOff>
                    <xdr:row>26</xdr:row>
                    <xdr:rowOff>19050</xdr:rowOff>
                  </from>
                  <to>
                    <xdr:col>4</xdr:col>
                    <xdr:colOff>285750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8" r:id="rId19" name="Check Box 16">
              <controlPr defaultSize="0" autoFill="0" autoLine="0" autoPict="0">
                <anchor moveWithCells="1">
                  <from>
                    <xdr:col>4</xdr:col>
                    <xdr:colOff>469900</xdr:colOff>
                    <xdr:row>26</xdr:row>
                    <xdr:rowOff>19050</xdr:rowOff>
                  </from>
                  <to>
                    <xdr:col>9</xdr:col>
                    <xdr:colOff>57150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9" r:id="rId20" name="Check Box 17">
              <controlPr defaultSize="0" autoFill="0" autoLine="0" autoPict="0">
                <anchor moveWithCells="1">
                  <from>
                    <xdr:col>7</xdr:col>
                    <xdr:colOff>209550</xdr:colOff>
                    <xdr:row>26</xdr:row>
                    <xdr:rowOff>19050</xdr:rowOff>
                  </from>
                  <to>
                    <xdr:col>7</xdr:col>
                    <xdr:colOff>552450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0" r:id="rId21" name="Check Box 18">
              <controlPr defaultSize="0" autoFill="0" autoLine="0" autoPict="0">
                <anchor moveWithCells="1" sizeWithCells="1">
                  <from>
                    <xdr:col>2</xdr:col>
                    <xdr:colOff>889000</xdr:colOff>
                    <xdr:row>20</xdr:row>
                    <xdr:rowOff>19050</xdr:rowOff>
                  </from>
                  <to>
                    <xdr:col>3</xdr:col>
                    <xdr:colOff>742950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1" r:id="rId22" name="Check Box 19">
              <controlPr defaultSize="0" autoFill="0" autoLine="0" autoPict="0">
                <anchor moveWithCells="1" sizeWithCells="1">
                  <from>
                    <xdr:col>4</xdr:col>
                    <xdr:colOff>88900</xdr:colOff>
                    <xdr:row>20</xdr:row>
                    <xdr:rowOff>19050</xdr:rowOff>
                  </from>
                  <to>
                    <xdr:col>4</xdr:col>
                    <xdr:colOff>584200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2" r:id="rId23" name="Check Box 20">
              <controlPr defaultSize="0" autoFill="0" autoLine="0" autoPict="0">
                <anchor moveWithCells="1" sizeWithCells="1">
                  <from>
                    <xdr:col>4</xdr:col>
                    <xdr:colOff>819150</xdr:colOff>
                    <xdr:row>20</xdr:row>
                    <xdr:rowOff>19050</xdr:rowOff>
                  </from>
                  <to>
                    <xdr:col>5</xdr:col>
                    <xdr:colOff>552450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3" r:id="rId24" name="Check Box 21">
              <controlPr defaultSize="0" autoFill="0" autoLine="0" autoPict="0">
                <anchor moveWithCells="1" sizeWithCells="1">
                  <from>
                    <xdr:col>6</xdr:col>
                    <xdr:colOff>19050</xdr:colOff>
                    <xdr:row>20</xdr:row>
                    <xdr:rowOff>31750</xdr:rowOff>
                  </from>
                  <to>
                    <xdr:col>7</xdr:col>
                    <xdr:colOff>133350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4" r:id="rId25" name="Check Box 22">
              <controlPr defaultSize="0" autoFill="0" autoLine="0" autoPict="0">
                <anchor moveWithCells="1">
                  <from>
                    <xdr:col>3</xdr:col>
                    <xdr:colOff>400050</xdr:colOff>
                    <xdr:row>22</xdr:row>
                    <xdr:rowOff>19050</xdr:rowOff>
                  </from>
                  <to>
                    <xdr:col>4</xdr:col>
                    <xdr:colOff>203200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5" r:id="rId26" name="Check Box 23">
              <controlPr defaultSize="0" autoFill="0" autoLine="0" autoPict="0">
                <anchor moveWithCells="1">
                  <from>
                    <xdr:col>4</xdr:col>
                    <xdr:colOff>584200</xdr:colOff>
                    <xdr:row>22</xdr:row>
                    <xdr:rowOff>19050</xdr:rowOff>
                  </from>
                  <to>
                    <xdr:col>5</xdr:col>
                    <xdr:colOff>361950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6" r:id="rId27" name="Check Box 24">
              <controlPr defaultSize="0" autoFill="0" autoLine="0" autoPict="0">
                <anchor moveWithCells="1">
                  <from>
                    <xdr:col>7</xdr:col>
                    <xdr:colOff>12700</xdr:colOff>
                    <xdr:row>22</xdr:row>
                    <xdr:rowOff>19050</xdr:rowOff>
                  </from>
                  <to>
                    <xdr:col>7</xdr:col>
                    <xdr:colOff>927100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7" r:id="rId28" name="Check Box 25">
              <controlPr defaultSize="0" autoFill="0" autoLine="0" autoPict="0">
                <anchor moveWithCells="1">
                  <from>
                    <xdr:col>8</xdr:col>
                    <xdr:colOff>12700</xdr:colOff>
                    <xdr:row>22</xdr:row>
                    <xdr:rowOff>19050</xdr:rowOff>
                  </from>
                  <to>
                    <xdr:col>8</xdr:col>
                    <xdr:colOff>838200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8" r:id="rId29" name="Check Box 26">
              <controlPr defaultSize="0" autoFill="0" autoLine="0" autoPict="0">
                <anchor moveWithCells="1" sizeWithCells="1">
                  <from>
                    <xdr:col>7</xdr:col>
                    <xdr:colOff>0</xdr:colOff>
                    <xdr:row>20</xdr:row>
                    <xdr:rowOff>31750</xdr:rowOff>
                  </from>
                  <to>
                    <xdr:col>8</xdr:col>
                    <xdr:colOff>209550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39" r:id="rId30" name="Check Box 27">
              <controlPr defaultSize="0" autoFill="0" autoLine="0" autoPict="0">
                <anchor moveWithCells="1" sizeWithCells="1">
                  <from>
                    <xdr:col>8</xdr:col>
                    <xdr:colOff>57150</xdr:colOff>
                    <xdr:row>20</xdr:row>
                    <xdr:rowOff>31750</xdr:rowOff>
                  </from>
                  <to>
                    <xdr:col>9</xdr:col>
                    <xdr:colOff>266700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0" r:id="rId31" name="Check Box 28">
              <controlPr defaultSize="0" autoFill="0" autoLine="0" autoPict="0">
                <anchor moveWithCells="1" sizeWithCells="1">
                  <from>
                    <xdr:col>9</xdr:col>
                    <xdr:colOff>50800</xdr:colOff>
                    <xdr:row>20</xdr:row>
                    <xdr:rowOff>19050</xdr:rowOff>
                  </from>
                  <to>
                    <xdr:col>10</xdr:col>
                    <xdr:colOff>165100</xdr:colOff>
                    <xdr:row>20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1" r:id="rId32" name="Check Box 29">
              <controlPr defaultSize="0" autoFill="0" autoLine="0" autoPict="0">
                <anchor moveWithCells="1">
                  <from>
                    <xdr:col>8</xdr:col>
                    <xdr:colOff>514350</xdr:colOff>
                    <xdr:row>19</xdr:row>
                    <xdr:rowOff>19050</xdr:rowOff>
                  </from>
                  <to>
                    <xdr:col>9</xdr:col>
                    <xdr:colOff>736600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2" r:id="rId33" name="Check Box 30">
              <controlPr defaultSize="0" autoFill="0" autoLine="0" autoPict="0">
                <anchor moveWithCells="1">
                  <from>
                    <xdr:col>8</xdr:col>
                    <xdr:colOff>508000</xdr:colOff>
                    <xdr:row>18</xdr:row>
                    <xdr:rowOff>31750</xdr:rowOff>
                  </from>
                  <to>
                    <xdr:col>9</xdr:col>
                    <xdr:colOff>704850</xdr:colOff>
                    <xdr:row>18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3" r:id="rId34" name="Check Box 31">
              <controlPr defaultSize="0" autoFill="0" autoLine="0" autoPict="0">
                <anchor moveWithCells="1">
                  <from>
                    <xdr:col>3</xdr:col>
                    <xdr:colOff>0</xdr:colOff>
                    <xdr:row>25</xdr:row>
                    <xdr:rowOff>19050</xdr:rowOff>
                  </from>
                  <to>
                    <xdr:col>4</xdr:col>
                    <xdr:colOff>438150</xdr:colOff>
                    <xdr:row>25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4" r:id="rId35" name="Check Box 32">
              <controlPr defaultSize="0" autoFill="0" autoLine="0" autoPict="0">
                <anchor moveWithCells="1">
                  <from>
                    <xdr:col>4</xdr:col>
                    <xdr:colOff>469900</xdr:colOff>
                    <xdr:row>25</xdr:row>
                    <xdr:rowOff>31750</xdr:rowOff>
                  </from>
                  <to>
                    <xdr:col>5</xdr:col>
                    <xdr:colOff>476250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5" r:id="rId36" name="Check Box 33">
              <controlPr defaultSize="0" autoFill="0" autoLine="0" autoPict="0">
                <anchor moveWithCells="1">
                  <from>
                    <xdr:col>5</xdr:col>
                    <xdr:colOff>717550</xdr:colOff>
                    <xdr:row>25</xdr:row>
                    <xdr:rowOff>31750</xdr:rowOff>
                  </from>
                  <to>
                    <xdr:col>7</xdr:col>
                    <xdr:colOff>298450</xdr:colOff>
                    <xdr:row>25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6" r:id="rId37" name="Check Box 34">
              <controlPr defaultSize="0" autoFill="0" autoLine="0" autoPict="0">
                <anchor moveWithCells="1">
                  <from>
                    <xdr:col>9</xdr:col>
                    <xdr:colOff>57150</xdr:colOff>
                    <xdr:row>22</xdr:row>
                    <xdr:rowOff>12700</xdr:rowOff>
                  </from>
                  <to>
                    <xdr:col>9</xdr:col>
                    <xdr:colOff>895350</xdr:colOff>
                    <xdr:row>22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7" r:id="rId38" name="Check Box 35">
              <controlPr defaultSize="0" autoFill="0" autoLine="0" autoPict="0">
                <anchor moveWithCells="1">
                  <from>
                    <xdr:col>7</xdr:col>
                    <xdr:colOff>552450</xdr:colOff>
                    <xdr:row>19</xdr:row>
                    <xdr:rowOff>19050</xdr:rowOff>
                  </from>
                  <to>
                    <xdr:col>8</xdr:col>
                    <xdr:colOff>514350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8" r:id="rId39" name="Check Box 36">
              <controlPr defaultSize="0" autoFill="0" autoLine="0" autoPict="0">
                <anchor moveWithCells="1">
                  <from>
                    <xdr:col>7</xdr:col>
                    <xdr:colOff>660400</xdr:colOff>
                    <xdr:row>26</xdr:row>
                    <xdr:rowOff>19050</xdr:rowOff>
                  </from>
                  <to>
                    <xdr:col>7</xdr:col>
                    <xdr:colOff>1009650</xdr:colOff>
                    <xdr:row>26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49" r:id="rId40" name="Check Box 37">
              <controlPr defaultSize="0" autoFill="0" autoLine="0" autoPict="0">
                <anchor moveWithCells="1">
                  <from>
                    <xdr:col>8</xdr:col>
                    <xdr:colOff>323850</xdr:colOff>
                    <xdr:row>26</xdr:row>
                    <xdr:rowOff>19050</xdr:rowOff>
                  </from>
                  <to>
                    <xdr:col>8</xdr:col>
                    <xdr:colOff>812800</xdr:colOff>
                    <xdr:row>26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1E685-C630-4ADB-B377-EDECBCFE5ED1}">
  <sheetPr>
    <tabColor theme="4"/>
    <pageSetUpPr fitToPage="1"/>
  </sheetPr>
  <dimension ref="A1:O26"/>
  <sheetViews>
    <sheetView tabSelected="1" view="pageBreakPreview" zoomScale="85" zoomScaleNormal="100" zoomScaleSheetLayoutView="85" workbookViewId="0">
      <selection activeCell="N17" sqref="N17"/>
    </sheetView>
  </sheetViews>
  <sheetFormatPr defaultColWidth="8.9140625" defaultRowHeight="13"/>
  <cols>
    <col min="1" max="1" width="16" style="71" customWidth="1"/>
    <col min="2" max="2" width="10.4140625" style="71" customWidth="1"/>
    <col min="3" max="3" width="14.08203125" style="71" customWidth="1"/>
    <col min="4" max="4" width="39.9140625" style="71" customWidth="1"/>
    <col min="5" max="6" width="12.75" style="71" customWidth="1"/>
    <col min="7" max="7" width="6.4140625" style="71" customWidth="1"/>
    <col min="8" max="8" width="15.75" style="71" customWidth="1"/>
    <col min="9" max="9" width="24.6640625" style="71" bestFit="1" customWidth="1"/>
    <col min="10" max="11" width="12.75" style="71" customWidth="1"/>
    <col min="12" max="12" width="23.08203125" style="71" bestFit="1" customWidth="1"/>
    <col min="13" max="14" width="18.9140625" style="71" customWidth="1"/>
    <col min="15" max="15" width="15.83203125" style="71" bestFit="1" customWidth="1"/>
    <col min="16" max="16384" width="8.9140625" style="71"/>
  </cols>
  <sheetData>
    <row r="1" spans="1:15" ht="30" customHeight="1">
      <c r="A1" s="231" t="s">
        <v>58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</row>
    <row r="2" spans="1:15" ht="30" customHeight="1">
      <c r="A2" s="99"/>
      <c r="B2" s="99"/>
      <c r="C2" s="99"/>
      <c r="D2" s="99"/>
      <c r="E2" s="99"/>
      <c r="F2" s="99"/>
      <c r="G2" s="99"/>
      <c r="H2" s="99"/>
      <c r="I2" s="100" t="s">
        <v>142</v>
      </c>
      <c r="J2" s="101" t="s">
        <v>70</v>
      </c>
      <c r="K2" s="100" t="s">
        <v>57</v>
      </c>
      <c r="L2" s="101" t="s">
        <v>71</v>
      </c>
    </row>
    <row r="3" spans="1:15" ht="31.5" customHeight="1">
      <c r="A3" s="232" t="s">
        <v>6</v>
      </c>
      <c r="B3" s="245" t="s">
        <v>12</v>
      </c>
      <c r="C3" s="245"/>
      <c r="D3" s="115" t="s">
        <v>3</v>
      </c>
      <c r="E3" s="83" t="s">
        <v>4</v>
      </c>
      <c r="F3" s="246" t="s">
        <v>5</v>
      </c>
      <c r="G3" s="247"/>
      <c r="H3" s="247"/>
      <c r="I3" s="247"/>
      <c r="J3" s="247"/>
      <c r="K3" s="248"/>
      <c r="L3" s="83" t="s">
        <v>28</v>
      </c>
    </row>
    <row r="4" spans="1:15" ht="26.25" customHeight="1">
      <c r="A4" s="233"/>
      <c r="B4" s="245"/>
      <c r="C4" s="245"/>
      <c r="D4" s="116" t="s">
        <v>109</v>
      </c>
      <c r="E4" s="84" t="s">
        <v>110</v>
      </c>
      <c r="F4" s="242" t="s">
        <v>136</v>
      </c>
      <c r="G4" s="243"/>
      <c r="H4" s="243"/>
      <c r="I4" s="243"/>
      <c r="J4" s="243"/>
      <c r="K4" s="244"/>
      <c r="L4" s="263" t="s">
        <v>141</v>
      </c>
    </row>
    <row r="5" spans="1:15" s="126" customFormat="1" ht="26.25" customHeight="1">
      <c r="A5" s="233"/>
      <c r="B5" s="245"/>
      <c r="C5" s="245"/>
      <c r="D5" s="131" t="s">
        <v>139</v>
      </c>
      <c r="E5" s="127" t="s">
        <v>110</v>
      </c>
      <c r="F5" s="242" t="s">
        <v>140</v>
      </c>
      <c r="G5" s="243"/>
      <c r="H5" s="243"/>
      <c r="I5" s="243"/>
      <c r="J5" s="243"/>
      <c r="K5" s="244"/>
      <c r="L5" s="264"/>
    </row>
    <row r="6" spans="1:15" ht="26.25" customHeight="1">
      <c r="A6" s="233"/>
      <c r="B6" s="245"/>
      <c r="C6" s="245"/>
      <c r="D6" s="131" t="s">
        <v>112</v>
      </c>
      <c r="E6" s="127" t="s">
        <v>111</v>
      </c>
      <c r="F6" s="242" t="s">
        <v>137</v>
      </c>
      <c r="G6" s="243"/>
      <c r="H6" s="243"/>
      <c r="I6" s="243"/>
      <c r="J6" s="243"/>
      <c r="K6" s="244"/>
      <c r="L6" s="264"/>
    </row>
    <row r="7" spans="1:15" ht="26.25" customHeight="1">
      <c r="A7" s="233"/>
      <c r="B7" s="245"/>
      <c r="C7" s="245"/>
      <c r="D7" s="131" t="s">
        <v>135</v>
      </c>
      <c r="E7" s="127" t="s">
        <v>111</v>
      </c>
      <c r="F7" s="242" t="s">
        <v>138</v>
      </c>
      <c r="G7" s="243"/>
      <c r="H7" s="243"/>
      <c r="I7" s="243"/>
      <c r="J7" s="243"/>
      <c r="K7" s="244"/>
      <c r="L7" s="265"/>
    </row>
    <row r="8" spans="1:15" ht="31.5" customHeight="1">
      <c r="A8" s="233"/>
      <c r="B8" s="245" t="s">
        <v>7</v>
      </c>
      <c r="C8" s="245"/>
      <c r="D8" s="237"/>
      <c r="E8" s="237"/>
      <c r="F8" s="238"/>
      <c r="G8" s="238"/>
      <c r="H8" s="238"/>
      <c r="I8" s="238"/>
      <c r="J8" s="238"/>
      <c r="K8" s="238"/>
      <c r="L8" s="239"/>
    </row>
    <row r="9" spans="1:15" ht="31.5" customHeight="1">
      <c r="A9" s="234"/>
      <c r="B9" s="245" t="s">
        <v>8</v>
      </c>
      <c r="C9" s="245"/>
      <c r="D9" s="240"/>
      <c r="E9" s="240"/>
      <c r="F9" s="240"/>
      <c r="G9" s="240"/>
      <c r="H9" s="240"/>
      <c r="I9" s="240"/>
      <c r="J9" s="240"/>
      <c r="K9" s="240"/>
      <c r="L9" s="241"/>
    </row>
    <row r="10" spans="1:15" ht="31.5" customHeight="1">
      <c r="A10" s="197" t="s">
        <v>11</v>
      </c>
      <c r="B10" s="260" t="s">
        <v>65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2"/>
    </row>
    <row r="11" spans="1:15" ht="44.25" customHeight="1">
      <c r="A11" s="197"/>
      <c r="B11" s="257" t="s">
        <v>34</v>
      </c>
      <c r="C11" s="258"/>
      <c r="D11" s="124" t="s">
        <v>29</v>
      </c>
      <c r="E11" s="124" t="s">
        <v>30</v>
      </c>
      <c r="F11" s="124" t="s">
        <v>45</v>
      </c>
      <c r="G11" s="124" t="s">
        <v>31</v>
      </c>
      <c r="H11" s="124" t="s">
        <v>52</v>
      </c>
      <c r="I11" s="124" t="s">
        <v>32</v>
      </c>
      <c r="J11" s="124" t="s">
        <v>33</v>
      </c>
      <c r="K11" s="124" t="s">
        <v>27</v>
      </c>
      <c r="L11" s="125" t="s">
        <v>50</v>
      </c>
    </row>
    <row r="12" spans="1:15" ht="44.25" customHeight="1">
      <c r="A12" s="197"/>
      <c r="B12" s="254" t="s">
        <v>61</v>
      </c>
      <c r="C12" s="235" t="s">
        <v>22</v>
      </c>
      <c r="D12" s="132" t="s" ph="1">
        <v>128</v>
      </c>
      <c r="E12" s="88" t="s">
        <v>100</v>
      </c>
      <c r="F12" s="117" t="s">
        <v>100</v>
      </c>
      <c r="G12" s="88" t="s">
        <v>101</v>
      </c>
      <c r="H12" s="136">
        <v>4079460000</v>
      </c>
      <c r="I12" s="88" t="s">
        <v>129</v>
      </c>
      <c r="J12" s="88" t="s">
        <v>100</v>
      </c>
      <c r="K12" s="88" t="s">
        <v>100</v>
      </c>
      <c r="L12" s="89" t="s">
        <v>100</v>
      </c>
      <c r="M12" s="266">
        <f>H12/2</f>
        <v>2039730000</v>
      </c>
    </row>
    <row r="13" spans="1:15" s="126" customFormat="1" ht="44.25" customHeight="1">
      <c r="A13" s="197"/>
      <c r="B13" s="255"/>
      <c r="C13" s="236"/>
      <c r="D13" s="133" t="s" ph="1">
        <v>126</v>
      </c>
      <c r="E13" s="128" t="s">
        <v>100</v>
      </c>
      <c r="F13" s="128" t="s">
        <v>100</v>
      </c>
      <c r="G13" s="128" t="s">
        <v>101</v>
      </c>
      <c r="H13" s="137">
        <v>11010000</v>
      </c>
      <c r="I13" s="128" t="s">
        <v>118</v>
      </c>
      <c r="J13" s="128" t="s">
        <v>100</v>
      </c>
      <c r="K13" s="128" t="s">
        <v>100</v>
      </c>
      <c r="L13" s="129" t="s">
        <v>100</v>
      </c>
      <c r="M13" s="266">
        <f>H13/2</f>
        <v>5505000</v>
      </c>
      <c r="N13" s="266">
        <f>M12+M13</f>
        <v>2045235000</v>
      </c>
      <c r="O13" s="268">
        <f>N13*0.7</f>
        <v>1431664500</v>
      </c>
    </row>
    <row r="14" spans="1:15" s="126" customFormat="1" ht="44.25" customHeight="1">
      <c r="A14" s="197"/>
      <c r="B14" s="255"/>
      <c r="C14" s="236"/>
      <c r="D14" s="134" t="s">
        <v>119</v>
      </c>
      <c r="E14" s="128" t="s">
        <v>100</v>
      </c>
      <c r="F14" s="128" t="s">
        <v>100</v>
      </c>
      <c r="G14" s="128" t="s">
        <v>101</v>
      </c>
      <c r="H14" s="137">
        <v>969956300</v>
      </c>
      <c r="I14" s="128" t="s">
        <v>120</v>
      </c>
      <c r="J14" s="128" t="s">
        <v>100</v>
      </c>
      <c r="K14" s="128" t="s">
        <v>100</v>
      </c>
      <c r="L14" s="129" t="s">
        <v>100</v>
      </c>
      <c r="M14" s="266">
        <f>H14/2</f>
        <v>484978150</v>
      </c>
      <c r="N14" s="268">
        <f>M14*0.7</f>
        <v>339484705</v>
      </c>
    </row>
    <row r="15" spans="1:15" s="126" customFormat="1" ht="44.25" customHeight="1">
      <c r="A15" s="197"/>
      <c r="B15" s="255"/>
      <c r="C15" s="236"/>
      <c r="D15" s="134" t="s">
        <v>121</v>
      </c>
      <c r="E15" s="128" t="s">
        <v>100</v>
      </c>
      <c r="F15" s="128" t="s">
        <v>100</v>
      </c>
      <c r="G15" s="128" t="s">
        <v>101</v>
      </c>
      <c r="H15" s="137">
        <v>483756500</v>
      </c>
      <c r="I15" s="128" t="s">
        <v>130</v>
      </c>
      <c r="J15" s="128" t="s">
        <v>100</v>
      </c>
      <c r="K15" s="128" t="s">
        <v>100</v>
      </c>
      <c r="L15" s="129" t="s">
        <v>100</v>
      </c>
      <c r="M15" s="266">
        <f>H15/2</f>
        <v>241878250</v>
      </c>
      <c r="N15" s="267">
        <f>M15*0.7</f>
        <v>169314775</v>
      </c>
    </row>
    <row r="16" spans="1:15" ht="44.25" customHeight="1">
      <c r="A16" s="197"/>
      <c r="B16" s="255"/>
      <c r="C16" s="236"/>
      <c r="D16" s="134" t="s">
        <v>122</v>
      </c>
      <c r="E16" s="90" t="s">
        <v>100</v>
      </c>
      <c r="F16" s="90" t="s">
        <v>100</v>
      </c>
      <c r="G16" s="90" t="s">
        <v>101</v>
      </c>
      <c r="H16" s="137"/>
      <c r="I16" s="90" t="s">
        <v>131</v>
      </c>
      <c r="J16" s="90" t="s">
        <v>100</v>
      </c>
      <c r="K16" s="90" t="s">
        <v>100</v>
      </c>
      <c r="L16" s="91" t="s">
        <v>100</v>
      </c>
    </row>
    <row r="17" spans="1:14" ht="44.25" customHeight="1">
      <c r="A17" s="197"/>
      <c r="B17" s="255"/>
      <c r="C17" s="235" t="s">
        <v>23</v>
      </c>
      <c r="D17" s="135" t="s">
        <v>123</v>
      </c>
      <c r="E17" s="96" t="s">
        <v>100</v>
      </c>
      <c r="F17" s="118" t="s">
        <v>100</v>
      </c>
      <c r="G17" s="88" t="s">
        <v>101</v>
      </c>
      <c r="H17" s="138">
        <v>1892283000</v>
      </c>
      <c r="I17" s="96" t="s">
        <v>124</v>
      </c>
      <c r="J17" s="96" t="s">
        <v>100</v>
      </c>
      <c r="K17" s="96" t="s">
        <v>100</v>
      </c>
      <c r="L17" s="103" t="s">
        <v>133</v>
      </c>
      <c r="N17" s="267">
        <f>H17*0.7</f>
        <v>1324598100</v>
      </c>
    </row>
    <row r="18" spans="1:14" ht="44.25" customHeight="1">
      <c r="A18" s="197"/>
      <c r="B18" s="255"/>
      <c r="C18" s="259"/>
      <c r="D18" s="92"/>
      <c r="E18" s="93"/>
      <c r="F18" s="120"/>
      <c r="G18" s="93"/>
      <c r="H18" s="139"/>
      <c r="I18" s="93"/>
      <c r="J18" s="93"/>
      <c r="K18" s="93"/>
      <c r="L18" s="94"/>
    </row>
    <row r="19" spans="1:14" ht="44.25" customHeight="1">
      <c r="A19" s="197"/>
      <c r="B19" s="255"/>
      <c r="C19" s="236" t="s">
        <v>24</v>
      </c>
      <c r="D19" s="135" t="s" ph="1">
        <v>127</v>
      </c>
      <c r="E19" s="96" t="s">
        <v>100</v>
      </c>
      <c r="F19" s="118" t="s">
        <v>100</v>
      </c>
      <c r="G19" s="88" t="s">
        <v>101</v>
      </c>
      <c r="H19" s="138">
        <v>4036206000</v>
      </c>
      <c r="I19" s="96" t="s">
        <v>124</v>
      </c>
      <c r="J19" s="96" t="s">
        <v>100</v>
      </c>
      <c r="K19" s="96" t="s">
        <v>100</v>
      </c>
      <c r="L19" s="97" t="s">
        <v>100</v>
      </c>
      <c r="N19" s="267">
        <f>H19*0.7</f>
        <v>2825344200</v>
      </c>
    </row>
    <row r="20" spans="1:14" ht="44.25" customHeight="1">
      <c r="A20" s="197"/>
      <c r="B20" s="256"/>
      <c r="C20" s="253"/>
      <c r="D20" s="130"/>
      <c r="E20" s="93"/>
      <c r="F20" s="120"/>
      <c r="G20" s="119"/>
      <c r="H20" s="139"/>
      <c r="I20" s="93"/>
      <c r="J20" s="93"/>
      <c r="K20" s="93"/>
      <c r="L20" s="94"/>
    </row>
    <row r="21" spans="1:14" ht="44.25" customHeight="1">
      <c r="A21" s="197"/>
      <c r="B21" s="249" t="s">
        <v>34</v>
      </c>
      <c r="C21" s="250"/>
      <c r="D21" s="102" t="s">
        <v>29</v>
      </c>
      <c r="E21" s="102" t="s">
        <v>30</v>
      </c>
      <c r="F21" s="121" t="s">
        <v>45</v>
      </c>
      <c r="G21" s="123" t="s">
        <v>31</v>
      </c>
      <c r="H21" s="122" t="s">
        <v>69</v>
      </c>
      <c r="I21" s="102" t="s">
        <v>32</v>
      </c>
      <c r="J21" s="102" t="s">
        <v>68</v>
      </c>
      <c r="K21" s="102" t="s">
        <v>27</v>
      </c>
      <c r="L21" s="105" t="s">
        <v>50</v>
      </c>
    </row>
    <row r="22" spans="1:14" ht="43.5" customHeight="1">
      <c r="A22" s="197"/>
      <c r="B22" s="251" t="s">
        <v>62</v>
      </c>
      <c r="C22" s="236" t="s">
        <v>63</v>
      </c>
      <c r="D22" s="95" t="s">
        <v>118</v>
      </c>
      <c r="E22" s="96"/>
      <c r="F22" s="118"/>
      <c r="G22" s="96"/>
      <c r="H22" s="138"/>
      <c r="I22" s="96"/>
      <c r="J22" s="96"/>
      <c r="K22" s="96"/>
      <c r="L22" s="97"/>
    </row>
    <row r="23" spans="1:14" ht="43.5" customHeight="1">
      <c r="A23" s="197"/>
      <c r="B23" s="255"/>
      <c r="C23" s="253"/>
      <c r="D23" s="92" t="s">
        <v>118</v>
      </c>
      <c r="E23" s="93"/>
      <c r="F23" s="93"/>
      <c r="G23" s="93"/>
      <c r="H23" s="139"/>
      <c r="I23" s="93"/>
      <c r="J23" s="93"/>
      <c r="K23" s="93"/>
      <c r="L23" s="94"/>
    </row>
    <row r="24" spans="1:14" ht="43.5" customHeight="1">
      <c r="A24" s="197"/>
      <c r="B24" s="255"/>
      <c r="C24" s="251" t="s">
        <v>64</v>
      </c>
      <c r="D24" s="95" t="s">
        <v>118</v>
      </c>
      <c r="E24" s="96"/>
      <c r="F24" s="118"/>
      <c r="G24" s="96"/>
      <c r="H24" s="138"/>
      <c r="I24" s="96"/>
      <c r="J24" s="96"/>
      <c r="K24" s="96"/>
      <c r="L24" s="97"/>
    </row>
    <row r="25" spans="1:14" ht="43.5" customHeight="1">
      <c r="A25" s="197"/>
      <c r="B25" s="252"/>
      <c r="C25" s="252"/>
      <c r="D25" s="92" t="s">
        <v>118</v>
      </c>
      <c r="E25" s="93"/>
      <c r="F25" s="93"/>
      <c r="G25" s="93"/>
      <c r="H25" s="139"/>
      <c r="I25" s="93"/>
      <c r="J25" s="93"/>
      <c r="K25" s="93"/>
      <c r="L25" s="94"/>
    </row>
    <row r="26" spans="1:14" ht="16.149999999999999" customHeight="1">
      <c r="A26" s="140" t="s">
        <v>134</v>
      </c>
    </row>
  </sheetData>
  <mergeCells count="24">
    <mergeCell ref="A1:L1"/>
    <mergeCell ref="A3:A9"/>
    <mergeCell ref="B3:C7"/>
    <mergeCell ref="F3:K3"/>
    <mergeCell ref="F4:K4"/>
    <mergeCell ref="F6:K6"/>
    <mergeCell ref="F7:K7"/>
    <mergeCell ref="B8:C8"/>
    <mergeCell ref="D8:L8"/>
    <mergeCell ref="B9:C9"/>
    <mergeCell ref="F5:K5"/>
    <mergeCell ref="L4:L7"/>
    <mergeCell ref="D9:L9"/>
    <mergeCell ref="A10:A25"/>
    <mergeCell ref="B10:L10"/>
    <mergeCell ref="B11:C11"/>
    <mergeCell ref="B12:B20"/>
    <mergeCell ref="C12:C16"/>
    <mergeCell ref="C17:C18"/>
    <mergeCell ref="C19:C20"/>
    <mergeCell ref="B21:C21"/>
    <mergeCell ref="B22:B25"/>
    <mergeCell ref="C22:C23"/>
    <mergeCell ref="C24:C25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39" orientation="portrait" r:id="rId1"/>
  <headerFooter alignWithMargins="0">
    <oddFooter>&amp;C&amp;"굴림,보통"&amp;8 2/7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3</xdr:col>
                    <xdr:colOff>95250</xdr:colOff>
                    <xdr:row>7</xdr:row>
                    <xdr:rowOff>0</xdr:rowOff>
                  </from>
                  <to>
                    <xdr:col>3</xdr:col>
                    <xdr:colOff>704850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3</xdr:col>
                    <xdr:colOff>1066800</xdr:colOff>
                    <xdr:row>7</xdr:row>
                    <xdr:rowOff>0</xdr:rowOff>
                  </from>
                  <to>
                    <xdr:col>3</xdr:col>
                    <xdr:colOff>1638300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3</xdr:col>
                    <xdr:colOff>2000250</xdr:colOff>
                    <xdr:row>7</xdr:row>
                    <xdr:rowOff>0</xdr:rowOff>
                  </from>
                  <to>
                    <xdr:col>3</xdr:col>
                    <xdr:colOff>2603500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3</xdr:col>
                    <xdr:colOff>2946400</xdr:colOff>
                    <xdr:row>7</xdr:row>
                    <xdr:rowOff>0</xdr:rowOff>
                  </from>
                  <to>
                    <xdr:col>4</xdr:col>
                    <xdr:colOff>584200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Fill="0" autoLine="0" autoPict="0">
                <anchor moveWithCells="1">
                  <from>
                    <xdr:col>4</xdr:col>
                    <xdr:colOff>889000</xdr:colOff>
                    <xdr:row>7</xdr:row>
                    <xdr:rowOff>0</xdr:rowOff>
                  </from>
                  <to>
                    <xdr:col>5</xdr:col>
                    <xdr:colOff>514350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>
                <anchor moveWithCells="1">
                  <from>
                    <xdr:col>5</xdr:col>
                    <xdr:colOff>946150</xdr:colOff>
                    <xdr:row>7</xdr:row>
                    <xdr:rowOff>0</xdr:rowOff>
                  </from>
                  <to>
                    <xdr:col>7</xdr:col>
                    <xdr:colOff>184150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>
                <anchor moveWithCells="1">
                  <from>
                    <xdr:col>3</xdr:col>
                    <xdr:colOff>95250</xdr:colOff>
                    <xdr:row>8</xdr:row>
                    <xdr:rowOff>38100</xdr:rowOff>
                  </from>
                  <to>
                    <xdr:col>3</xdr:col>
                    <xdr:colOff>666750</xdr:colOff>
                    <xdr:row>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>
                <anchor moveWithCells="1">
                  <from>
                    <xdr:col>3</xdr:col>
                    <xdr:colOff>1066800</xdr:colOff>
                    <xdr:row>8</xdr:row>
                    <xdr:rowOff>38100</xdr:rowOff>
                  </from>
                  <to>
                    <xdr:col>3</xdr:col>
                    <xdr:colOff>1638300</xdr:colOff>
                    <xdr:row>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Check Box 9">
              <controlPr defaultSize="0" autoFill="0" autoLine="0" autoPict="0">
                <anchor moveWithCells="1">
                  <from>
                    <xdr:col>3</xdr:col>
                    <xdr:colOff>2000250</xdr:colOff>
                    <xdr:row>8</xdr:row>
                    <xdr:rowOff>38100</xdr:rowOff>
                  </from>
                  <to>
                    <xdr:col>3</xdr:col>
                    <xdr:colOff>2571750</xdr:colOff>
                    <xdr:row>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Check Box 10">
              <controlPr defaultSize="0" autoFill="0" autoLine="0" autoPict="0">
                <anchor moveWithCells="1">
                  <from>
                    <xdr:col>3</xdr:col>
                    <xdr:colOff>2946400</xdr:colOff>
                    <xdr:row>8</xdr:row>
                    <xdr:rowOff>38100</xdr:rowOff>
                  </from>
                  <to>
                    <xdr:col>4</xdr:col>
                    <xdr:colOff>622300</xdr:colOff>
                    <xdr:row>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Check Box 11">
              <controlPr defaultSize="0" autoFill="0" autoLine="0" autoPict="0">
                <anchor moveWithCells="1">
                  <from>
                    <xdr:col>4</xdr:col>
                    <xdr:colOff>889000</xdr:colOff>
                    <xdr:row>8</xdr:row>
                    <xdr:rowOff>38100</xdr:rowOff>
                  </from>
                  <to>
                    <xdr:col>5</xdr:col>
                    <xdr:colOff>679450</xdr:colOff>
                    <xdr:row>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Check Box 12">
              <controlPr defaultSize="0" autoFill="0" autoLine="0" autoPict="0">
                <anchor moveWithCells="1">
                  <from>
                    <xdr:col>5</xdr:col>
                    <xdr:colOff>946150</xdr:colOff>
                    <xdr:row>8</xdr:row>
                    <xdr:rowOff>38100</xdr:rowOff>
                  </from>
                  <to>
                    <xdr:col>7</xdr:col>
                    <xdr:colOff>361950</xdr:colOff>
                    <xdr:row>8</xdr:row>
                    <xdr:rowOff>374650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CF90-624C-41F3-BBFF-96C307F7D3C5}">
  <sheetPr>
    <tabColor theme="4"/>
    <pageSetUpPr fitToPage="1"/>
  </sheetPr>
  <dimension ref="A1:J32"/>
  <sheetViews>
    <sheetView view="pageBreakPreview" topLeftCell="A7" zoomScaleNormal="100" zoomScaleSheetLayoutView="100" workbookViewId="0">
      <selection activeCell="C14" sqref="C14"/>
    </sheetView>
  </sheetViews>
  <sheetFormatPr defaultColWidth="8.9140625" defaultRowHeight="13"/>
  <cols>
    <col min="1" max="1" width="9.9140625" style="126" customWidth="1"/>
    <col min="2" max="2" width="14.9140625" style="126" customWidth="1"/>
    <col min="3" max="6" width="11.6640625" style="126" customWidth="1"/>
    <col min="7" max="7" width="12.4140625" style="126" customWidth="1"/>
    <col min="8" max="10" width="13.6640625" style="126" customWidth="1"/>
    <col min="11" max="16384" width="8.9140625" style="126"/>
  </cols>
  <sheetData>
    <row r="1" spans="1:10" s="73" customFormat="1" ht="30" customHeight="1">
      <c r="A1" s="201" t="s">
        <v>40</v>
      </c>
      <c r="B1" s="202"/>
      <c r="C1" s="202"/>
      <c r="D1" s="202"/>
      <c r="E1" s="202"/>
      <c r="F1" s="202"/>
      <c r="G1" s="202"/>
      <c r="H1" s="202"/>
      <c r="I1" s="202"/>
      <c r="J1" s="203"/>
    </row>
    <row r="2" spans="1:10" s="73" customFormat="1" ht="17.25" customHeight="1">
      <c r="A2" s="143"/>
      <c r="B2" s="143"/>
      <c r="C2" s="143"/>
      <c r="D2" s="143"/>
      <c r="E2" s="143"/>
      <c r="F2" s="143"/>
      <c r="G2" s="100" t="s">
        <v>56</v>
      </c>
      <c r="H2" s="101" t="s">
        <v>70</v>
      </c>
      <c r="I2" s="100" t="s">
        <v>57</v>
      </c>
      <c r="J2" s="101" t="s">
        <v>71</v>
      </c>
    </row>
    <row r="3" spans="1:10" s="72" customFormat="1" ht="41.25" customHeight="1">
      <c r="A3" s="211" t="s">
        <v>0</v>
      </c>
      <c r="B3" s="212"/>
      <c r="C3" s="154" t="s">
        <v>143</v>
      </c>
      <c r="D3" s="155"/>
      <c r="E3" s="155"/>
      <c r="F3" s="155"/>
      <c r="G3" s="155"/>
      <c r="H3" s="155"/>
      <c r="I3" s="155"/>
      <c r="J3" s="156"/>
    </row>
    <row r="4" spans="1:10" s="72" customFormat="1" ht="42" customHeight="1">
      <c r="A4" s="197" t="s">
        <v>13</v>
      </c>
      <c r="B4" s="197"/>
      <c r="C4" s="106" t="s">
        <v>19</v>
      </c>
      <c r="D4" s="157" t="s">
        <v>151</v>
      </c>
      <c r="E4" s="158"/>
      <c r="F4" s="158"/>
      <c r="G4" s="158"/>
      <c r="H4" s="158"/>
      <c r="I4" s="158"/>
      <c r="J4" s="159"/>
    </row>
    <row r="5" spans="1:10" ht="45" customHeight="1">
      <c r="A5" s="197"/>
      <c r="B5" s="197"/>
      <c r="C5" s="107" t="s">
        <v>20</v>
      </c>
      <c r="D5" s="160" t="s">
        <v>152</v>
      </c>
      <c r="E5" s="161"/>
      <c r="F5" s="161"/>
      <c r="G5" s="161"/>
      <c r="H5" s="161"/>
      <c r="I5" s="161"/>
      <c r="J5" s="162"/>
    </row>
    <row r="6" spans="1:10" ht="55.9" customHeight="1">
      <c r="A6" s="197"/>
      <c r="B6" s="197"/>
      <c r="C6" s="107" t="s">
        <v>55</v>
      </c>
      <c r="D6" s="160" t="s">
        <v>156</v>
      </c>
      <c r="E6" s="161"/>
      <c r="F6" s="161"/>
      <c r="G6" s="161"/>
      <c r="H6" s="161"/>
      <c r="I6" s="161"/>
      <c r="J6" s="162"/>
    </row>
    <row r="7" spans="1:10" ht="60.65" customHeight="1">
      <c r="A7" s="197"/>
      <c r="B7" s="197"/>
      <c r="C7" s="107" t="s">
        <v>54</v>
      </c>
      <c r="D7" s="157" t="s">
        <v>155</v>
      </c>
      <c r="E7" s="158"/>
      <c r="F7" s="158"/>
      <c r="G7" s="158"/>
      <c r="H7" s="158"/>
      <c r="I7" s="158"/>
      <c r="J7" s="159"/>
    </row>
    <row r="8" spans="1:10" ht="42.65" customHeight="1">
      <c r="A8" s="197"/>
      <c r="B8" s="197"/>
      <c r="C8" s="106" t="s">
        <v>21</v>
      </c>
      <c r="D8" s="157" t="s">
        <v>116</v>
      </c>
      <c r="E8" s="158"/>
      <c r="F8" s="158"/>
      <c r="G8" s="158"/>
      <c r="H8" s="158"/>
      <c r="I8" s="158"/>
      <c r="J8" s="159"/>
    </row>
    <row r="9" spans="1:10" ht="42.65" customHeight="1">
      <c r="A9" s="197" t="s">
        <v>46</v>
      </c>
      <c r="B9" s="197"/>
      <c r="C9" s="163" t="s">
        <v>154</v>
      </c>
      <c r="D9" s="164"/>
      <c r="E9" s="164"/>
      <c r="F9" s="164"/>
      <c r="G9" s="164"/>
      <c r="H9" s="164"/>
      <c r="I9" s="164"/>
      <c r="J9" s="165"/>
    </row>
    <row r="10" spans="1:10" ht="33" customHeight="1">
      <c r="A10" s="213" t="s">
        <v>35</v>
      </c>
      <c r="B10" s="213"/>
      <c r="C10" s="181" t="s">
        <v>76</v>
      </c>
      <c r="D10" s="172" t="s">
        <v>104</v>
      </c>
      <c r="E10" s="173"/>
      <c r="F10" s="174"/>
      <c r="G10" s="184" t="s">
        <v>77</v>
      </c>
      <c r="H10" s="172" t="s">
        <v>153</v>
      </c>
      <c r="I10" s="173"/>
      <c r="J10" s="174"/>
    </row>
    <row r="11" spans="1:10" ht="33" customHeight="1">
      <c r="A11" s="213"/>
      <c r="B11" s="213"/>
      <c r="C11" s="182"/>
      <c r="D11" s="175"/>
      <c r="E11" s="176"/>
      <c r="F11" s="177"/>
      <c r="G11" s="185"/>
      <c r="H11" s="175"/>
      <c r="I11" s="176"/>
      <c r="J11" s="177"/>
    </row>
    <row r="12" spans="1:10" ht="33" customHeight="1">
      <c r="A12" s="213"/>
      <c r="B12" s="213"/>
      <c r="C12" s="183"/>
      <c r="D12" s="178"/>
      <c r="E12" s="179"/>
      <c r="F12" s="180"/>
      <c r="G12" s="186"/>
      <c r="H12" s="178"/>
      <c r="I12" s="179"/>
      <c r="J12" s="180"/>
    </row>
    <row r="13" spans="1:10" ht="20.149999999999999" customHeight="1">
      <c r="A13" s="197" t="s">
        <v>25</v>
      </c>
      <c r="B13" s="197"/>
      <c r="C13" s="108" t="s">
        <v>9</v>
      </c>
      <c r="D13" s="204"/>
      <c r="E13" s="205"/>
      <c r="F13" s="205"/>
      <c r="G13" s="205"/>
      <c r="H13" s="205"/>
      <c r="I13" s="205"/>
      <c r="J13" s="206"/>
    </row>
    <row r="14" spans="1:10" ht="20.149999999999999" customHeight="1">
      <c r="A14" s="197"/>
      <c r="B14" s="197"/>
      <c r="C14" s="108" t="s">
        <v>1</v>
      </c>
      <c r="D14" s="204"/>
      <c r="E14" s="205"/>
      <c r="F14" s="205"/>
      <c r="G14" s="205"/>
      <c r="H14" s="205"/>
      <c r="I14" s="205"/>
      <c r="J14" s="206"/>
    </row>
    <row r="15" spans="1:10" ht="20.149999999999999" customHeight="1">
      <c r="A15" s="197"/>
      <c r="B15" s="197"/>
      <c r="C15" s="109" t="s">
        <v>42</v>
      </c>
      <c r="D15" s="144"/>
      <c r="E15" s="144"/>
      <c r="F15" s="144"/>
      <c r="G15" s="144"/>
      <c r="H15" s="144"/>
      <c r="I15" s="144"/>
      <c r="J15" s="145"/>
    </row>
    <row r="16" spans="1:10" ht="20.149999999999999" customHeight="1">
      <c r="A16" s="197"/>
      <c r="B16" s="197"/>
      <c r="C16" s="110" t="s">
        <v>2</v>
      </c>
      <c r="D16" s="210"/>
      <c r="E16" s="205"/>
      <c r="F16" s="205"/>
      <c r="G16" s="205"/>
      <c r="H16" s="205"/>
      <c r="I16" s="205"/>
      <c r="J16" s="206"/>
    </row>
    <row r="17" spans="1:10" ht="19.5" customHeight="1">
      <c r="A17" s="197" t="s">
        <v>36</v>
      </c>
      <c r="B17" s="197"/>
      <c r="C17" s="111" t="s">
        <v>41</v>
      </c>
      <c r="D17" s="207"/>
      <c r="E17" s="208"/>
      <c r="F17" s="209"/>
      <c r="G17" s="82" t="s">
        <v>26</v>
      </c>
      <c r="H17" s="207"/>
      <c r="I17" s="208"/>
      <c r="J17" s="209"/>
    </row>
    <row r="18" spans="1:10" ht="20.149999999999999" customHeight="1">
      <c r="A18" s="197" t="s">
        <v>37</v>
      </c>
      <c r="B18" s="197"/>
      <c r="C18" s="112" t="s">
        <v>79</v>
      </c>
      <c r="D18" s="217" t="s">
        <v>80</v>
      </c>
      <c r="E18" s="218"/>
      <c r="F18" s="147" t="s">
        <v>81</v>
      </c>
      <c r="G18" s="215" t="s">
        <v>82</v>
      </c>
      <c r="H18" s="216"/>
      <c r="I18" s="74" t="s">
        <v>83</v>
      </c>
      <c r="J18" s="75" t="s">
        <v>84</v>
      </c>
    </row>
    <row r="19" spans="1:10" ht="20.149999999999999" customHeight="1">
      <c r="A19" s="197"/>
      <c r="B19" s="197"/>
      <c r="C19" s="113" t="s">
        <v>85</v>
      </c>
      <c r="D19" s="219" t="s">
        <v>86</v>
      </c>
      <c r="E19" s="220"/>
      <c r="F19" s="74" t="s">
        <v>87</v>
      </c>
      <c r="G19" s="215" t="s">
        <v>88</v>
      </c>
      <c r="H19" s="216"/>
      <c r="I19" s="80" t="s">
        <v>89</v>
      </c>
      <c r="J19" s="75" t="s">
        <v>84</v>
      </c>
    </row>
    <row r="20" spans="1:10" ht="20.149999999999999" customHeight="1">
      <c r="A20" s="197" t="s">
        <v>47</v>
      </c>
      <c r="B20" s="197"/>
      <c r="C20" s="113" t="s">
        <v>48</v>
      </c>
      <c r="D20" s="221"/>
      <c r="E20" s="222"/>
      <c r="F20" s="222"/>
      <c r="G20" s="222"/>
      <c r="H20" s="216"/>
      <c r="I20" s="80" t="s">
        <v>49</v>
      </c>
      <c r="J20" s="76" t="s">
        <v>150</v>
      </c>
    </row>
    <row r="21" spans="1:10" ht="20.149999999999999" customHeight="1">
      <c r="A21" s="197" t="s">
        <v>43</v>
      </c>
      <c r="B21" s="197"/>
      <c r="C21" s="113" t="s">
        <v>44</v>
      </c>
      <c r="D21" s="221"/>
      <c r="E21" s="222"/>
      <c r="F21" s="222"/>
      <c r="G21" s="222"/>
      <c r="H21" s="222"/>
      <c r="I21" s="222"/>
      <c r="J21" s="216"/>
    </row>
    <row r="22" spans="1:10" ht="20.149999999999999" customHeight="1">
      <c r="A22" s="197" t="s">
        <v>38</v>
      </c>
      <c r="B22" s="197"/>
      <c r="C22" s="225" t="s">
        <v>91</v>
      </c>
      <c r="D22" s="198" t="s">
        <v>105</v>
      </c>
      <c r="E22" s="227" t="s">
        <v>93</v>
      </c>
      <c r="F22" s="198" t="s">
        <v>106</v>
      </c>
      <c r="G22" s="223" t="s">
        <v>10</v>
      </c>
      <c r="H22" s="187" t="s">
        <v>95</v>
      </c>
      <c r="I22" s="188"/>
      <c r="J22" s="142">
        <f>I32</f>
        <v>1573</v>
      </c>
    </row>
    <row r="23" spans="1:10" ht="20.149999999999999" customHeight="1">
      <c r="A23" s="197"/>
      <c r="B23" s="197"/>
      <c r="C23" s="226"/>
      <c r="D23" s="199"/>
      <c r="E23" s="228"/>
      <c r="F23" s="199"/>
      <c r="G23" s="224"/>
      <c r="H23" s="229" t="s">
        <v>97</v>
      </c>
      <c r="I23" s="230"/>
      <c r="J23" s="142">
        <f>G32</f>
        <v>1573</v>
      </c>
    </row>
    <row r="24" spans="1:10" ht="37.5" customHeight="1">
      <c r="A24" s="197" t="s">
        <v>39</v>
      </c>
      <c r="B24" s="197"/>
      <c r="C24" s="114" t="s">
        <v>14</v>
      </c>
      <c r="D24" s="146" t="s">
        <v>15</v>
      </c>
      <c r="E24" s="146" t="s">
        <v>16</v>
      </c>
      <c r="F24" s="146" t="s">
        <v>17</v>
      </c>
      <c r="G24" s="104" t="s">
        <v>59</v>
      </c>
      <c r="H24" s="85" t="s">
        <v>60</v>
      </c>
      <c r="I24" s="200" t="s">
        <v>18</v>
      </c>
      <c r="J24" s="200"/>
    </row>
    <row r="25" spans="1:10" ht="31.5" customHeight="1">
      <c r="A25" s="193" t="s">
        <v>61</v>
      </c>
      <c r="B25" s="141" t="s">
        <v>132</v>
      </c>
      <c r="C25" s="8"/>
      <c r="D25" s="8"/>
      <c r="E25" s="8">
        <v>351</v>
      </c>
      <c r="F25" s="9">
        <v>0</v>
      </c>
      <c r="G25" s="31">
        <f>SUM(C25:F25)</f>
        <v>351</v>
      </c>
      <c r="H25" s="8"/>
      <c r="I25" s="150">
        <f>SUM(G25:H25)</f>
        <v>351</v>
      </c>
      <c r="J25" s="151"/>
    </row>
    <row r="26" spans="1:10" ht="19.5" customHeight="1">
      <c r="A26" s="214"/>
      <c r="B26" s="81" t="s">
        <v>23</v>
      </c>
      <c r="C26" s="8"/>
      <c r="D26" s="8"/>
      <c r="E26" s="8">
        <v>175</v>
      </c>
      <c r="F26" s="9">
        <v>0</v>
      </c>
      <c r="G26" s="31">
        <f>SUM(C26:F26)</f>
        <v>175</v>
      </c>
      <c r="H26" s="8">
        <v>0</v>
      </c>
      <c r="I26" s="150">
        <f>SUM(G26:H26)</f>
        <v>175</v>
      </c>
      <c r="J26" s="151"/>
    </row>
    <row r="27" spans="1:10" ht="19.5" customHeight="1">
      <c r="A27" s="194"/>
      <c r="B27" s="81" t="s">
        <v>24</v>
      </c>
      <c r="C27" s="8"/>
      <c r="D27" s="8"/>
      <c r="E27" s="8">
        <v>1047</v>
      </c>
      <c r="F27" s="9">
        <v>0</v>
      </c>
      <c r="G27" s="31">
        <f>SUM(C27:F27)</f>
        <v>1047</v>
      </c>
      <c r="H27" s="8">
        <v>0</v>
      </c>
      <c r="I27" s="150">
        <f>SUM(G27:H27)</f>
        <v>1047</v>
      </c>
      <c r="J27" s="151"/>
    </row>
    <row r="28" spans="1:10" ht="19.5" customHeight="1">
      <c r="A28" s="195" t="s">
        <v>66</v>
      </c>
      <c r="B28" s="196"/>
      <c r="C28" s="51">
        <f t="shared" ref="C28:H28" si="0">SUM(C25:C27)</f>
        <v>0</v>
      </c>
      <c r="D28" s="51">
        <f t="shared" si="0"/>
        <v>0</v>
      </c>
      <c r="E28" s="51">
        <f t="shared" si="0"/>
        <v>1573</v>
      </c>
      <c r="F28" s="51">
        <f t="shared" si="0"/>
        <v>0</v>
      </c>
      <c r="G28" s="51">
        <f t="shared" si="0"/>
        <v>1573</v>
      </c>
      <c r="H28" s="52">
        <f t="shared" si="0"/>
        <v>0</v>
      </c>
      <c r="I28" s="191">
        <f>SUM(I25:J27)</f>
        <v>1573</v>
      </c>
      <c r="J28" s="192"/>
    </row>
    <row r="29" spans="1:10" ht="19.5" customHeight="1">
      <c r="A29" s="193" t="s">
        <v>62</v>
      </c>
      <c r="B29" s="81" t="s">
        <v>63</v>
      </c>
      <c r="C29" s="8"/>
      <c r="D29" s="8"/>
      <c r="E29" s="8"/>
      <c r="F29" s="9"/>
      <c r="G29" s="31">
        <f>SUM(C29:F29)</f>
        <v>0</v>
      </c>
      <c r="H29" s="8"/>
      <c r="I29" s="150">
        <f>SUM(G29:H29)</f>
        <v>0</v>
      </c>
      <c r="J29" s="151"/>
    </row>
    <row r="30" spans="1:10" ht="19.5" customHeight="1">
      <c r="A30" s="194"/>
      <c r="B30" s="81" t="s">
        <v>64</v>
      </c>
      <c r="C30" s="8"/>
      <c r="D30" s="8"/>
      <c r="E30" s="8"/>
      <c r="F30" s="9"/>
      <c r="G30" s="31">
        <f>SUM(C30:F30)</f>
        <v>0</v>
      </c>
      <c r="H30" s="8"/>
      <c r="I30" s="150">
        <f>SUM(G30:H30)</f>
        <v>0</v>
      </c>
      <c r="J30" s="151"/>
    </row>
    <row r="31" spans="1:10" ht="19.5" customHeight="1">
      <c r="A31" s="152" t="s">
        <v>66</v>
      </c>
      <c r="B31" s="153"/>
      <c r="C31" s="26">
        <f t="shared" ref="C31:H31" si="1">SUM(C29:C30)</f>
        <v>0</v>
      </c>
      <c r="D31" s="26">
        <f t="shared" si="1"/>
        <v>0</v>
      </c>
      <c r="E31" s="26">
        <f t="shared" si="1"/>
        <v>0</v>
      </c>
      <c r="F31" s="26">
        <f t="shared" si="1"/>
        <v>0</v>
      </c>
      <c r="G31" s="26">
        <f t="shared" si="1"/>
        <v>0</v>
      </c>
      <c r="H31" s="50">
        <f t="shared" si="1"/>
        <v>0</v>
      </c>
      <c r="I31" s="189">
        <f>SUM(I29:J30)</f>
        <v>0</v>
      </c>
      <c r="J31" s="190"/>
    </row>
    <row r="32" spans="1:10" ht="19.5" customHeight="1">
      <c r="A32" s="152" t="s">
        <v>67</v>
      </c>
      <c r="B32" s="153"/>
      <c r="C32" s="26">
        <f t="shared" ref="C32:I32" si="2">C28+C31</f>
        <v>0</v>
      </c>
      <c r="D32" s="26">
        <f t="shared" si="2"/>
        <v>0</v>
      </c>
      <c r="E32" s="26">
        <f t="shared" si="2"/>
        <v>1573</v>
      </c>
      <c r="F32" s="26">
        <f t="shared" si="2"/>
        <v>0</v>
      </c>
      <c r="G32" s="26">
        <f t="shared" si="2"/>
        <v>1573</v>
      </c>
      <c r="H32" s="50">
        <f t="shared" si="2"/>
        <v>0</v>
      </c>
      <c r="I32" s="189">
        <f t="shared" si="2"/>
        <v>1573</v>
      </c>
      <c r="J32" s="190"/>
    </row>
  </sheetData>
  <mergeCells count="55">
    <mergeCell ref="A1:J1"/>
    <mergeCell ref="A3:B3"/>
    <mergeCell ref="C3:J3"/>
    <mergeCell ref="A4:B8"/>
    <mergeCell ref="D4:J4"/>
    <mergeCell ref="D5:J5"/>
    <mergeCell ref="D6:J6"/>
    <mergeCell ref="D7:J7"/>
    <mergeCell ref="D8:J8"/>
    <mergeCell ref="A9:B9"/>
    <mergeCell ref="C9:J9"/>
    <mergeCell ref="A10:B12"/>
    <mergeCell ref="C10:C12"/>
    <mergeCell ref="D10:F12"/>
    <mergeCell ref="G10:G12"/>
    <mergeCell ref="H10:J12"/>
    <mergeCell ref="A20:B20"/>
    <mergeCell ref="D20:H20"/>
    <mergeCell ref="A13:B16"/>
    <mergeCell ref="D13:J13"/>
    <mergeCell ref="D14:J14"/>
    <mergeCell ref="D16:J16"/>
    <mergeCell ref="A17:B17"/>
    <mergeCell ref="D17:F17"/>
    <mergeCell ref="H17:J17"/>
    <mergeCell ref="A18:B19"/>
    <mergeCell ref="D18:E18"/>
    <mergeCell ref="G18:H18"/>
    <mergeCell ref="D19:E19"/>
    <mergeCell ref="G19:H19"/>
    <mergeCell ref="A21:B21"/>
    <mergeCell ref="D21:J21"/>
    <mergeCell ref="A22:B23"/>
    <mergeCell ref="C22:C23"/>
    <mergeCell ref="D22:D23"/>
    <mergeCell ref="E22:E23"/>
    <mergeCell ref="F22:F23"/>
    <mergeCell ref="G22:G23"/>
    <mergeCell ref="H22:I22"/>
    <mergeCell ref="H23:I23"/>
    <mergeCell ref="A24:B24"/>
    <mergeCell ref="I24:J24"/>
    <mergeCell ref="A25:A27"/>
    <mergeCell ref="I25:J25"/>
    <mergeCell ref="I26:J26"/>
    <mergeCell ref="I27:J27"/>
    <mergeCell ref="A32:B32"/>
    <mergeCell ref="I32:J32"/>
    <mergeCell ref="A28:B28"/>
    <mergeCell ref="I28:J28"/>
    <mergeCell ref="A29:A30"/>
    <mergeCell ref="I29:J29"/>
    <mergeCell ref="I30:J30"/>
    <mergeCell ref="A31:B31"/>
    <mergeCell ref="I31:J31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63" fitToHeight="0" orientation="portrait" r:id="rId1"/>
  <headerFooter alignWithMargins="0">
    <oddFooter>&amp;C&amp;"굴림,보통"&amp;8 1/7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4" name="Check Box 1">
              <controlPr defaultSize="0" autoFill="0" autoLine="0" autoPict="0">
                <anchor moveWithCells="1">
                  <from>
                    <xdr:col>2</xdr:col>
                    <xdr:colOff>933450</xdr:colOff>
                    <xdr:row>12</xdr:row>
                    <xdr:rowOff>31750</xdr:rowOff>
                  </from>
                  <to>
                    <xdr:col>3</xdr:col>
                    <xdr:colOff>666750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0" r:id="rId5" name="Check Box 2">
              <controlPr defaultSize="0" autoFill="0" autoLine="0" autoPict="0">
                <anchor moveWithCells="1">
                  <from>
                    <xdr:col>4</xdr:col>
                    <xdr:colOff>31750</xdr:colOff>
                    <xdr:row>12</xdr:row>
                    <xdr:rowOff>31750</xdr:rowOff>
                  </from>
                  <to>
                    <xdr:col>4</xdr:col>
                    <xdr:colOff>762000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1" r:id="rId6" name="Check Box 3">
              <controlPr defaultSize="0" autoFill="0" autoLine="0" autoPict="0">
                <anchor moveWithCells="1">
                  <from>
                    <xdr:col>4</xdr:col>
                    <xdr:colOff>812800</xdr:colOff>
                    <xdr:row>12</xdr:row>
                    <xdr:rowOff>31750</xdr:rowOff>
                  </from>
                  <to>
                    <xdr:col>5</xdr:col>
                    <xdr:colOff>323850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2" r:id="rId7" name="Check Box 4">
              <controlPr defaultSize="0" autoFill="0" autoLine="0" autoPict="0">
                <anchor moveWithCells="1">
                  <from>
                    <xdr:col>6</xdr:col>
                    <xdr:colOff>19050</xdr:colOff>
                    <xdr:row>12</xdr:row>
                    <xdr:rowOff>31750</xdr:rowOff>
                  </from>
                  <to>
                    <xdr:col>6</xdr:col>
                    <xdr:colOff>698500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3" r:id="rId8" name="Check Box 5">
              <controlPr defaultSize="0" autoFill="0" autoLine="0" autoPict="0">
                <anchor moveWithCells="1">
                  <from>
                    <xdr:col>6</xdr:col>
                    <xdr:colOff>812800</xdr:colOff>
                    <xdr:row>12</xdr:row>
                    <xdr:rowOff>31750</xdr:rowOff>
                  </from>
                  <to>
                    <xdr:col>7</xdr:col>
                    <xdr:colOff>546100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4" r:id="rId9" name="Check Box 6">
              <controlPr defaultSize="0" autoFill="0" autoLine="0" autoPict="0">
                <anchor moveWithCells="1">
                  <from>
                    <xdr:col>7</xdr:col>
                    <xdr:colOff>717550</xdr:colOff>
                    <xdr:row>12</xdr:row>
                    <xdr:rowOff>31750</xdr:rowOff>
                  </from>
                  <to>
                    <xdr:col>7</xdr:col>
                    <xdr:colOff>1009650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5" r:id="rId10" name="Check Box 7">
              <controlPr defaultSize="0" autoFill="0" autoLine="0" autoPict="0" altText="신규 개발">
                <anchor moveWithCells="1">
                  <from>
                    <xdr:col>2</xdr:col>
                    <xdr:colOff>889000</xdr:colOff>
                    <xdr:row>13</xdr:row>
                    <xdr:rowOff>12700</xdr:rowOff>
                  </from>
                  <to>
                    <xdr:col>3</xdr:col>
                    <xdr:colOff>774700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6" r:id="rId11" name="Check Box 8">
              <controlPr defaultSize="0" autoFill="0" autoLine="0" autoPict="0">
                <anchor moveWithCells="1">
                  <from>
                    <xdr:col>4</xdr:col>
                    <xdr:colOff>88900</xdr:colOff>
                    <xdr:row>13</xdr:row>
                    <xdr:rowOff>12700</xdr:rowOff>
                  </from>
                  <to>
                    <xdr:col>5</xdr:col>
                    <xdr:colOff>374650</xdr:colOff>
                    <xdr:row>13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7" r:id="rId12" name="Check Box 9">
              <controlPr defaultSize="0" autoFill="0" autoLine="0" autoPict="0">
                <anchor moveWithCells="1">
                  <from>
                    <xdr:col>6</xdr:col>
                    <xdr:colOff>527050</xdr:colOff>
                    <xdr:row>13</xdr:row>
                    <xdr:rowOff>19050</xdr:rowOff>
                  </from>
                  <to>
                    <xdr:col>7</xdr:col>
                    <xdr:colOff>584200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8" r:id="rId13" name="Check Box 10">
              <controlPr defaultSize="0" autoFill="0" autoLine="0" autoPict="0">
                <anchor moveWithCells="1">
                  <from>
                    <xdr:col>5</xdr:col>
                    <xdr:colOff>171450</xdr:colOff>
                    <xdr:row>13</xdr:row>
                    <xdr:rowOff>19050</xdr:rowOff>
                  </from>
                  <to>
                    <xdr:col>6</xdr:col>
                    <xdr:colOff>361950</xdr:colOff>
                    <xdr:row>13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19" r:id="rId14" name="Check Box 11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19050</xdr:rowOff>
                  </from>
                  <to>
                    <xdr:col>3</xdr:col>
                    <xdr:colOff>685800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0" r:id="rId15" name="Check Box 12">
              <controlPr defaultSize="0" autoFill="0" autoLine="0" autoPict="0">
                <anchor moveWithCells="1">
                  <from>
                    <xdr:col>4</xdr:col>
                    <xdr:colOff>31750</xdr:colOff>
                    <xdr:row>15</xdr:row>
                    <xdr:rowOff>19050</xdr:rowOff>
                  </from>
                  <to>
                    <xdr:col>4</xdr:col>
                    <xdr:colOff>704850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1" r:id="rId16" name="Check Box 13">
              <controlPr defaultSize="0" autoFill="0" autoLine="0" autoPict="0">
                <anchor moveWithCells="1">
                  <from>
                    <xdr:col>5</xdr:col>
                    <xdr:colOff>19050</xdr:colOff>
                    <xdr:row>15</xdr:row>
                    <xdr:rowOff>12700</xdr:rowOff>
                  </from>
                  <to>
                    <xdr:col>5</xdr:col>
                    <xdr:colOff>736600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2" r:id="rId17" name="Check Box 14">
              <controlPr defaultSize="0" autoFill="0" autoLine="0" autoPict="0">
                <anchor moveWithCells="1">
                  <from>
                    <xdr:col>6</xdr:col>
                    <xdr:colOff>12700</xdr:colOff>
                    <xdr:row>15</xdr:row>
                    <xdr:rowOff>19050</xdr:rowOff>
                  </from>
                  <to>
                    <xdr:col>7</xdr:col>
                    <xdr:colOff>450850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3" r:id="rId18" name="Check Box 15">
              <controlPr defaultSize="0" autoFill="0" autoLine="0" autoPict="0">
                <anchor moveWithCells="1">
                  <from>
                    <xdr:col>3</xdr:col>
                    <xdr:colOff>0</xdr:colOff>
                    <xdr:row>20</xdr:row>
                    <xdr:rowOff>19050</xdr:rowOff>
                  </from>
                  <to>
                    <xdr:col>4</xdr:col>
                    <xdr:colOff>285750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4" r:id="rId19" name="Check Box 16">
              <controlPr defaultSize="0" autoFill="0" autoLine="0" autoPict="0">
                <anchor moveWithCells="1">
                  <from>
                    <xdr:col>4</xdr:col>
                    <xdr:colOff>469900</xdr:colOff>
                    <xdr:row>20</xdr:row>
                    <xdr:rowOff>19050</xdr:rowOff>
                  </from>
                  <to>
                    <xdr:col>9</xdr:col>
                    <xdr:colOff>57150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5" r:id="rId20" name="Check Box 17">
              <controlPr defaultSize="0" autoFill="0" autoLine="0" autoPict="0">
                <anchor moveWithCells="1">
                  <from>
                    <xdr:col>7</xdr:col>
                    <xdr:colOff>209550</xdr:colOff>
                    <xdr:row>20</xdr:row>
                    <xdr:rowOff>19050</xdr:rowOff>
                  </from>
                  <to>
                    <xdr:col>7</xdr:col>
                    <xdr:colOff>552450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6" r:id="rId21" name="Check Box 18">
              <controlPr defaultSize="0" autoFill="0" autoLine="0" autoPict="0">
                <anchor moveWithCells="1" sizeWithCells="1">
                  <from>
                    <xdr:col>2</xdr:col>
                    <xdr:colOff>889000</xdr:colOff>
                    <xdr:row>14</xdr:row>
                    <xdr:rowOff>19050</xdr:rowOff>
                  </from>
                  <to>
                    <xdr:col>3</xdr:col>
                    <xdr:colOff>742950</xdr:colOff>
                    <xdr:row>14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7" r:id="rId22" name="Check Box 19">
              <controlPr defaultSize="0" autoFill="0" autoLine="0" autoPict="0">
                <anchor moveWithCells="1" sizeWithCells="1">
                  <from>
                    <xdr:col>4</xdr:col>
                    <xdr:colOff>88900</xdr:colOff>
                    <xdr:row>14</xdr:row>
                    <xdr:rowOff>19050</xdr:rowOff>
                  </from>
                  <to>
                    <xdr:col>4</xdr:col>
                    <xdr:colOff>584200</xdr:colOff>
                    <xdr:row>14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8" r:id="rId23" name="Check Box 20">
              <controlPr defaultSize="0" autoFill="0" autoLine="0" autoPict="0">
                <anchor moveWithCells="1" sizeWithCells="1">
                  <from>
                    <xdr:col>4</xdr:col>
                    <xdr:colOff>819150</xdr:colOff>
                    <xdr:row>14</xdr:row>
                    <xdr:rowOff>19050</xdr:rowOff>
                  </from>
                  <to>
                    <xdr:col>5</xdr:col>
                    <xdr:colOff>552450</xdr:colOff>
                    <xdr:row>14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29" r:id="rId24" name="Check Box 21">
              <controlPr defaultSize="0" autoFill="0" autoLine="0" autoPict="0">
                <anchor moveWithCells="1" sizeWithCells="1">
                  <from>
                    <xdr:col>6</xdr:col>
                    <xdr:colOff>19050</xdr:colOff>
                    <xdr:row>14</xdr:row>
                    <xdr:rowOff>31750</xdr:rowOff>
                  </from>
                  <to>
                    <xdr:col>7</xdr:col>
                    <xdr:colOff>133350</xdr:colOff>
                    <xdr:row>14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0" r:id="rId25" name="Check Box 22">
              <controlPr defaultSize="0" autoFill="0" autoLine="0" autoPict="0">
                <anchor moveWithCells="1">
                  <from>
                    <xdr:col>3</xdr:col>
                    <xdr:colOff>400050</xdr:colOff>
                    <xdr:row>16</xdr:row>
                    <xdr:rowOff>19050</xdr:rowOff>
                  </from>
                  <to>
                    <xdr:col>4</xdr:col>
                    <xdr:colOff>203200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1" r:id="rId26" name="Check Box 23">
              <controlPr defaultSize="0" autoFill="0" autoLine="0" autoPict="0">
                <anchor moveWithCells="1">
                  <from>
                    <xdr:col>4</xdr:col>
                    <xdr:colOff>584200</xdr:colOff>
                    <xdr:row>16</xdr:row>
                    <xdr:rowOff>19050</xdr:rowOff>
                  </from>
                  <to>
                    <xdr:col>5</xdr:col>
                    <xdr:colOff>361950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2" r:id="rId27" name="Check Box 24">
              <controlPr defaultSize="0" autoFill="0" autoLine="0" autoPict="0">
                <anchor moveWithCells="1">
                  <from>
                    <xdr:col>7</xdr:col>
                    <xdr:colOff>12700</xdr:colOff>
                    <xdr:row>16</xdr:row>
                    <xdr:rowOff>19050</xdr:rowOff>
                  </from>
                  <to>
                    <xdr:col>7</xdr:col>
                    <xdr:colOff>927100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3" r:id="rId28" name="Check Box 25">
              <controlPr defaultSize="0" autoFill="0" autoLine="0" autoPict="0">
                <anchor moveWithCells="1">
                  <from>
                    <xdr:col>8</xdr:col>
                    <xdr:colOff>12700</xdr:colOff>
                    <xdr:row>16</xdr:row>
                    <xdr:rowOff>19050</xdr:rowOff>
                  </from>
                  <to>
                    <xdr:col>8</xdr:col>
                    <xdr:colOff>838200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4" r:id="rId29" name="Check Box 26">
              <controlPr defaultSize="0" autoFill="0" autoLine="0" autoPict="0">
                <anchor moveWithCells="1" sizeWithCells="1">
                  <from>
                    <xdr:col>7</xdr:col>
                    <xdr:colOff>0</xdr:colOff>
                    <xdr:row>14</xdr:row>
                    <xdr:rowOff>31750</xdr:rowOff>
                  </from>
                  <to>
                    <xdr:col>8</xdr:col>
                    <xdr:colOff>209550</xdr:colOff>
                    <xdr:row>14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5" r:id="rId30" name="Check Box 27">
              <controlPr defaultSize="0" autoFill="0" autoLine="0" autoPict="0">
                <anchor moveWithCells="1" sizeWithCells="1">
                  <from>
                    <xdr:col>8</xdr:col>
                    <xdr:colOff>57150</xdr:colOff>
                    <xdr:row>14</xdr:row>
                    <xdr:rowOff>31750</xdr:rowOff>
                  </from>
                  <to>
                    <xdr:col>9</xdr:col>
                    <xdr:colOff>266700</xdr:colOff>
                    <xdr:row>14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6" r:id="rId31" name="Check Box 28">
              <controlPr defaultSize="0" autoFill="0" autoLine="0" autoPict="0">
                <anchor moveWithCells="1" sizeWithCells="1">
                  <from>
                    <xdr:col>9</xdr:col>
                    <xdr:colOff>50800</xdr:colOff>
                    <xdr:row>14</xdr:row>
                    <xdr:rowOff>19050</xdr:rowOff>
                  </from>
                  <to>
                    <xdr:col>10</xdr:col>
                    <xdr:colOff>165100</xdr:colOff>
                    <xdr:row>14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7" r:id="rId32" name="Check Box 29">
              <controlPr defaultSize="0" autoFill="0" autoLine="0" autoPict="0">
                <anchor moveWithCells="1">
                  <from>
                    <xdr:col>8</xdr:col>
                    <xdr:colOff>514350</xdr:colOff>
                    <xdr:row>13</xdr:row>
                    <xdr:rowOff>19050</xdr:rowOff>
                  </from>
                  <to>
                    <xdr:col>9</xdr:col>
                    <xdr:colOff>736600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8" r:id="rId33" name="Check Box 30">
              <controlPr defaultSize="0" autoFill="0" autoLine="0" autoPict="0">
                <anchor moveWithCells="1">
                  <from>
                    <xdr:col>8</xdr:col>
                    <xdr:colOff>508000</xdr:colOff>
                    <xdr:row>12</xdr:row>
                    <xdr:rowOff>31750</xdr:rowOff>
                  </from>
                  <to>
                    <xdr:col>9</xdr:col>
                    <xdr:colOff>971550</xdr:colOff>
                    <xdr:row>12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39" r:id="rId34" name="Check Box 31">
              <controlPr defaultSize="0" autoFill="0" autoLine="0" autoPict="0">
                <anchor moveWithCells="1">
                  <from>
                    <xdr:col>3</xdr:col>
                    <xdr:colOff>0</xdr:colOff>
                    <xdr:row>19</xdr:row>
                    <xdr:rowOff>19050</xdr:rowOff>
                  </from>
                  <to>
                    <xdr:col>4</xdr:col>
                    <xdr:colOff>438150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0" r:id="rId35" name="Check Box 32">
              <controlPr defaultSize="0" autoFill="0" autoLine="0" autoPict="0">
                <anchor moveWithCells="1">
                  <from>
                    <xdr:col>4</xdr:col>
                    <xdr:colOff>469900</xdr:colOff>
                    <xdr:row>19</xdr:row>
                    <xdr:rowOff>31750</xdr:rowOff>
                  </from>
                  <to>
                    <xdr:col>5</xdr:col>
                    <xdr:colOff>476250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1" r:id="rId36" name="Check Box 33">
              <controlPr defaultSize="0" autoFill="0" autoLine="0" autoPict="0">
                <anchor moveWithCells="1">
                  <from>
                    <xdr:col>5</xdr:col>
                    <xdr:colOff>717550</xdr:colOff>
                    <xdr:row>19</xdr:row>
                    <xdr:rowOff>31750</xdr:rowOff>
                  </from>
                  <to>
                    <xdr:col>7</xdr:col>
                    <xdr:colOff>298450</xdr:colOff>
                    <xdr:row>19</xdr:row>
                    <xdr:rowOff>241300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2" r:id="rId37" name="Check Box 34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12700</xdr:rowOff>
                  </from>
                  <to>
                    <xdr:col>9</xdr:col>
                    <xdr:colOff>895350</xdr:colOff>
                    <xdr:row>16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3" r:id="rId38" name="Check Box 35">
              <controlPr defaultSize="0" autoFill="0" autoLine="0" autoPict="0">
                <anchor moveWithCells="1">
                  <from>
                    <xdr:col>7</xdr:col>
                    <xdr:colOff>552450</xdr:colOff>
                    <xdr:row>13</xdr:row>
                    <xdr:rowOff>19050</xdr:rowOff>
                  </from>
                  <to>
                    <xdr:col>8</xdr:col>
                    <xdr:colOff>514350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4" r:id="rId39" name="Check Box 36">
              <controlPr defaultSize="0" autoFill="0" autoLine="0" autoPict="0">
                <anchor moveWithCells="1">
                  <from>
                    <xdr:col>7</xdr:col>
                    <xdr:colOff>660400</xdr:colOff>
                    <xdr:row>20</xdr:row>
                    <xdr:rowOff>19050</xdr:rowOff>
                  </from>
                  <to>
                    <xdr:col>7</xdr:col>
                    <xdr:colOff>1009650</xdr:colOff>
                    <xdr:row>20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7445" r:id="rId40" name="Check Box 37">
              <controlPr defaultSize="0" autoFill="0" autoLine="0" autoPict="0">
                <anchor moveWithCells="1">
                  <from>
                    <xdr:col>8</xdr:col>
                    <xdr:colOff>323850</xdr:colOff>
                    <xdr:row>20</xdr:row>
                    <xdr:rowOff>19050</xdr:rowOff>
                  </from>
                  <to>
                    <xdr:col>8</xdr:col>
                    <xdr:colOff>812800</xdr:colOff>
                    <xdr:row>20</xdr:row>
                    <xdr:rowOff>241300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4DA0-A906-4C19-82E8-CF590C087037}">
  <sheetPr>
    <tabColor theme="4"/>
    <pageSetUpPr fitToPage="1"/>
  </sheetPr>
  <dimension ref="A1:L26"/>
  <sheetViews>
    <sheetView view="pageBreakPreview" zoomScale="85" zoomScaleNormal="100" zoomScaleSheetLayoutView="85" workbookViewId="0">
      <selection activeCell="B10" sqref="B10:L10"/>
    </sheetView>
  </sheetViews>
  <sheetFormatPr defaultColWidth="8.9140625" defaultRowHeight="13"/>
  <cols>
    <col min="1" max="1" width="16" style="126" customWidth="1"/>
    <col min="2" max="2" width="10.4140625" style="126" customWidth="1"/>
    <col min="3" max="3" width="14.08203125" style="126" customWidth="1"/>
    <col min="4" max="4" width="41.08203125" style="126" customWidth="1"/>
    <col min="5" max="6" width="12.75" style="126" customWidth="1"/>
    <col min="7" max="7" width="6.4140625" style="126" customWidth="1"/>
    <col min="8" max="8" width="15.75" style="126" customWidth="1"/>
    <col min="9" max="9" width="24.6640625" style="126" bestFit="1" customWidth="1"/>
    <col min="10" max="11" width="12.75" style="126" customWidth="1"/>
    <col min="12" max="12" width="23.08203125" style="126" bestFit="1" customWidth="1"/>
    <col min="13" max="14" width="18.9140625" style="126" customWidth="1"/>
    <col min="15" max="16384" width="8.9140625" style="126"/>
  </cols>
  <sheetData>
    <row r="1" spans="1:12" ht="30" customHeight="1">
      <c r="A1" s="231" t="s">
        <v>58</v>
      </c>
      <c r="B1" s="231"/>
      <c r="C1" s="231"/>
      <c r="D1" s="231"/>
      <c r="E1" s="231"/>
      <c r="F1" s="231"/>
      <c r="G1" s="231"/>
      <c r="H1" s="231"/>
      <c r="I1" s="231"/>
      <c r="J1" s="231"/>
      <c r="K1" s="231"/>
      <c r="L1" s="231"/>
    </row>
    <row r="2" spans="1:12" ht="30" customHeight="1">
      <c r="A2" s="148"/>
      <c r="B2" s="148"/>
      <c r="C2" s="148"/>
      <c r="D2" s="148"/>
      <c r="E2" s="148"/>
      <c r="F2" s="148"/>
      <c r="G2" s="148"/>
      <c r="H2" s="148"/>
      <c r="I2" s="100" t="s">
        <v>142</v>
      </c>
      <c r="J2" s="101" t="s">
        <v>70</v>
      </c>
      <c r="K2" s="100" t="s">
        <v>57</v>
      </c>
      <c r="L2" s="101" t="s">
        <v>71</v>
      </c>
    </row>
    <row r="3" spans="1:12" ht="31.5" customHeight="1">
      <c r="A3" s="232" t="s">
        <v>6</v>
      </c>
      <c r="B3" s="245" t="s">
        <v>12</v>
      </c>
      <c r="C3" s="245"/>
      <c r="D3" s="115" t="s">
        <v>3</v>
      </c>
      <c r="E3" s="83" t="s">
        <v>4</v>
      </c>
      <c r="F3" s="246" t="s">
        <v>5</v>
      </c>
      <c r="G3" s="247"/>
      <c r="H3" s="247"/>
      <c r="I3" s="247"/>
      <c r="J3" s="247"/>
      <c r="K3" s="248"/>
      <c r="L3" s="83" t="s">
        <v>28</v>
      </c>
    </row>
    <row r="4" spans="1:12" ht="26.25" customHeight="1">
      <c r="A4" s="233"/>
      <c r="B4" s="245"/>
      <c r="C4" s="245"/>
      <c r="D4" s="131"/>
      <c r="E4" s="127"/>
      <c r="F4" s="242"/>
      <c r="G4" s="243"/>
      <c r="H4" s="243"/>
      <c r="I4" s="243"/>
      <c r="J4" s="243"/>
      <c r="K4" s="244"/>
      <c r="L4" s="263" t="s">
        <v>141</v>
      </c>
    </row>
    <row r="5" spans="1:12" ht="26.25" customHeight="1">
      <c r="A5" s="233"/>
      <c r="B5" s="245"/>
      <c r="C5" s="245"/>
      <c r="D5" s="131"/>
      <c r="E5" s="127"/>
      <c r="F5" s="242"/>
      <c r="G5" s="243"/>
      <c r="H5" s="243"/>
      <c r="I5" s="243"/>
      <c r="J5" s="243"/>
      <c r="K5" s="244"/>
      <c r="L5" s="264"/>
    </row>
    <row r="6" spans="1:12" ht="26.25" customHeight="1">
      <c r="A6" s="233"/>
      <c r="B6" s="245"/>
      <c r="C6" s="245"/>
      <c r="D6" s="131"/>
      <c r="E6" s="127"/>
      <c r="F6" s="242"/>
      <c r="G6" s="243"/>
      <c r="H6" s="243"/>
      <c r="I6" s="243"/>
      <c r="J6" s="243"/>
      <c r="K6" s="244"/>
      <c r="L6" s="264"/>
    </row>
    <row r="7" spans="1:12" ht="26.25" customHeight="1">
      <c r="A7" s="233"/>
      <c r="B7" s="245"/>
      <c r="C7" s="245"/>
      <c r="D7" s="131"/>
      <c r="E7" s="127"/>
      <c r="F7" s="242"/>
      <c r="G7" s="243"/>
      <c r="H7" s="243"/>
      <c r="I7" s="243"/>
      <c r="J7" s="243"/>
      <c r="K7" s="244"/>
      <c r="L7" s="265"/>
    </row>
    <row r="8" spans="1:12" ht="31.5" customHeight="1">
      <c r="A8" s="233"/>
      <c r="B8" s="245" t="s">
        <v>7</v>
      </c>
      <c r="C8" s="245"/>
      <c r="D8" s="237"/>
      <c r="E8" s="237"/>
      <c r="F8" s="238"/>
      <c r="G8" s="238"/>
      <c r="H8" s="238"/>
      <c r="I8" s="238"/>
      <c r="J8" s="238"/>
      <c r="K8" s="238"/>
      <c r="L8" s="239"/>
    </row>
    <row r="9" spans="1:12" ht="31.5" customHeight="1">
      <c r="A9" s="234"/>
      <c r="B9" s="245" t="s">
        <v>8</v>
      </c>
      <c r="C9" s="245"/>
      <c r="D9" s="240"/>
      <c r="E9" s="240"/>
      <c r="F9" s="240"/>
      <c r="G9" s="240"/>
      <c r="H9" s="240"/>
      <c r="I9" s="240"/>
      <c r="J9" s="240"/>
      <c r="K9" s="240"/>
      <c r="L9" s="241"/>
    </row>
    <row r="10" spans="1:12" ht="31.5" customHeight="1">
      <c r="A10" s="197" t="s">
        <v>11</v>
      </c>
      <c r="B10" s="260" t="s">
        <v>65</v>
      </c>
      <c r="C10" s="261"/>
      <c r="D10" s="261"/>
      <c r="E10" s="261"/>
      <c r="F10" s="261"/>
      <c r="G10" s="261"/>
      <c r="H10" s="261"/>
      <c r="I10" s="261"/>
      <c r="J10" s="261"/>
      <c r="K10" s="261"/>
      <c r="L10" s="262"/>
    </row>
    <row r="11" spans="1:12" ht="44.25" customHeight="1">
      <c r="A11" s="197"/>
      <c r="B11" s="257" t="s">
        <v>34</v>
      </c>
      <c r="C11" s="258"/>
      <c r="D11" s="124" t="s">
        <v>29</v>
      </c>
      <c r="E11" s="124" t="s">
        <v>30</v>
      </c>
      <c r="F11" s="124" t="s">
        <v>45</v>
      </c>
      <c r="G11" s="124" t="s">
        <v>31</v>
      </c>
      <c r="H11" s="124" t="s">
        <v>52</v>
      </c>
      <c r="I11" s="124" t="s">
        <v>32</v>
      </c>
      <c r="J11" s="124" t="s">
        <v>33</v>
      </c>
      <c r="K11" s="124" t="s">
        <v>27</v>
      </c>
      <c r="L11" s="125" t="s">
        <v>50</v>
      </c>
    </row>
    <row r="12" spans="1:12" ht="44.25" customHeight="1">
      <c r="A12" s="197"/>
      <c r="B12" s="254" t="s">
        <v>61</v>
      </c>
      <c r="C12" s="235" t="s">
        <v>22</v>
      </c>
      <c r="D12" s="135" t="s">
        <v>148</v>
      </c>
      <c r="E12" s="88" t="s">
        <v>100</v>
      </c>
      <c r="F12" s="117" t="s">
        <v>100</v>
      </c>
      <c r="G12" s="88" t="s">
        <v>101</v>
      </c>
      <c r="H12" s="136">
        <v>330000000</v>
      </c>
      <c r="I12" s="88" t="s">
        <v>146</v>
      </c>
      <c r="J12" s="88" t="s">
        <v>100</v>
      </c>
      <c r="K12" s="88" t="s">
        <v>100</v>
      </c>
      <c r="L12" s="89" t="s">
        <v>100</v>
      </c>
    </row>
    <row r="13" spans="1:12" ht="44.25" customHeight="1">
      <c r="A13" s="197"/>
      <c r="B13" s="255"/>
      <c r="C13" s="236"/>
      <c r="D13" s="133" t="s" ph="1">
        <v>147</v>
      </c>
      <c r="E13" s="128" t="s">
        <v>100</v>
      </c>
      <c r="F13" s="128" t="s">
        <v>100</v>
      </c>
      <c r="G13" s="128" t="s">
        <v>101</v>
      </c>
      <c r="H13" s="137">
        <v>21175000</v>
      </c>
      <c r="I13" s="128" t="s">
        <v>124</v>
      </c>
      <c r="J13" s="128" t="s">
        <v>100</v>
      </c>
      <c r="K13" s="128" t="s">
        <v>100</v>
      </c>
      <c r="L13" s="129" t="s">
        <v>100</v>
      </c>
    </row>
    <row r="14" spans="1:12" ht="44.25" customHeight="1">
      <c r="A14" s="197"/>
      <c r="B14" s="255"/>
      <c r="C14" s="236"/>
      <c r="D14" s="134"/>
      <c r="E14" s="128"/>
      <c r="F14" s="128"/>
      <c r="G14" s="128"/>
      <c r="H14" s="137"/>
      <c r="I14" s="128"/>
      <c r="J14" s="128"/>
      <c r="K14" s="128"/>
      <c r="L14" s="129"/>
    </row>
    <row r="15" spans="1:12" ht="44.25" customHeight="1">
      <c r="A15" s="197"/>
      <c r="B15" s="255"/>
      <c r="C15" s="236"/>
      <c r="D15" s="134"/>
      <c r="E15" s="128"/>
      <c r="F15" s="128"/>
      <c r="G15" s="128"/>
      <c r="H15" s="137"/>
      <c r="I15" s="128"/>
      <c r="J15" s="128"/>
      <c r="K15" s="128"/>
      <c r="L15" s="129"/>
    </row>
    <row r="16" spans="1:12" ht="44.25" customHeight="1">
      <c r="A16" s="197"/>
      <c r="B16" s="255"/>
      <c r="C16" s="236"/>
      <c r="D16" s="134"/>
      <c r="E16" s="128"/>
      <c r="F16" s="128"/>
      <c r="G16" s="128"/>
      <c r="H16" s="137"/>
      <c r="I16" s="128"/>
      <c r="J16" s="128"/>
      <c r="K16" s="128"/>
      <c r="L16" s="129"/>
    </row>
    <row r="17" spans="1:12" ht="44.25" customHeight="1">
      <c r="A17" s="197"/>
      <c r="B17" s="255"/>
      <c r="C17" s="235" t="s">
        <v>23</v>
      </c>
      <c r="D17" s="135" t="s">
        <v>144</v>
      </c>
      <c r="E17" s="96" t="s">
        <v>100</v>
      </c>
      <c r="F17" s="118" t="s">
        <v>100</v>
      </c>
      <c r="G17" s="88" t="s">
        <v>101</v>
      </c>
      <c r="H17" s="138">
        <v>174603000</v>
      </c>
      <c r="I17" s="96" t="s">
        <v>124</v>
      </c>
      <c r="J17" s="96" t="s">
        <v>100</v>
      </c>
      <c r="K17" s="96" t="s">
        <v>100</v>
      </c>
      <c r="L17" s="103" t="s">
        <v>133</v>
      </c>
    </row>
    <row r="18" spans="1:12" ht="44.25" customHeight="1">
      <c r="A18" s="197"/>
      <c r="B18" s="255"/>
      <c r="C18" s="259"/>
      <c r="D18" s="130"/>
      <c r="E18" s="93"/>
      <c r="F18" s="120"/>
      <c r="G18" s="93"/>
      <c r="H18" s="139"/>
      <c r="I18" s="93"/>
      <c r="J18" s="93"/>
      <c r="K18" s="93"/>
      <c r="L18" s="94"/>
    </row>
    <row r="19" spans="1:12" ht="44.25" customHeight="1">
      <c r="A19" s="197"/>
      <c r="B19" s="255"/>
      <c r="C19" s="236" t="s">
        <v>24</v>
      </c>
      <c r="D19" s="135" t="s" ph="1">
        <v>149</v>
      </c>
      <c r="E19" s="96" t="s">
        <v>100</v>
      </c>
      <c r="F19" s="118" t="s">
        <v>100</v>
      </c>
      <c r="G19" s="88" t="s">
        <v>101</v>
      </c>
      <c r="H19" s="138">
        <v>422400000</v>
      </c>
      <c r="I19" s="96" t="s">
        <v>124</v>
      </c>
      <c r="J19" s="96" t="s">
        <v>100</v>
      </c>
      <c r="K19" s="96" t="s">
        <v>100</v>
      </c>
      <c r="L19" s="97" t="s">
        <v>100</v>
      </c>
    </row>
    <row r="20" spans="1:12" ht="44.25" customHeight="1">
      <c r="A20" s="197"/>
      <c r="B20" s="256"/>
      <c r="C20" s="253"/>
      <c r="D20" s="149" t="s">
        <v>145</v>
      </c>
      <c r="E20" s="93" t="s">
        <v>118</v>
      </c>
      <c r="F20" s="120" t="s">
        <v>118</v>
      </c>
      <c r="G20" s="119" t="s">
        <v>53</v>
      </c>
      <c r="H20" s="139">
        <v>625124000</v>
      </c>
      <c r="I20" s="93" t="s">
        <v>146</v>
      </c>
      <c r="J20" s="93"/>
      <c r="K20" s="93"/>
      <c r="L20" s="94"/>
    </row>
    <row r="21" spans="1:12" ht="44.25" customHeight="1">
      <c r="A21" s="197"/>
      <c r="B21" s="249" t="s">
        <v>34</v>
      </c>
      <c r="C21" s="250"/>
      <c r="D21" s="102" t="s">
        <v>29</v>
      </c>
      <c r="E21" s="102" t="s">
        <v>30</v>
      </c>
      <c r="F21" s="121" t="s">
        <v>45</v>
      </c>
      <c r="G21" s="123" t="s">
        <v>31</v>
      </c>
      <c r="H21" s="122" t="s">
        <v>69</v>
      </c>
      <c r="I21" s="102" t="s">
        <v>32</v>
      </c>
      <c r="J21" s="102" t="s">
        <v>68</v>
      </c>
      <c r="K21" s="102" t="s">
        <v>27</v>
      </c>
      <c r="L21" s="105" t="s">
        <v>50</v>
      </c>
    </row>
    <row r="22" spans="1:12" ht="43.5" customHeight="1">
      <c r="A22" s="197"/>
      <c r="B22" s="251" t="s">
        <v>62</v>
      </c>
      <c r="C22" s="236" t="s">
        <v>63</v>
      </c>
      <c r="D22" s="95" t="s">
        <v>118</v>
      </c>
      <c r="E22" s="96"/>
      <c r="F22" s="118"/>
      <c r="G22" s="96"/>
      <c r="H22" s="138"/>
      <c r="I22" s="96"/>
      <c r="J22" s="96"/>
      <c r="K22" s="96"/>
      <c r="L22" s="97"/>
    </row>
    <row r="23" spans="1:12" ht="43.5" customHeight="1">
      <c r="A23" s="197"/>
      <c r="B23" s="255"/>
      <c r="C23" s="253"/>
      <c r="D23" s="130" t="s">
        <v>118</v>
      </c>
      <c r="E23" s="93"/>
      <c r="F23" s="93"/>
      <c r="G23" s="93"/>
      <c r="H23" s="139"/>
      <c r="I23" s="93"/>
      <c r="J23" s="93"/>
      <c r="K23" s="93"/>
      <c r="L23" s="94"/>
    </row>
    <row r="24" spans="1:12" ht="43.5" customHeight="1">
      <c r="A24" s="197"/>
      <c r="B24" s="255"/>
      <c r="C24" s="251" t="s">
        <v>64</v>
      </c>
      <c r="D24" s="95" t="s">
        <v>118</v>
      </c>
      <c r="E24" s="96"/>
      <c r="F24" s="118"/>
      <c r="G24" s="96"/>
      <c r="H24" s="138"/>
      <c r="I24" s="96"/>
      <c r="J24" s="96"/>
      <c r="K24" s="96"/>
      <c r="L24" s="97"/>
    </row>
    <row r="25" spans="1:12" ht="43.5" customHeight="1">
      <c r="A25" s="197"/>
      <c r="B25" s="252"/>
      <c r="C25" s="252"/>
      <c r="D25" s="130" t="s">
        <v>118</v>
      </c>
      <c r="E25" s="93"/>
      <c r="F25" s="93"/>
      <c r="G25" s="93"/>
      <c r="H25" s="139"/>
      <c r="I25" s="93"/>
      <c r="J25" s="93"/>
      <c r="K25" s="93"/>
      <c r="L25" s="94"/>
    </row>
    <row r="26" spans="1:12" ht="16.149999999999999" customHeight="1">
      <c r="A26" s="140" t="s">
        <v>134</v>
      </c>
    </row>
  </sheetData>
  <mergeCells count="24">
    <mergeCell ref="A1:L1"/>
    <mergeCell ref="A3:A9"/>
    <mergeCell ref="B3:C7"/>
    <mergeCell ref="F3:K3"/>
    <mergeCell ref="F4:K4"/>
    <mergeCell ref="L4:L7"/>
    <mergeCell ref="F5:K5"/>
    <mergeCell ref="F6:K6"/>
    <mergeCell ref="F7:K7"/>
    <mergeCell ref="B8:C8"/>
    <mergeCell ref="D8:L8"/>
    <mergeCell ref="B9:C9"/>
    <mergeCell ref="D9:L9"/>
    <mergeCell ref="A10:A25"/>
    <mergeCell ref="B10:L10"/>
    <mergeCell ref="B11:C11"/>
    <mergeCell ref="B12:B20"/>
    <mergeCell ref="C12:C16"/>
    <mergeCell ref="C17:C18"/>
    <mergeCell ref="C19:C20"/>
    <mergeCell ref="B21:C21"/>
    <mergeCell ref="B22:B25"/>
    <mergeCell ref="C22:C23"/>
    <mergeCell ref="C24:C25"/>
  </mergeCells>
  <phoneticPr fontId="2" type="noConversion"/>
  <pageMargins left="0.59055118110236227" right="0.51181102362204722" top="0.78740157480314965" bottom="0.82677165354330717" header="0.51181102362204722" footer="0.43307086614173229"/>
  <pageSetup paperSize="9" scale="39" orientation="portrait" r:id="rId1"/>
  <headerFooter alignWithMargins="0">
    <oddFooter>&amp;C&amp;"굴림,보통"&amp;8 2/7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Check Box 1">
              <controlPr defaultSize="0" autoFill="0" autoLine="0" autoPict="0">
                <anchor moveWithCells="1">
                  <from>
                    <xdr:col>3</xdr:col>
                    <xdr:colOff>95250</xdr:colOff>
                    <xdr:row>7</xdr:row>
                    <xdr:rowOff>0</xdr:rowOff>
                  </from>
                  <to>
                    <xdr:col>3</xdr:col>
                    <xdr:colOff>704850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Check Box 2">
              <controlPr defaultSize="0" autoFill="0" autoLine="0" autoPict="0">
                <anchor moveWithCells="1">
                  <from>
                    <xdr:col>3</xdr:col>
                    <xdr:colOff>1066800</xdr:colOff>
                    <xdr:row>7</xdr:row>
                    <xdr:rowOff>0</xdr:rowOff>
                  </from>
                  <to>
                    <xdr:col>3</xdr:col>
                    <xdr:colOff>1638300</xdr:colOff>
                    <xdr:row>8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5" r:id="rId6" name="Check Box 3">
              <controlPr defaultSize="0" autoFill="0" autoLine="0" autoPict="0">
                <anchor moveWithCells="1">
                  <from>
                    <xdr:col>3</xdr:col>
                    <xdr:colOff>2000250</xdr:colOff>
                    <xdr:row>7</xdr:row>
                    <xdr:rowOff>0</xdr:rowOff>
                  </from>
                  <to>
                    <xdr:col>3</xdr:col>
                    <xdr:colOff>2603500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6" r:id="rId7" name="Check Box 4">
              <controlPr defaultSize="0" autoFill="0" autoLine="0" autoPict="0">
                <anchor moveWithCells="1">
                  <from>
                    <xdr:col>3</xdr:col>
                    <xdr:colOff>2946400</xdr:colOff>
                    <xdr:row>7</xdr:row>
                    <xdr:rowOff>0</xdr:rowOff>
                  </from>
                  <to>
                    <xdr:col>4</xdr:col>
                    <xdr:colOff>488950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7" r:id="rId8" name="Check Box 5">
              <controlPr defaultSize="0" autoFill="0" autoLine="0" autoPict="0">
                <anchor moveWithCells="1">
                  <from>
                    <xdr:col>4</xdr:col>
                    <xdr:colOff>889000</xdr:colOff>
                    <xdr:row>7</xdr:row>
                    <xdr:rowOff>0</xdr:rowOff>
                  </from>
                  <to>
                    <xdr:col>5</xdr:col>
                    <xdr:colOff>514350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8" r:id="rId9" name="Check Box 6">
              <controlPr defaultSize="0" autoFill="0" autoLine="0" autoPict="0">
                <anchor moveWithCells="1">
                  <from>
                    <xdr:col>5</xdr:col>
                    <xdr:colOff>946150</xdr:colOff>
                    <xdr:row>7</xdr:row>
                    <xdr:rowOff>0</xdr:rowOff>
                  </from>
                  <to>
                    <xdr:col>7</xdr:col>
                    <xdr:colOff>184150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9" r:id="rId10" name="Check Box 7">
              <controlPr defaultSize="0" autoFill="0" autoLine="0" autoPict="0">
                <anchor moveWithCells="1">
                  <from>
                    <xdr:col>3</xdr:col>
                    <xdr:colOff>95250</xdr:colOff>
                    <xdr:row>8</xdr:row>
                    <xdr:rowOff>38100</xdr:rowOff>
                  </from>
                  <to>
                    <xdr:col>3</xdr:col>
                    <xdr:colOff>666750</xdr:colOff>
                    <xdr:row>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0" r:id="rId11" name="Check Box 8">
              <controlPr defaultSize="0" autoFill="0" autoLine="0" autoPict="0">
                <anchor moveWithCells="1">
                  <from>
                    <xdr:col>3</xdr:col>
                    <xdr:colOff>1066800</xdr:colOff>
                    <xdr:row>8</xdr:row>
                    <xdr:rowOff>38100</xdr:rowOff>
                  </from>
                  <to>
                    <xdr:col>3</xdr:col>
                    <xdr:colOff>1638300</xdr:colOff>
                    <xdr:row>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1" r:id="rId12" name="Check Box 9">
              <controlPr defaultSize="0" autoFill="0" autoLine="0" autoPict="0">
                <anchor moveWithCells="1">
                  <from>
                    <xdr:col>3</xdr:col>
                    <xdr:colOff>2000250</xdr:colOff>
                    <xdr:row>8</xdr:row>
                    <xdr:rowOff>38100</xdr:rowOff>
                  </from>
                  <to>
                    <xdr:col>3</xdr:col>
                    <xdr:colOff>2571750</xdr:colOff>
                    <xdr:row>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2" r:id="rId13" name="Check Box 10">
              <controlPr defaultSize="0" autoFill="0" autoLine="0" autoPict="0">
                <anchor moveWithCells="1">
                  <from>
                    <xdr:col>3</xdr:col>
                    <xdr:colOff>2946400</xdr:colOff>
                    <xdr:row>8</xdr:row>
                    <xdr:rowOff>38100</xdr:rowOff>
                  </from>
                  <to>
                    <xdr:col>4</xdr:col>
                    <xdr:colOff>527050</xdr:colOff>
                    <xdr:row>8</xdr:row>
                    <xdr:rowOff>355600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3" r:id="rId14" name="Check Box 11">
              <controlPr defaultSize="0" autoFill="0" autoLine="0" autoPict="0">
                <anchor moveWithCells="1">
                  <from>
                    <xdr:col>4</xdr:col>
                    <xdr:colOff>889000</xdr:colOff>
                    <xdr:row>8</xdr:row>
                    <xdr:rowOff>38100</xdr:rowOff>
                  </from>
                  <to>
                    <xdr:col>5</xdr:col>
                    <xdr:colOff>679450</xdr:colOff>
                    <xdr:row>8</xdr:row>
                    <xdr:rowOff>361950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44" r:id="rId15" name="Check Box 12">
              <controlPr defaultSize="0" autoFill="0" autoLine="0" autoPict="0">
                <anchor moveWithCells="1">
                  <from>
                    <xdr:col>5</xdr:col>
                    <xdr:colOff>946150</xdr:colOff>
                    <xdr:row>8</xdr:row>
                    <xdr:rowOff>38100</xdr:rowOff>
                  </from>
                  <to>
                    <xdr:col>7</xdr:col>
                    <xdr:colOff>361950</xdr:colOff>
                    <xdr:row>8</xdr:row>
                    <xdr:rowOff>374650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6</vt:i4>
      </vt:variant>
    </vt:vector>
  </HeadingPairs>
  <TitlesOfParts>
    <vt:vector size="12" baseType="lpstr">
      <vt:lpstr>① (정보화사업) 1-1. 정보화사업 개요(컨설팅)</vt:lpstr>
      <vt:lpstr>① (정보화사업) 1-2. 소요자원 상세내용(컨설팅)</vt:lpstr>
      <vt:lpstr>① (정보화사업) 1-1. 정보화사업 개요(시스템구축)</vt:lpstr>
      <vt:lpstr>① (정보화사업) 1-2. 소요자원 상세내용(시스템구축)</vt:lpstr>
      <vt:lpstr>① (정보화사업) 1-1. 정보화사업 개요(AIOCR)</vt:lpstr>
      <vt:lpstr>① (정보화사업) 1-2. 소요자원 상세내용(AIOCR)</vt:lpstr>
      <vt:lpstr>'① (정보화사업) 1-1. 정보화사업 개요(AIOCR)'!Print_Area</vt:lpstr>
      <vt:lpstr>'① (정보화사업) 1-1. 정보화사업 개요(시스템구축)'!Print_Area</vt:lpstr>
      <vt:lpstr>'① (정보화사업) 1-1. 정보화사업 개요(컨설팅)'!Print_Area</vt:lpstr>
      <vt:lpstr>'① (정보화사업) 1-2. 소요자원 상세내용(AIOCR)'!Print_Area</vt:lpstr>
      <vt:lpstr>'① (정보화사업) 1-2. 소요자원 상세내용(시스템구축)'!Print_Area</vt:lpstr>
      <vt:lpstr>'① (정보화사업) 1-2. 소요자원 상세내용(컨설팅)'!Print_Area</vt:lpstr>
    </vt:vector>
  </TitlesOfParts>
  <Company>KTF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JungPiloh</dc:creator>
  <cp:lastModifiedBy>KDB</cp:lastModifiedBy>
  <cp:lastPrinted>2025-10-02T08:38:29Z</cp:lastPrinted>
  <dcterms:created xsi:type="dcterms:W3CDTF">2005-05-24T12:23:20Z</dcterms:created>
  <dcterms:modified xsi:type="dcterms:W3CDTF">2025-10-20T08:01:05Z</dcterms:modified>
</cp:coreProperties>
</file>