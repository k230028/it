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2.xml" ContentType="application/vnd.openxmlformats-officedocument.drawing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Z:\디지털플랫폼팀_내꺼\업무지원\예산편성\전산예산\2026년\제출\"/>
    </mc:Choice>
  </mc:AlternateContent>
  <xr:revisionPtr revIDLastSave="0" documentId="13_ncr:1_{A46D5438-3EC5-417F-9976-C5E4700369A6}" xr6:coauthVersionLast="47" xr6:coauthVersionMax="47" xr10:uidLastSave="{00000000-0000-0000-0000-000000000000}"/>
  <bookViews>
    <workbookView xWindow="42710" yWindow="1900" windowWidth="28800" windowHeight="15460" tabRatio="952" xr2:uid="{00000000-000D-0000-FFFF-FFFF00000000}"/>
  </bookViews>
  <sheets>
    <sheet name="① (자본예산) 1-1. 정보화사업 개요" sheetId="16" r:id="rId1"/>
    <sheet name="① (자본예산) 1-2. 소요자원 상세내용" sheetId="1" r:id="rId2"/>
    <sheet name="견적서" sheetId="18" r:id="rId3"/>
  </sheets>
  <definedNames>
    <definedName name="_xlnm.Print_Area" localSheetId="0">'① (자본예산) 1-1. 정보화사업 개요'!$A$1:$I$34</definedName>
    <definedName name="_xlnm.Print_Area" localSheetId="1">'① (자본예산) 1-2. 소요자원 상세내용'!$A$1:$K$20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6" l="1"/>
  <c r="F34" i="16"/>
  <c r="B34" i="16"/>
  <c r="G34" i="16"/>
  <c r="F31" i="16"/>
  <c r="D34" i="16"/>
  <c r="F33" i="16"/>
  <c r="E34" i="16"/>
  <c r="H34" i="16"/>
</calcChain>
</file>

<file path=xl/sharedStrings.xml><?xml version="1.0" encoding="utf-8"?>
<sst xmlns="http://schemas.openxmlformats.org/spreadsheetml/2006/main" count="117" uniqueCount="103">
  <si>
    <t>사업명</t>
    <phoneticPr fontId="2" type="noConversion"/>
  </si>
  <si>
    <t>사업유형</t>
    <phoneticPr fontId="2" type="noConversion"/>
  </si>
  <si>
    <t>주 사용자</t>
    <phoneticPr fontId="2" type="noConversion"/>
  </si>
  <si>
    <t>시스템(사업)명</t>
  </si>
  <si>
    <t>담당부서</t>
  </si>
  <si>
    <t>연관내용</t>
  </si>
  <si>
    <t>시스템 특성</t>
    <phoneticPr fontId="2" type="noConversion"/>
  </si>
  <si>
    <t>시스템 영역</t>
    <phoneticPr fontId="2" type="noConversion"/>
  </si>
  <si>
    <t>시스템 요건</t>
    <phoneticPr fontId="2" type="noConversion"/>
  </si>
  <si>
    <t>업무구분</t>
    <phoneticPr fontId="2" type="noConversion"/>
  </si>
  <si>
    <t>소요예산</t>
    <phoneticPr fontId="2" type="noConversion"/>
  </si>
  <si>
    <t>연관 시스템
(연관 사업)</t>
    <phoneticPr fontId="2" type="noConversion"/>
  </si>
  <si>
    <t>시작일자
(YY/MM)</t>
    <phoneticPr fontId="2" type="noConversion"/>
  </si>
  <si>
    <t>종료일자
(YY/MM)</t>
    <phoneticPr fontId="2" type="noConversion"/>
  </si>
  <si>
    <t>사업 개요</t>
    <phoneticPr fontId="2" type="noConversion"/>
  </si>
  <si>
    <t>1분기</t>
    <phoneticPr fontId="2" type="noConversion"/>
  </si>
  <si>
    <t>2분기</t>
    <phoneticPr fontId="2" type="noConversion"/>
  </si>
  <si>
    <t>3분기</t>
    <phoneticPr fontId="2" type="noConversion"/>
  </si>
  <si>
    <t>4분기</t>
    <phoneticPr fontId="2" type="noConversion"/>
  </si>
  <si>
    <t>전체 합계</t>
    <phoneticPr fontId="2" type="noConversion"/>
  </si>
  <si>
    <t xml:space="preserve">  계</t>
    <phoneticPr fontId="2" type="noConversion"/>
  </si>
  <si>
    <t>(개요)</t>
    <phoneticPr fontId="2" type="noConversion"/>
  </si>
  <si>
    <t>(현황)</t>
    <phoneticPr fontId="2" type="noConversion"/>
  </si>
  <si>
    <t>(미추진시 
문제점)</t>
    <phoneticPr fontId="2" type="noConversion"/>
  </si>
  <si>
    <t>주관부문/본부</t>
    <phoneticPr fontId="2" type="noConversion"/>
  </si>
  <si>
    <t>개발비</t>
    <phoneticPr fontId="2" type="noConversion"/>
  </si>
  <si>
    <t>기계장치(HW)</t>
    <phoneticPr fontId="2" type="noConversion"/>
  </si>
  <si>
    <t>기타무형자산(SW)</t>
    <phoneticPr fontId="2" type="noConversion"/>
  </si>
  <si>
    <t>사업구분</t>
    <phoneticPr fontId="2" type="noConversion"/>
  </si>
  <si>
    <t>법규상 완료시기</t>
    <phoneticPr fontId="2" type="noConversion"/>
  </si>
  <si>
    <t>정보보호여부</t>
    <phoneticPr fontId="2" type="noConversion"/>
  </si>
  <si>
    <t>비고</t>
    <phoneticPr fontId="2" type="noConversion"/>
  </si>
  <si>
    <t>항목</t>
    <phoneticPr fontId="2" type="noConversion"/>
  </si>
  <si>
    <t>수량</t>
    <phoneticPr fontId="2" type="noConversion"/>
  </si>
  <si>
    <t>통화</t>
    <phoneticPr fontId="2" type="noConversion"/>
  </si>
  <si>
    <t>산정근거</t>
    <phoneticPr fontId="2" type="noConversion"/>
  </si>
  <si>
    <t>도입시기(월)</t>
    <phoneticPr fontId="2" type="noConversion"/>
  </si>
  <si>
    <t>구분</t>
    <phoneticPr fontId="2" type="noConversion"/>
  </si>
  <si>
    <t xml:space="preserve">총 사업금액(전체기간)
</t>
    <phoneticPr fontId="2" type="noConversion"/>
  </si>
  <si>
    <t>추진경과</t>
    <phoneticPr fontId="2" type="noConversion"/>
  </si>
  <si>
    <t>향후계획</t>
    <phoneticPr fontId="2" type="noConversion"/>
  </si>
  <si>
    <t>진행 상황</t>
    <phoneticPr fontId="2" type="noConversion"/>
  </si>
  <si>
    <t>편성 기준</t>
    <phoneticPr fontId="2" type="noConversion"/>
  </si>
  <si>
    <t>관련 조직</t>
    <phoneticPr fontId="2" type="noConversion"/>
  </si>
  <si>
    <t>팀장</t>
    <phoneticPr fontId="2" type="noConversion"/>
  </si>
  <si>
    <t>주관부서/팀</t>
    <phoneticPr fontId="2" type="noConversion"/>
  </si>
  <si>
    <t>추진시기 및 소요예산</t>
    <phoneticPr fontId="2" type="noConversion"/>
  </si>
  <si>
    <t>예산 소요(상세)
(백만원, 부가세포함)</t>
    <phoneticPr fontId="2" type="noConversion"/>
  </si>
  <si>
    <t>실무자(정/부)</t>
    <phoneticPr fontId="2" type="noConversion"/>
  </si>
  <si>
    <t>IT팀장</t>
    <phoneticPr fontId="2" type="noConversion"/>
  </si>
  <si>
    <t>IT실무자(정/부)</t>
    <phoneticPr fontId="2" type="noConversion"/>
  </si>
  <si>
    <t xml:space="preserve">1-1. 정보화사업 개요 </t>
    <phoneticPr fontId="2" type="noConversion"/>
  </si>
  <si>
    <t>중복 여부</t>
    <phoneticPr fontId="2" type="noConversion"/>
  </si>
  <si>
    <t>디지털 기술 유형</t>
    <phoneticPr fontId="2" type="noConversion"/>
  </si>
  <si>
    <t>사업 추진 가능성</t>
    <phoneticPr fontId="2" type="noConversion"/>
  </si>
  <si>
    <t>추진가능성</t>
    <phoneticPr fontId="2" type="noConversion"/>
  </si>
  <si>
    <t>단가</t>
    <phoneticPr fontId="2" type="noConversion"/>
  </si>
  <si>
    <t>사업 범위
(전산 요구사항)</t>
    <phoneticPr fontId="2" type="noConversion"/>
  </si>
  <si>
    <t>보고 상태</t>
    <phoneticPr fontId="2" type="noConversion"/>
  </si>
  <si>
    <t>최종보고</t>
    <phoneticPr fontId="2" type="noConversion"/>
  </si>
  <si>
    <t>전결권자</t>
    <phoneticPr fontId="2" type="noConversion"/>
  </si>
  <si>
    <t>인프라 
통합관리 여부</t>
    <phoneticPr fontId="2" type="noConversion"/>
  </si>
  <si>
    <t>* 견적서 기반 소요예산 근거 등 별첨 필요</t>
    <phoneticPr fontId="2" type="noConversion"/>
  </si>
  <si>
    <t>소요예산
(부가세포함)</t>
    <phoneticPr fontId="2" type="noConversion"/>
  </si>
  <si>
    <t>KRW</t>
    <phoneticPr fontId="2" type="noConversion"/>
  </si>
  <si>
    <r>
      <t xml:space="preserve"> </t>
    </r>
    <r>
      <rPr>
        <b/>
        <sz val="11"/>
        <color indexed="10"/>
        <rFont val="맑은 고딕"/>
        <family val="3"/>
        <charset val="129"/>
      </rPr>
      <t>* 기계장치(HW) 및 기타무형자산(SW) 소요자원 중 IT인프라 자원 포함 시, IT인프라팀과 사전협의 내용 반영하여 작성</t>
    </r>
    <phoneticPr fontId="2" type="noConversion"/>
  </si>
  <si>
    <t>(기대효과)</t>
    <phoneticPr fontId="2" type="noConversion"/>
  </si>
  <si>
    <t>(필요성)</t>
    <phoneticPr fontId="2" type="noConversion"/>
  </si>
  <si>
    <t>(확인자)</t>
    <phoneticPr fontId="2" type="noConversion"/>
  </si>
  <si>
    <t>(작성자)</t>
    <phoneticPr fontId="2" type="noConversion"/>
  </si>
  <si>
    <t>1-2. 정보화사업  소요자원 상세내용</t>
    <phoneticPr fontId="2" type="noConversion"/>
  </si>
  <si>
    <t>재무관리부문</t>
    <phoneticPr fontId="2" type="noConversion"/>
  </si>
  <si>
    <t>수신기획부/디지털플랫폼팀</t>
    <phoneticPr fontId="2" type="noConversion"/>
  </si>
  <si>
    <t>윤선이</t>
    <phoneticPr fontId="2" type="noConversion"/>
  </si>
  <si>
    <t>서혜미/박혜정</t>
    <phoneticPr fontId="2" type="noConversion"/>
  </si>
  <si>
    <t>송미정</t>
    <phoneticPr fontId="2" type="noConversion"/>
  </si>
  <si>
    <t>자동화기기(ATM) 교체 추진</t>
    <phoneticPr fontId="2" type="noConversion"/>
  </si>
  <si>
    <t>윤선이팀장</t>
    <phoneticPr fontId="2" type="noConversion"/>
  </si>
  <si>
    <t>박혜정대리</t>
    <phoneticPr fontId="2" type="noConversion"/>
  </si>
  <si>
    <t xml:space="preserve"> 윤선이 팀장</t>
    <phoneticPr fontId="2" type="noConversion"/>
  </si>
  <si>
    <t>X</t>
    <phoneticPr fontId="2" type="noConversion"/>
  </si>
  <si>
    <t>견적서</t>
    <phoneticPr fontId="2" type="noConversion"/>
  </si>
  <si>
    <t>소요예산 산정(가견적)</t>
    <phoneticPr fontId="2" type="noConversion"/>
  </si>
  <si>
    <t>김현정</t>
    <phoneticPr fontId="2" type="noConversion"/>
  </si>
  <si>
    <t>25/10</t>
    <phoneticPr fontId="2" type="noConversion"/>
  </si>
  <si>
    <t>26/12</t>
    <phoneticPr fontId="2" type="noConversion"/>
  </si>
  <si>
    <t>'26년도 합계</t>
    <phoneticPr fontId="2" type="noConversion"/>
  </si>
  <si>
    <t>'26년도 이후</t>
    <phoneticPr fontId="2" type="noConversion"/>
  </si>
  <si>
    <t>2월</t>
    <phoneticPr fontId="2" type="noConversion"/>
  </si>
  <si>
    <t>ATM 신규도입</t>
    <phoneticPr fontId="2" type="noConversion"/>
  </si>
  <si>
    <t>전무이사</t>
    <phoneticPr fontId="2" type="noConversion"/>
  </si>
  <si>
    <t xml:space="preserve"> - 장애인차별금지법 개정안 시행(24.1.28) 및 지능정보화기본법 시행령 개정(25.3.27)에 따라 모든 무인정보단말기는 
   과기정통부의 검증기준 「장애인·고령자등의 정보접근 및 이용편의 증진을 위한 고시」 준수 필요 
    ※ `25년 초부터 모든 신규 설치 무인정보단말기에 접근성 준수 의무가 적용되었으며, `26년 부터는 기존 설치 기기에도 적용
 - 또한, ’25.10월과 ’26.1월 시행예정인 노인복지법(보건복지부)과 디지털포용법(과기정통부)에도 접근성 준수 의무를 부과 
 - 최신 OS 기반 하드웨어 및 검증 기준을 충족하는 소프트웨어를 탑재하여, 보안성, 접근성 강화 및 법적 리스크 선제 대응</t>
    <phoneticPr fontId="2" type="noConversion"/>
  </si>
  <si>
    <t>신규 도입 108대 견적서</t>
    <phoneticPr fontId="2" type="noConversion"/>
  </si>
  <si>
    <t>#참고(신규도입 54대(기술지원 종료분) + 기기 업그레이드 견적)</t>
    <phoneticPr fontId="2" type="noConversion"/>
  </si>
  <si>
    <t>('25.10~11월) 사업품의
('25.12~`26.1월) 입찰 및 계약
('26.2월) 신규기기 설치, 테스트 및 교체 완료</t>
    <phoneticPr fontId="2" type="noConversion"/>
  </si>
  <si>
    <t xml:space="preserve"> - (고객) 장애인, 고령자 등 정보취약계층의 접근성 개선, 최신 기기 기반의 조작 편의성 강화로 서비스 품질 제고 
 - (은행) 접근성 기준 등 관련 법령 충족, 보안 및 민원 리스크 사전 예방 
 - (직원) 장애 다발 기기 해소로 업무 불편 최소화, 장애인 응대 부담 경감 및 전반적 업무 효율성 항상</t>
    <phoneticPr fontId="2" type="noConversion"/>
  </si>
  <si>
    <t xml:space="preserve"> - 자동화기기 교체 : 108대
 -「장애인·고령자 정보접근성 기준」충족(정부부처 인증서 획득), Windows 11 OS 탑재 등 최신 모델 기기 도입 </t>
    <phoneticPr fontId="2" type="noConversion"/>
  </si>
  <si>
    <t>1,942백만원</t>
    <phoneticPr fontId="2" type="noConversion"/>
  </si>
  <si>
    <t>기존 ATM 폐기</t>
    <phoneticPr fontId="2" type="noConversion"/>
  </si>
  <si>
    <t>‘26년도 필요예산 편성요청</t>
    <phoneticPr fontId="2" type="noConversion"/>
  </si>
  <si>
    <t xml:space="preserve"> - Windows 10 기술지원 종료(`26.10)로 인한 보안 취약성 증가 및 전자금융거래법상 제재 리스크 발생 가능 
 - 장애인차별금지법 등 개정 법안 미준수 시 접근성 민원, 법적 제재 및 대외 이미지 훼손 우려</t>
    <phoneticPr fontId="2" type="noConversion"/>
  </si>
  <si>
    <r>
      <t>(사업 내용)
 - ATM 신규 구입 108대 (</t>
    </r>
    <r>
      <rPr>
        <sz val="11"/>
        <color indexed="12"/>
        <rFont val="맑은 고딕"/>
        <family val="3"/>
        <charset val="129"/>
      </rPr>
      <t>폐기 : 123대)
   *「장애인·고령자 정보접근성 기준」충족(NIA 인증서 획득), Windows 11 OS 탑재 등 최신 모델 기기 도입 
 - ATM 폐기 : 본 건 교체대상 모델 기기는 신규기기 배치 시 회수하여 일괄 폐기
(사업추진 지연 사유) 
 - 현재 과기정통부 기준을 충족 하는 자동화기기는 없으며, 금융권에서 즉시 적용이 어려운 기준이 포함되어 있음 
   이에 따라 은행연합회는 금융권 의견을 수렴하여 과기정통부, 보건복지부등 관계 부처에 기준 완화를 지속 건의 중이며, 
   기준 확정 및 업체의 신규 자동화기기 개발 완료 시 교체 가능함
 - 자동화기기 업체는 현재 개발과 정부 인증, 장애인사용성 테스트를 진행중임(4~5개월 소요 예정)</t>
    </r>
    <phoneticPr fontId="2" type="noConversion"/>
  </si>
  <si>
    <t xml:space="preserve"> - 현재 운영 중인 자동화기기는 Windows 11 업그레이드를 위한 제어부 PC 교체가 불가능한 구형 기종을 포함하고 있으며, 
   노후화되어 장애 발생 빈도가 높아 영업점 직원의 응대 부담과 고객 불편이 지속되고 있음 
 - 또한 장애인차별금지법 시행령 개정 등에 따라 `26년부터 모든 자동화기기는 접근성 검증기준을 충족해야 하나, 
   화면 확대, 수어, 음성 안내장치 등은 단순 소프트웨어 업그레이드로는 불가하며 하드웨어 개조까지 필요함 
 - 이에 따른 개발 소요 시간 및 테스트 기간이 과다하게 소요되며 기존 기기 업그레이드(H/W, S/W) 비용이 신규 구매 단가에 
   근접하여 실익이 낮으므로 신규 기기로의 전면 교체가 합리적인 방안으로 판단됨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</si>
</sst>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63"/>
      <name val="돋움"/>
      <family val="3"/>
      <charset val="129"/>
    </font>
    <font>
      <sz val="16"/>
      <color indexed="63"/>
      <name val="돋움"/>
      <family val="3"/>
      <charset val="129"/>
    </font>
    <font>
      <b/>
      <sz val="11"/>
      <name val="맑은 고딕"/>
      <family val="3"/>
      <charset val="129"/>
    </font>
    <font>
      <sz val="11"/>
      <color indexed="63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돋움"/>
      <family val="3"/>
      <charset val="129"/>
    </font>
    <font>
      <b/>
      <sz val="10"/>
      <color indexed="63"/>
      <name val="돋움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12"/>
      <name val="맑은 고딕"/>
      <family val="3"/>
      <charset val="129"/>
    </font>
    <font>
      <sz val="14"/>
      <name val="돋움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CC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굴림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thin">
        <color rgb="FF000000"/>
      </top>
      <bottom style="thin">
        <color rgb="FF5D5D5D"/>
      </bottom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000000"/>
      </left>
      <right style="thin">
        <color rgb="FF5D5D5D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5D5D5D"/>
      </left>
      <right style="thin">
        <color rgb="FF5D5D5D"/>
      </right>
      <top style="thin">
        <color rgb="FF000000"/>
      </top>
      <bottom style="thin">
        <color rgb="FF5D5D5D"/>
      </bottom>
      <diagonal/>
    </border>
    <border>
      <left style="thin">
        <color rgb="FF5D5D5D"/>
      </left>
      <right style="thin">
        <color rgb="FF000000"/>
      </right>
      <top/>
      <bottom style="thin">
        <color rgb="FF5D5D5D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D5D5D"/>
      </left>
      <right/>
      <top style="thin">
        <color rgb="FF000000"/>
      </top>
      <bottom style="thin">
        <color rgb="FF5D5D5D"/>
      </bottom>
      <diagonal/>
    </border>
    <border>
      <left style="thin">
        <color rgb="FF5D5D5D"/>
      </left>
      <right/>
      <top style="thin">
        <color rgb="FF5D5D5D"/>
      </top>
      <bottom style="thin">
        <color rgb="FF5D5D5D"/>
      </bottom>
      <diagonal/>
    </border>
    <border>
      <left style="thin">
        <color indexed="64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rgb="FF000000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indexed="64"/>
      </top>
      <bottom style="thin">
        <color theme="0" tint="-0.34998626667073579"/>
      </bottom>
      <diagonal/>
    </border>
    <border>
      <left style="thin">
        <color rgb="FF5D5D5D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 style="thin">
        <color rgb="FF5D5D5D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thin">
        <color rgb="FF5D5D5D"/>
      </top>
      <bottom style="thin">
        <color rgb="FF5D5D5D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5D5D5D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5D5D5D"/>
      </bottom>
      <diagonal/>
    </border>
    <border>
      <left/>
      <right/>
      <top style="thin">
        <color rgb="FF5D5D5D"/>
      </top>
      <bottom style="thin">
        <color rgb="FF5D5D5D"/>
      </bottom>
      <diagonal/>
    </border>
    <border>
      <left/>
      <right/>
      <top/>
      <bottom style="thin">
        <color rgb="FF5D5D5D"/>
      </bottom>
      <diagonal/>
    </border>
    <border>
      <left/>
      <right style="thin">
        <color rgb="FF000000"/>
      </right>
      <top style="thin">
        <color rgb="FF5D5D5D"/>
      </top>
      <bottom style="thin">
        <color rgb="FF5D5D5D"/>
      </bottom>
      <diagonal/>
    </border>
    <border>
      <left style="thin">
        <color rgb="FF000000"/>
      </left>
      <right/>
      <top style="thin">
        <color rgb="FF5D5D5D"/>
      </top>
      <bottom/>
      <diagonal/>
    </border>
    <border>
      <left/>
      <right/>
      <top style="thin">
        <color rgb="FF5D5D5D"/>
      </top>
      <bottom/>
      <diagonal/>
    </border>
    <border>
      <left/>
      <right style="thin">
        <color rgb="FF000000"/>
      </right>
      <top style="thin">
        <color rgb="FF5D5D5D"/>
      </top>
      <bottom/>
      <diagonal/>
    </border>
    <border>
      <left style="thin">
        <color rgb="FF5D5D5D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5D5D5D"/>
      </right>
      <top style="thin">
        <color rgb="FF000000"/>
      </top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7">
    <xf numFmtId="0" fontId="0" fillId="0" borderId="0" xfId="0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41" fontId="19" fillId="2" borderId="1" xfId="1" applyFont="1" applyFill="1" applyBorder="1" applyAlignment="1">
      <alignment vertical="center"/>
    </xf>
    <xf numFmtId="41" fontId="19" fillId="2" borderId="1" xfId="1" applyFont="1" applyFill="1" applyBorder="1" applyAlignment="1">
      <alignment vertical="center" wrapText="1"/>
    </xf>
    <xf numFmtId="0" fontId="14" fillId="3" borderId="20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shrinkToFit="1"/>
    </xf>
    <xf numFmtId="0" fontId="15" fillId="5" borderId="24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8" fillId="3" borderId="1" xfId="0" quotePrefix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5" fillId="3" borderId="38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41" fontId="20" fillId="6" borderId="1" xfId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right" vertical="center" wrapText="1"/>
    </xf>
    <xf numFmtId="0" fontId="21" fillId="7" borderId="0" xfId="0" applyFont="1" applyFill="1" applyBorder="1" applyAlignment="1">
      <alignment horizontal="left" vertical="center" wrapText="1"/>
    </xf>
    <xf numFmtId="0" fontId="21" fillId="7" borderId="0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left" vertical="center" shrinkToFit="1"/>
    </xf>
    <xf numFmtId="0" fontId="15" fillId="3" borderId="39" xfId="0" applyFont="1" applyFill="1" applyBorder="1" applyAlignment="1">
      <alignment horizontal="center" vertical="center" wrapText="1"/>
    </xf>
    <xf numFmtId="0" fontId="15" fillId="8" borderId="40" xfId="0" applyFont="1" applyFill="1" applyBorder="1" applyAlignment="1">
      <alignment horizontal="center" vertical="center" wrapText="1"/>
    </xf>
    <xf numFmtId="0" fontId="17" fillId="4" borderId="41" xfId="0" applyFont="1" applyFill="1" applyBorder="1" applyAlignment="1">
      <alignment horizontal="center" vertical="center" wrapText="1"/>
    </xf>
    <xf numFmtId="0" fontId="23" fillId="3" borderId="1" xfId="0" quotePrefix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24" fillId="0" borderId="42" xfId="0" applyFont="1" applyBorder="1" applyAlignment="1">
      <alignment horizontal="left" vertical="center" wrapText="1"/>
    </xf>
    <xf numFmtId="0" fontId="25" fillId="8" borderId="40" xfId="0" applyFont="1" applyFill="1" applyBorder="1" applyAlignment="1">
      <alignment horizontal="center" vertical="center" wrapText="1"/>
    </xf>
    <xf numFmtId="176" fontId="16" fillId="0" borderId="36" xfId="0" applyNumberFormat="1" applyFont="1" applyBorder="1" applyAlignment="1">
      <alignment horizontal="center" vertical="center" wrapText="1"/>
    </xf>
    <xf numFmtId="3" fontId="16" fillId="0" borderId="30" xfId="0" applyNumberFormat="1" applyFont="1" applyBorder="1" applyAlignment="1">
      <alignment horizontal="center" vertical="center" wrapText="1"/>
    </xf>
    <xf numFmtId="176" fontId="16" fillId="0" borderId="43" xfId="0" applyNumberFormat="1" applyFont="1" applyBorder="1" applyAlignment="1">
      <alignment horizontal="center" vertical="center" wrapText="1"/>
    </xf>
    <xf numFmtId="0" fontId="16" fillId="0" borderId="43" xfId="0" quotePrefix="1" applyFont="1" applyBorder="1" applyAlignment="1">
      <alignment horizontal="center" vertical="center" wrapText="1"/>
    </xf>
    <xf numFmtId="176" fontId="16" fillId="0" borderId="30" xfId="0" applyNumberFormat="1" applyFont="1" applyBorder="1" applyAlignment="1">
      <alignment horizontal="center" vertical="center" wrapText="1"/>
    </xf>
    <xf numFmtId="0" fontId="16" fillId="0" borderId="30" xfId="0" quotePrefix="1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3" fontId="16" fillId="0" borderId="33" xfId="0" applyNumberFormat="1" applyFont="1" applyBorder="1" applyAlignment="1">
      <alignment horizontal="center" vertical="center" wrapText="1"/>
    </xf>
    <xf numFmtId="0" fontId="17" fillId="4" borderId="45" xfId="0" applyFont="1" applyFill="1" applyBorder="1" applyAlignment="1">
      <alignment horizontal="center" vertical="center" wrapText="1"/>
    </xf>
    <xf numFmtId="0" fontId="17" fillId="4" borderId="46" xfId="0" applyFont="1" applyFill="1" applyBorder="1" applyAlignment="1">
      <alignment horizontal="center" vertical="center" wrapText="1"/>
    </xf>
    <xf numFmtId="0" fontId="17" fillId="4" borderId="47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49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10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6" fillId="2" borderId="11" xfId="0" applyFont="1" applyFill="1" applyBorder="1" applyAlignment="1">
      <alignment horizontal="left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2" borderId="13" xfId="0" applyFont="1" applyFill="1" applyBorder="1" applyAlignment="1">
      <alignment horizontal="left" vertical="center" wrapText="1"/>
    </xf>
    <xf numFmtId="0" fontId="16" fillId="2" borderId="14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16" fillId="2" borderId="15" xfId="0" quotePrefix="1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5" xfId="0" quotePrefix="1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21" fillId="7" borderId="51" xfId="0" applyFont="1" applyFill="1" applyBorder="1" applyAlignment="1">
      <alignment horizontal="left" vertical="center" wrapText="1"/>
    </xf>
    <xf numFmtId="0" fontId="21" fillId="7" borderId="0" xfId="0" applyFont="1" applyFill="1" applyBorder="1" applyAlignment="1">
      <alignment horizontal="left" vertical="center" wrapText="1"/>
    </xf>
    <xf numFmtId="0" fontId="21" fillId="7" borderId="52" xfId="0" applyFont="1" applyFill="1" applyBorder="1" applyAlignment="1">
      <alignment horizontal="left" vertical="center" wrapText="1"/>
    </xf>
    <xf numFmtId="0" fontId="16" fillId="2" borderId="15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5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41" fontId="20" fillId="6" borderId="3" xfId="1" applyFont="1" applyFill="1" applyBorder="1" applyAlignment="1">
      <alignment horizontal="center" vertical="center"/>
    </xf>
    <xf numFmtId="41" fontId="20" fillId="6" borderId="2" xfId="1" applyFont="1" applyFill="1" applyBorder="1" applyAlignment="1">
      <alignment horizontal="center" vertical="center"/>
    </xf>
    <xf numFmtId="41" fontId="20" fillId="2" borderId="15" xfId="1" applyFont="1" applyFill="1" applyBorder="1" applyAlignment="1">
      <alignment horizontal="center" vertical="center"/>
    </xf>
    <xf numFmtId="41" fontId="20" fillId="2" borderId="2" xfId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49" fontId="16" fillId="2" borderId="4" xfId="0" applyNumberFormat="1" applyFont="1" applyFill="1" applyBorder="1" applyAlignment="1">
      <alignment horizontal="center" vertical="center" wrapText="1"/>
    </xf>
    <xf numFmtId="49" fontId="16" fillId="2" borderId="6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6" fillId="2" borderId="8" xfId="0" quotePrefix="1" applyFont="1" applyFill="1" applyBorder="1" applyAlignment="1">
      <alignment horizontal="left" vertical="center" wrapText="1"/>
    </xf>
    <xf numFmtId="0" fontId="16" fillId="2" borderId="9" xfId="0" quotePrefix="1" applyFont="1" applyFill="1" applyBorder="1" applyAlignment="1">
      <alignment horizontal="left" vertical="center" wrapText="1"/>
    </xf>
    <xf numFmtId="0" fontId="16" fillId="2" borderId="10" xfId="0" quotePrefix="1" applyFont="1" applyFill="1" applyBorder="1" applyAlignment="1">
      <alignment horizontal="left" vertical="center" wrapText="1"/>
    </xf>
    <xf numFmtId="0" fontId="16" fillId="2" borderId="0" xfId="0" quotePrefix="1" applyFont="1" applyFill="1" applyAlignment="1">
      <alignment horizontal="left" vertical="center" wrapText="1"/>
    </xf>
    <xf numFmtId="0" fontId="16" fillId="2" borderId="11" xfId="0" quotePrefix="1" applyFont="1" applyFill="1" applyBorder="1" applyAlignment="1">
      <alignment horizontal="left" vertical="center" wrapText="1"/>
    </xf>
    <xf numFmtId="0" fontId="16" fillId="2" borderId="12" xfId="0" quotePrefix="1" applyFont="1" applyFill="1" applyBorder="1" applyAlignment="1">
      <alignment horizontal="left" vertical="center" wrapText="1"/>
    </xf>
    <xf numFmtId="0" fontId="16" fillId="2" borderId="13" xfId="0" quotePrefix="1" applyFont="1" applyFill="1" applyBorder="1" applyAlignment="1">
      <alignment horizontal="left" vertical="center" wrapText="1"/>
    </xf>
    <xf numFmtId="0" fontId="16" fillId="2" borderId="14" xfId="0" quotePrefix="1" applyFont="1" applyFill="1" applyBorder="1" applyAlignment="1">
      <alignment horizontal="left" vertical="center" wrapText="1"/>
    </xf>
    <xf numFmtId="0" fontId="15" fillId="5" borderId="63" xfId="0" applyFont="1" applyFill="1" applyBorder="1" applyAlignment="1">
      <alignment horizontal="center" vertical="center" wrapText="1"/>
    </xf>
    <xf numFmtId="0" fontId="15" fillId="5" borderId="64" xfId="0" applyFont="1" applyFill="1" applyBorder="1" applyAlignment="1">
      <alignment horizontal="center" vertical="center" wrapText="1"/>
    </xf>
    <xf numFmtId="0" fontId="15" fillId="5" borderId="65" xfId="0" applyFont="1" applyFill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67" xfId="0" applyFont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left" vertical="center" wrapText="1"/>
    </xf>
    <xf numFmtId="0" fontId="15" fillId="9" borderId="3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7" fillId="4" borderId="6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6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70" xfId="0" applyFont="1" applyFill="1" applyBorder="1" applyAlignment="1">
      <alignment horizontal="center" vertical="center" wrapText="1"/>
    </xf>
    <xf numFmtId="0" fontId="21" fillId="7" borderId="0" xfId="0" applyFont="1" applyFill="1" applyBorder="1" applyAlignment="1">
      <alignment horizontal="left" vertical="center"/>
    </xf>
    <xf numFmtId="0" fontId="15" fillId="3" borderId="54" xfId="0" applyFont="1" applyFill="1" applyBorder="1" applyAlignment="1">
      <alignment horizontal="center" vertical="center" wrapTex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3">
    <cellStyle name="쉼표 [0]" xfId="1" builtinId="6"/>
    <cellStyle name="쉼표 [0] 2" xfId="2" xr:uid="{00000000-0005-0000-0000-000001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996950</xdr:colOff>
          <xdr:row>18</xdr:row>
          <xdr:rowOff>31750</xdr:rowOff>
        </xdr:from>
        <xdr:to>
          <xdr:col>2</xdr:col>
          <xdr:colOff>698500</xdr:colOff>
          <xdr:row>18</xdr:row>
          <xdr:rowOff>234950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여신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18</xdr:row>
          <xdr:rowOff>31750</xdr:rowOff>
        </xdr:from>
        <xdr:to>
          <xdr:col>3</xdr:col>
          <xdr:colOff>819150</xdr:colOff>
          <xdr:row>18</xdr:row>
          <xdr:rowOff>247650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0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수신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863600</xdr:colOff>
          <xdr:row>18</xdr:row>
          <xdr:rowOff>31750</xdr:rowOff>
        </xdr:from>
        <xdr:to>
          <xdr:col>4</xdr:col>
          <xdr:colOff>425450</xdr:colOff>
          <xdr:row>18</xdr:row>
          <xdr:rowOff>234950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국제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18</xdr:row>
          <xdr:rowOff>31750</xdr:rowOff>
        </xdr:from>
        <xdr:to>
          <xdr:col>5</xdr:col>
          <xdr:colOff>742950</xdr:colOff>
          <xdr:row>18</xdr:row>
          <xdr:rowOff>247650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리스크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863600</xdr:colOff>
          <xdr:row>18</xdr:row>
          <xdr:rowOff>31750</xdr:rowOff>
        </xdr:from>
        <xdr:to>
          <xdr:col>6</xdr:col>
          <xdr:colOff>628650</xdr:colOff>
          <xdr:row>18</xdr:row>
          <xdr:rowOff>234950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관리지원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768350</xdr:colOff>
          <xdr:row>18</xdr:row>
          <xdr:rowOff>31750</xdr:rowOff>
        </xdr:from>
        <xdr:to>
          <xdr:col>7</xdr:col>
          <xdr:colOff>215900</xdr:colOff>
          <xdr:row>18</xdr:row>
          <xdr:rowOff>234950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882650</xdr:colOff>
          <xdr:row>19</xdr:row>
          <xdr:rowOff>12700</xdr:rowOff>
        </xdr:from>
        <xdr:to>
          <xdr:col>3</xdr:col>
          <xdr:colOff>0</xdr:colOff>
          <xdr:row>19</xdr:row>
          <xdr:rowOff>228600</xdr:rowOff>
        </xdr:to>
        <xdr:sp macro="" textlink="">
          <xdr:nvSpPr>
            <xdr:cNvPr id="7192" name="Check Box 24" descr="신규 개발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0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신규 개발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19</xdr:row>
          <xdr:rowOff>12700</xdr:rowOff>
        </xdr:from>
        <xdr:to>
          <xdr:col>4</xdr:col>
          <xdr:colOff>393700</xdr:colOff>
          <xdr:row>19</xdr:row>
          <xdr:rowOff>234950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0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기능 개선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12700</xdr:rowOff>
        </xdr:from>
        <xdr:to>
          <xdr:col>6</xdr:col>
          <xdr:colOff>666750</xdr:colOff>
          <xdr:row>19</xdr:row>
          <xdr:rowOff>228600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0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19</xdr:row>
          <xdr:rowOff>31750</xdr:rowOff>
        </xdr:from>
        <xdr:to>
          <xdr:col>5</xdr:col>
          <xdr:colOff>381000</xdr:colOff>
          <xdr:row>19</xdr:row>
          <xdr:rowOff>234950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0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법률/규제 대응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12700</xdr:rowOff>
        </xdr:from>
        <xdr:to>
          <xdr:col>2</xdr:col>
          <xdr:colOff>736600</xdr:colOff>
          <xdr:row>21</xdr:row>
          <xdr:rowOff>228600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0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기업고객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21</xdr:row>
          <xdr:rowOff>12700</xdr:rowOff>
        </xdr:from>
        <xdr:to>
          <xdr:col>3</xdr:col>
          <xdr:colOff>768350</xdr:colOff>
          <xdr:row>21</xdr:row>
          <xdr:rowOff>228600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0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개인고객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850900</xdr:colOff>
          <xdr:row>21</xdr:row>
          <xdr:rowOff>12700</xdr:rowOff>
        </xdr:from>
        <xdr:to>
          <xdr:col>4</xdr:col>
          <xdr:colOff>717550</xdr:colOff>
          <xdr:row>21</xdr:row>
          <xdr:rowOff>228600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0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내부직원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</xdr:colOff>
          <xdr:row>21</xdr:row>
          <xdr:rowOff>12700</xdr:rowOff>
        </xdr:from>
        <xdr:to>
          <xdr:col>6</xdr:col>
          <xdr:colOff>527050</xdr:colOff>
          <xdr:row>21</xdr:row>
          <xdr:rowOff>228600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0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 기타(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12700</xdr:rowOff>
        </xdr:from>
        <xdr:to>
          <xdr:col>3</xdr:col>
          <xdr:colOff>361950</xdr:colOff>
          <xdr:row>26</xdr:row>
          <xdr:rowOff>228600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0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확정(변동가능성 無)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26</xdr:row>
          <xdr:rowOff>12700</xdr:rowOff>
        </xdr:from>
        <xdr:to>
          <xdr:col>8</xdr:col>
          <xdr:colOff>539750</xdr:colOff>
          <xdr:row>26</xdr:row>
          <xdr:rowOff>228600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0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추진계획 검토중 (유관부서검토 여부 :                                             ) (변동가능성 有)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26</xdr:row>
          <xdr:rowOff>12700</xdr:rowOff>
        </xdr:from>
        <xdr:to>
          <xdr:col>6</xdr:col>
          <xdr:colOff>603250</xdr:colOff>
          <xdr:row>26</xdr:row>
          <xdr:rowOff>228600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0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882650</xdr:colOff>
          <xdr:row>20</xdr:row>
          <xdr:rowOff>31750</xdr:rowOff>
        </xdr:from>
        <xdr:to>
          <xdr:col>2</xdr:col>
          <xdr:colOff>749300</xdr:colOff>
          <xdr:row>20</xdr:row>
          <xdr:rowOff>234950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0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빅데이터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31750</xdr:colOff>
          <xdr:row>20</xdr:row>
          <xdr:rowOff>31750</xdr:rowOff>
        </xdr:from>
        <xdr:to>
          <xdr:col>3</xdr:col>
          <xdr:colOff>558800</xdr:colOff>
          <xdr:row>20</xdr:row>
          <xdr:rowOff>247650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0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831850</xdr:colOff>
          <xdr:row>20</xdr:row>
          <xdr:rowOff>31750</xdr:rowOff>
        </xdr:from>
        <xdr:to>
          <xdr:col>4</xdr:col>
          <xdr:colOff>527050</xdr:colOff>
          <xdr:row>20</xdr:row>
          <xdr:rowOff>234950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0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클라우드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20</xdr:row>
          <xdr:rowOff>31750</xdr:rowOff>
        </xdr:from>
        <xdr:to>
          <xdr:col>6</xdr:col>
          <xdr:colOff>133350</xdr:colOff>
          <xdr:row>20</xdr:row>
          <xdr:rowOff>234950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0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블록체인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438150</xdr:colOff>
          <xdr:row>22</xdr:row>
          <xdr:rowOff>25400</xdr:rowOff>
        </xdr:from>
        <xdr:to>
          <xdr:col>3</xdr:col>
          <xdr:colOff>279400</xdr:colOff>
          <xdr:row>22</xdr:row>
          <xdr:rowOff>228600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0000000-0008-0000-0000-00004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비중복(N)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628650</xdr:colOff>
          <xdr:row>22</xdr:row>
          <xdr:rowOff>25400</xdr:rowOff>
        </xdr:from>
        <xdr:to>
          <xdr:col>4</xdr:col>
          <xdr:colOff>469900</xdr:colOff>
          <xdr:row>22</xdr:row>
          <xdr:rowOff>228600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0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중복(Y)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22</xdr:row>
          <xdr:rowOff>25400</xdr:rowOff>
        </xdr:from>
        <xdr:to>
          <xdr:col>7</xdr:col>
          <xdr:colOff>107950</xdr:colOff>
          <xdr:row>22</xdr:row>
          <xdr:rowOff>228600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0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2026년 이내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22</xdr:row>
          <xdr:rowOff>25400</xdr:rowOff>
        </xdr:from>
        <xdr:to>
          <xdr:col>7</xdr:col>
          <xdr:colOff>977900</xdr:colOff>
          <xdr:row>22</xdr:row>
          <xdr:rowOff>228600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0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2026년 이후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20</xdr:row>
          <xdr:rowOff>31750</xdr:rowOff>
        </xdr:from>
        <xdr:to>
          <xdr:col>7</xdr:col>
          <xdr:colOff>215900</xdr:colOff>
          <xdr:row>20</xdr:row>
          <xdr:rowOff>234950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0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플랫폼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69850</xdr:colOff>
          <xdr:row>20</xdr:row>
          <xdr:rowOff>31750</xdr:rowOff>
        </xdr:from>
        <xdr:to>
          <xdr:col>8</xdr:col>
          <xdr:colOff>285750</xdr:colOff>
          <xdr:row>20</xdr:row>
          <xdr:rowOff>234950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0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핀테크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50800</xdr:colOff>
          <xdr:row>20</xdr:row>
          <xdr:rowOff>12700</xdr:rowOff>
        </xdr:from>
        <xdr:to>
          <xdr:col>9</xdr:col>
          <xdr:colOff>171450</xdr:colOff>
          <xdr:row>20</xdr:row>
          <xdr:rowOff>234950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0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기타(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19</xdr:row>
          <xdr:rowOff>12700</xdr:rowOff>
        </xdr:from>
        <xdr:to>
          <xdr:col>8</xdr:col>
          <xdr:colOff>850900</xdr:colOff>
          <xdr:row>19</xdr:row>
          <xdr:rowOff>228600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0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539750</xdr:colOff>
          <xdr:row>18</xdr:row>
          <xdr:rowOff>31750</xdr:rowOff>
        </xdr:from>
        <xdr:to>
          <xdr:col>8</xdr:col>
          <xdr:colOff>838200</xdr:colOff>
          <xdr:row>18</xdr:row>
          <xdr:rowOff>234950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0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12700</xdr:rowOff>
        </xdr:from>
        <xdr:to>
          <xdr:col>3</xdr:col>
          <xdr:colOff>527050</xdr:colOff>
          <xdr:row>25</xdr:row>
          <xdr:rowOff>228600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0000000-0008-0000-0000-00005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부문(본부장)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25</xdr:row>
          <xdr:rowOff>31750</xdr:rowOff>
        </xdr:from>
        <xdr:to>
          <xdr:col>4</xdr:col>
          <xdr:colOff>571500</xdr:colOff>
          <xdr:row>25</xdr:row>
          <xdr:rowOff>234950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00000000-0008-0000-0000-00005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부서장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768350</xdr:colOff>
          <xdr:row>25</xdr:row>
          <xdr:rowOff>31750</xdr:rowOff>
        </xdr:from>
        <xdr:to>
          <xdr:col>6</xdr:col>
          <xdr:colOff>406400</xdr:colOff>
          <xdr:row>25</xdr:row>
          <xdr:rowOff>234950</xdr:rowOff>
        </xdr:to>
        <xdr:sp macro="" textlink="">
          <xdr:nvSpPr>
            <xdr:cNvPr id="7260" name="Check Box 92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00000000-0008-0000-0000-00005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22</xdr:row>
          <xdr:rowOff>6350</xdr:rowOff>
        </xdr:from>
        <xdr:to>
          <xdr:col>8</xdr:col>
          <xdr:colOff>946150</xdr:colOff>
          <xdr:row>22</xdr:row>
          <xdr:rowOff>228600</xdr:rowOff>
        </xdr:to>
        <xdr:sp macro="" textlink="">
          <xdr:nvSpPr>
            <xdr:cNvPr id="7264" name="Check Box 96" hidden="1">
              <a:extLst>
                <a:ext uri="{63B3BB69-23CF-44E3-9099-C40C66FF867C}">
                  <a14:compatExt spid="_x0000_s7264"/>
                </a:ext>
                <a:ext uri="{FF2B5EF4-FFF2-40B4-BE49-F238E27FC236}">
                  <a16:creationId xmlns:a16="http://schemas.microsoft.com/office/drawing/2014/main" id="{00000000-0008-0000-0000-00006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별도없음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19</xdr:row>
          <xdr:rowOff>12700</xdr:rowOff>
        </xdr:from>
        <xdr:to>
          <xdr:col>7</xdr:col>
          <xdr:colOff>781050</xdr:colOff>
          <xdr:row>19</xdr:row>
          <xdr:rowOff>228600</xdr:rowOff>
        </xdr:to>
        <xdr:sp macro="" textlink="">
          <xdr:nvSpPr>
            <xdr:cNvPr id="7265" name="Check Box 97" hidden="1">
              <a:extLst>
                <a:ext uri="{63B3BB69-23CF-44E3-9099-C40C66FF867C}">
                  <a14:compatExt spid="_x0000_s7265"/>
                </a:ext>
                <a:ext uri="{FF2B5EF4-FFF2-40B4-BE49-F238E27FC236}">
                  <a16:creationId xmlns:a16="http://schemas.microsoft.com/office/drawing/2014/main" id="{00000000-0008-0000-0000-00006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698500</xdr:colOff>
          <xdr:row>26</xdr:row>
          <xdr:rowOff>12700</xdr:rowOff>
        </xdr:from>
        <xdr:to>
          <xdr:col>7</xdr:col>
          <xdr:colOff>209550</xdr:colOff>
          <xdr:row>26</xdr:row>
          <xdr:rowOff>228600</xdr:rowOff>
        </xdr:to>
        <xdr:sp macro="" textlink="">
          <xdr:nvSpPr>
            <xdr:cNvPr id="7267" name="Check Box 99" hidden="1">
              <a:extLst>
                <a:ext uri="{63B3BB69-23CF-44E3-9099-C40C66FF867C}">
                  <a14:compatExt spid="_x0000_s7267"/>
                </a:ext>
                <a:ext uri="{FF2B5EF4-FFF2-40B4-BE49-F238E27FC236}">
                  <a16:creationId xmlns:a16="http://schemas.microsoft.com/office/drawing/2014/main" id="{00000000-0008-0000-0000-00006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342900</xdr:colOff>
          <xdr:row>26</xdr:row>
          <xdr:rowOff>12700</xdr:rowOff>
        </xdr:from>
        <xdr:to>
          <xdr:col>7</xdr:col>
          <xdr:colOff>863600</xdr:colOff>
          <xdr:row>26</xdr:row>
          <xdr:rowOff>234950</xdr:rowOff>
        </xdr:to>
        <xdr:sp macro="" textlink="">
          <xdr:nvSpPr>
            <xdr:cNvPr id="7268" name="Check Box 100" hidden="1">
              <a:extLst>
                <a:ext uri="{63B3BB69-23CF-44E3-9099-C40C66FF867C}">
                  <a14:compatExt spid="_x0000_s7268"/>
                </a:ext>
                <a:ext uri="{FF2B5EF4-FFF2-40B4-BE49-F238E27FC236}">
                  <a16:creationId xmlns:a16="http://schemas.microsoft.com/office/drawing/2014/main" id="{00000000-0008-0000-0000-00006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N/A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6</xdr:row>
          <xdr:rowOff>0</xdr:rowOff>
        </xdr:from>
        <xdr:to>
          <xdr:col>2</xdr:col>
          <xdr:colOff>762000</xdr:colOff>
          <xdr:row>7</xdr:row>
          <xdr:rowOff>38100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1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895350</xdr:colOff>
          <xdr:row>5</xdr:row>
          <xdr:rowOff>330200</xdr:rowOff>
        </xdr:from>
        <xdr:to>
          <xdr:col>2</xdr:col>
          <xdr:colOff>1511300</xdr:colOff>
          <xdr:row>7</xdr:row>
          <xdr:rowOff>31750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1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계정계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1682750</xdr:colOff>
          <xdr:row>6</xdr:row>
          <xdr:rowOff>0</xdr:rowOff>
        </xdr:from>
        <xdr:to>
          <xdr:col>2</xdr:col>
          <xdr:colOff>2336800</xdr:colOff>
          <xdr:row>7</xdr:row>
          <xdr:rowOff>38100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1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정보계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6</xdr:row>
          <xdr:rowOff>0</xdr:rowOff>
        </xdr:from>
        <xdr:to>
          <xdr:col>3</xdr:col>
          <xdr:colOff>793750</xdr:colOff>
          <xdr:row>7</xdr:row>
          <xdr:rowOff>38100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경영관리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</xdr:row>
          <xdr:rowOff>0</xdr:rowOff>
        </xdr:from>
        <xdr:to>
          <xdr:col>4</xdr:col>
          <xdr:colOff>552450</xdr:colOff>
          <xdr:row>7</xdr:row>
          <xdr:rowOff>38100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628650</xdr:colOff>
          <xdr:row>6</xdr:row>
          <xdr:rowOff>0</xdr:rowOff>
        </xdr:from>
        <xdr:to>
          <xdr:col>5</xdr:col>
          <xdr:colOff>361950</xdr:colOff>
          <xdr:row>7</xdr:row>
          <xdr:rowOff>38100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1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101600</xdr:colOff>
          <xdr:row>7</xdr:row>
          <xdr:rowOff>38100</xdr:rowOff>
        </xdr:from>
        <xdr:to>
          <xdr:col>2</xdr:col>
          <xdr:colOff>730250</xdr:colOff>
          <xdr:row>7</xdr:row>
          <xdr:rowOff>355600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1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온라인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895350</xdr:colOff>
          <xdr:row>7</xdr:row>
          <xdr:rowOff>38100</xdr:rowOff>
        </xdr:from>
        <xdr:to>
          <xdr:col>2</xdr:col>
          <xdr:colOff>1536700</xdr:colOff>
          <xdr:row>7</xdr:row>
          <xdr:rowOff>355600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1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24*365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1682750</xdr:colOff>
          <xdr:row>7</xdr:row>
          <xdr:rowOff>38100</xdr:rowOff>
        </xdr:from>
        <xdr:to>
          <xdr:col>2</xdr:col>
          <xdr:colOff>2324100</xdr:colOff>
          <xdr:row>7</xdr:row>
          <xdr:rowOff>349250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1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이중화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7</xdr:row>
          <xdr:rowOff>38100</xdr:rowOff>
        </xdr:from>
        <xdr:to>
          <xdr:col>3</xdr:col>
          <xdr:colOff>831850</xdr:colOff>
          <xdr:row>7</xdr:row>
          <xdr:rowOff>355600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1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재해복구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7</xdr:row>
          <xdr:rowOff>38100</xdr:rowOff>
        </xdr:from>
        <xdr:to>
          <xdr:col>4</xdr:col>
          <xdr:colOff>717550</xdr:colOff>
          <xdr:row>7</xdr:row>
          <xdr:rowOff>368300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1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 연동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7</xdr:row>
          <xdr:rowOff>38100</xdr:rowOff>
        </xdr:from>
        <xdr:to>
          <xdr:col>5</xdr:col>
          <xdr:colOff>711200</xdr:colOff>
          <xdr:row>7</xdr:row>
          <xdr:rowOff>368300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1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대외기관 연동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136</xdr:row>
      <xdr:rowOff>27214</xdr:rowOff>
    </xdr:from>
    <xdr:to>
      <xdr:col>17</xdr:col>
      <xdr:colOff>713014</xdr:colOff>
      <xdr:row>214</xdr:row>
      <xdr:rowOff>43543</xdr:rowOff>
    </xdr:to>
    <xdr:pic>
      <xdr:nvPicPr>
        <xdr:cNvPr id="16445" name="그림 2">
          <a:extLst>
            <a:ext uri="{FF2B5EF4-FFF2-40B4-BE49-F238E27FC236}">
              <a16:creationId xmlns:a16="http://schemas.microsoft.com/office/drawing/2014/main" id="{0F54C273-BBD7-493C-BD2C-BA360BFF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16014"/>
          <a:ext cx="13296900" cy="14026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157843</xdr:colOff>
      <xdr:row>1</xdr:row>
      <xdr:rowOff>130629</xdr:rowOff>
    </xdr:from>
    <xdr:to>
      <xdr:col>17</xdr:col>
      <xdr:colOff>97971</xdr:colOff>
      <xdr:row>54</xdr:row>
      <xdr:rowOff>136071</xdr:rowOff>
    </xdr:to>
    <xdr:pic>
      <xdr:nvPicPr>
        <xdr:cNvPr id="16446" name="그림 1">
          <a:extLst>
            <a:ext uri="{FF2B5EF4-FFF2-40B4-BE49-F238E27FC236}">
              <a16:creationId xmlns:a16="http://schemas.microsoft.com/office/drawing/2014/main" id="{E42A62EC-42B0-44D3-A388-3472AFD7C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843" y="517071"/>
          <a:ext cx="12524014" cy="952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223157</xdr:colOff>
      <xdr:row>57</xdr:row>
      <xdr:rowOff>92529</xdr:rowOff>
    </xdr:from>
    <xdr:to>
      <xdr:col>17</xdr:col>
      <xdr:colOff>625929</xdr:colOff>
      <xdr:row>136</xdr:row>
      <xdr:rowOff>65314</xdr:rowOff>
    </xdr:to>
    <xdr:pic>
      <xdr:nvPicPr>
        <xdr:cNvPr id="16447" name="그림 2">
          <a:extLst>
            <a:ext uri="{FF2B5EF4-FFF2-40B4-BE49-F238E27FC236}">
              <a16:creationId xmlns:a16="http://schemas.microsoft.com/office/drawing/2014/main" id="{C47D8EE7-A830-4A7E-ACBE-829FF568E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157" y="10591800"/>
          <a:ext cx="12986657" cy="14162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13" Type="http://schemas.openxmlformats.org/officeDocument/2006/relationships/ctrlProp" Target="../ctrlProps/ctrlProp4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1.xml"/><Relationship Id="rId12" Type="http://schemas.openxmlformats.org/officeDocument/2006/relationships/ctrlProp" Target="../ctrlProps/ctrlProp4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0.xml"/><Relationship Id="rId11" Type="http://schemas.openxmlformats.org/officeDocument/2006/relationships/ctrlProp" Target="../ctrlProps/ctrlProp45.xml"/><Relationship Id="rId5" Type="http://schemas.openxmlformats.org/officeDocument/2006/relationships/ctrlProp" Target="../ctrlProps/ctrlProp39.xml"/><Relationship Id="rId15" Type="http://schemas.openxmlformats.org/officeDocument/2006/relationships/ctrlProp" Target="../ctrlProps/ctrlProp49.xml"/><Relationship Id="rId10" Type="http://schemas.openxmlformats.org/officeDocument/2006/relationships/ctrlProp" Target="../ctrlProps/ctrlProp44.xml"/><Relationship Id="rId4" Type="http://schemas.openxmlformats.org/officeDocument/2006/relationships/ctrlProp" Target="../ctrlProps/ctrlProp38.xml"/><Relationship Id="rId9" Type="http://schemas.openxmlformats.org/officeDocument/2006/relationships/ctrlProp" Target="../ctrlProps/ctrlProp43.xml"/><Relationship Id="rId14" Type="http://schemas.openxmlformats.org/officeDocument/2006/relationships/ctrlProp" Target="../ctrlProps/ctrlProp4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I35"/>
  <sheetViews>
    <sheetView tabSelected="1" view="pageBreakPreview" zoomScaleNormal="100" zoomScaleSheetLayoutView="100" workbookViewId="0">
      <selection activeCell="L4" sqref="L4"/>
    </sheetView>
  </sheetViews>
  <sheetFormatPr defaultColWidth="8.9140625" defaultRowHeight="13"/>
  <cols>
    <col min="1" max="1" width="18.33203125" style="1" customWidth="1"/>
    <col min="2" max="5" width="10.83203125" style="1" customWidth="1"/>
    <col min="6" max="6" width="12" style="1" customWidth="1"/>
    <col min="7" max="7" width="10.83203125" style="1" customWidth="1"/>
    <col min="8" max="8" width="12.9140625" style="1" customWidth="1"/>
    <col min="9" max="9" width="37.9140625" style="1" customWidth="1"/>
    <col min="10" max="16384" width="8.9140625" style="1"/>
  </cols>
  <sheetData>
    <row r="1" spans="1:9" s="3" customFormat="1" ht="30" customHeight="1">
      <c r="A1" s="103" t="s">
        <v>51</v>
      </c>
      <c r="B1" s="104"/>
      <c r="C1" s="104"/>
      <c r="D1" s="104"/>
      <c r="E1" s="104"/>
      <c r="F1" s="104"/>
      <c r="G1" s="104"/>
      <c r="H1" s="104"/>
      <c r="I1" s="105"/>
    </row>
    <row r="2" spans="1:9" s="3" customFormat="1" ht="17.25" customHeight="1">
      <c r="A2" s="48"/>
      <c r="B2" s="48"/>
      <c r="C2" s="48"/>
      <c r="D2" s="48"/>
      <c r="E2" s="48"/>
      <c r="F2" s="51" t="s">
        <v>68</v>
      </c>
      <c r="G2" s="52" t="s">
        <v>77</v>
      </c>
      <c r="H2" s="51" t="s">
        <v>69</v>
      </c>
      <c r="I2" s="52" t="s">
        <v>78</v>
      </c>
    </row>
    <row r="3" spans="1:9" s="2" customFormat="1" ht="41.25" customHeight="1">
      <c r="A3" s="10" t="s">
        <v>0</v>
      </c>
      <c r="B3" s="106" t="s">
        <v>76</v>
      </c>
      <c r="C3" s="107"/>
      <c r="D3" s="107"/>
      <c r="E3" s="107"/>
      <c r="F3" s="107"/>
      <c r="G3" s="107"/>
      <c r="H3" s="107"/>
      <c r="I3" s="108"/>
    </row>
    <row r="4" spans="1:9" s="2" customFormat="1" ht="44" customHeight="1">
      <c r="A4" s="68" t="s">
        <v>14</v>
      </c>
      <c r="B4" s="21" t="s">
        <v>21</v>
      </c>
      <c r="C4" s="89" t="s">
        <v>96</v>
      </c>
      <c r="D4" s="90"/>
      <c r="E4" s="90"/>
      <c r="F4" s="90"/>
      <c r="G4" s="90"/>
      <c r="H4" s="90"/>
      <c r="I4" s="91"/>
    </row>
    <row r="5" spans="1:9" ht="113.5" customHeight="1">
      <c r="A5" s="69"/>
      <c r="B5" s="22" t="s">
        <v>22</v>
      </c>
      <c r="C5" s="92" t="s">
        <v>102</v>
      </c>
      <c r="D5" s="93"/>
      <c r="E5" s="93"/>
      <c r="F5" s="93"/>
      <c r="G5" s="93"/>
      <c r="H5" s="93"/>
      <c r="I5" s="94"/>
    </row>
    <row r="6" spans="1:9" ht="106" customHeight="1">
      <c r="A6" s="69"/>
      <c r="B6" s="22" t="s">
        <v>67</v>
      </c>
      <c r="C6" s="89" t="s">
        <v>91</v>
      </c>
      <c r="D6" s="90"/>
      <c r="E6" s="90"/>
      <c r="F6" s="90"/>
      <c r="G6" s="90"/>
      <c r="H6" s="90"/>
      <c r="I6" s="91"/>
    </row>
    <row r="7" spans="1:9" ht="76.25" customHeight="1">
      <c r="A7" s="69"/>
      <c r="B7" s="22" t="s">
        <v>66</v>
      </c>
      <c r="C7" s="89" t="s">
        <v>95</v>
      </c>
      <c r="D7" s="90"/>
      <c r="E7" s="90"/>
      <c r="F7" s="90"/>
      <c r="G7" s="90"/>
      <c r="H7" s="90"/>
      <c r="I7" s="91"/>
    </row>
    <row r="8" spans="1:9" ht="48" customHeight="1">
      <c r="A8" s="72"/>
      <c r="B8" s="21" t="s">
        <v>23</v>
      </c>
      <c r="C8" s="89" t="s">
        <v>100</v>
      </c>
      <c r="D8" s="90"/>
      <c r="E8" s="90"/>
      <c r="F8" s="90"/>
      <c r="G8" s="90"/>
      <c r="H8" s="90"/>
      <c r="I8" s="91"/>
    </row>
    <row r="9" spans="1:9" ht="20.149999999999999" customHeight="1">
      <c r="A9" s="68" t="s">
        <v>57</v>
      </c>
      <c r="B9" s="92" t="s">
        <v>101</v>
      </c>
      <c r="C9" s="131"/>
      <c r="D9" s="131"/>
      <c r="E9" s="131"/>
      <c r="F9" s="131"/>
      <c r="G9" s="131"/>
      <c r="H9" s="131"/>
      <c r="I9" s="132"/>
    </row>
    <row r="10" spans="1:9" ht="20.149999999999999" customHeight="1">
      <c r="A10" s="69"/>
      <c r="B10" s="133"/>
      <c r="C10" s="134"/>
      <c r="D10" s="134"/>
      <c r="E10" s="134"/>
      <c r="F10" s="134"/>
      <c r="G10" s="134"/>
      <c r="H10" s="134"/>
      <c r="I10" s="135"/>
    </row>
    <row r="11" spans="1:9" ht="20.149999999999999" customHeight="1">
      <c r="A11" s="69"/>
      <c r="B11" s="133"/>
      <c r="C11" s="134"/>
      <c r="D11" s="134"/>
      <c r="E11" s="134"/>
      <c r="F11" s="134"/>
      <c r="G11" s="134"/>
      <c r="H11" s="134"/>
      <c r="I11" s="135"/>
    </row>
    <row r="12" spans="1:9" ht="20.149999999999999" customHeight="1">
      <c r="A12" s="69"/>
      <c r="B12" s="133"/>
      <c r="C12" s="134"/>
      <c r="D12" s="134"/>
      <c r="E12" s="134"/>
      <c r="F12" s="134"/>
      <c r="G12" s="134"/>
      <c r="H12" s="134"/>
      <c r="I12" s="135"/>
    </row>
    <row r="13" spans="1:9" ht="20.149999999999999" customHeight="1">
      <c r="A13" s="69"/>
      <c r="B13" s="133"/>
      <c r="C13" s="134"/>
      <c r="D13" s="134"/>
      <c r="E13" s="134"/>
      <c r="F13" s="134"/>
      <c r="G13" s="134"/>
      <c r="H13" s="134"/>
      <c r="I13" s="135"/>
    </row>
    <row r="14" spans="1:9" ht="20.149999999999999" customHeight="1">
      <c r="A14" s="69"/>
      <c r="B14" s="133"/>
      <c r="C14" s="134"/>
      <c r="D14" s="134"/>
      <c r="E14" s="134"/>
      <c r="F14" s="134"/>
      <c r="G14" s="134"/>
      <c r="H14" s="134"/>
      <c r="I14" s="135"/>
    </row>
    <row r="15" spans="1:9" ht="72" customHeight="1">
      <c r="A15" s="70"/>
      <c r="B15" s="136"/>
      <c r="C15" s="137"/>
      <c r="D15" s="137"/>
      <c r="E15" s="137"/>
      <c r="F15" s="137"/>
      <c r="G15" s="137"/>
      <c r="H15" s="137"/>
      <c r="I15" s="138"/>
    </row>
    <row r="16" spans="1:9" ht="27" customHeight="1">
      <c r="A16" s="73" t="s">
        <v>41</v>
      </c>
      <c r="B16" s="109" t="s">
        <v>39</v>
      </c>
      <c r="C16" s="79" t="s">
        <v>82</v>
      </c>
      <c r="D16" s="80"/>
      <c r="E16" s="81"/>
      <c r="F16" s="112" t="s">
        <v>40</v>
      </c>
      <c r="G16" s="92" t="s">
        <v>94</v>
      </c>
      <c r="H16" s="80"/>
      <c r="I16" s="81"/>
    </row>
    <row r="17" spans="1:9" ht="27" customHeight="1">
      <c r="A17" s="74"/>
      <c r="B17" s="110"/>
      <c r="C17" s="82"/>
      <c r="D17" s="83"/>
      <c r="E17" s="84"/>
      <c r="F17" s="113"/>
      <c r="G17" s="82"/>
      <c r="H17" s="83"/>
      <c r="I17" s="84"/>
    </row>
    <row r="18" spans="1:9" ht="22.5" customHeight="1">
      <c r="A18" s="75"/>
      <c r="B18" s="111"/>
      <c r="C18" s="85"/>
      <c r="D18" s="86"/>
      <c r="E18" s="87"/>
      <c r="F18" s="114"/>
      <c r="G18" s="85"/>
      <c r="H18" s="86"/>
      <c r="I18" s="87"/>
    </row>
    <row r="19" spans="1:9" ht="20.149999999999999" customHeight="1">
      <c r="A19" s="71" t="s">
        <v>28</v>
      </c>
      <c r="B19" s="4" t="s">
        <v>9</v>
      </c>
      <c r="C19" s="76"/>
      <c r="D19" s="77"/>
      <c r="E19" s="77"/>
      <c r="F19" s="77"/>
      <c r="G19" s="77"/>
      <c r="H19" s="77"/>
      <c r="I19" s="78"/>
    </row>
    <row r="20" spans="1:9" ht="20.149999999999999" customHeight="1">
      <c r="A20" s="69"/>
      <c r="B20" s="4" t="s">
        <v>1</v>
      </c>
      <c r="C20" s="76"/>
      <c r="D20" s="77"/>
      <c r="E20" s="77"/>
      <c r="F20" s="77"/>
      <c r="G20" s="77"/>
      <c r="H20" s="77"/>
      <c r="I20" s="78"/>
    </row>
    <row r="21" spans="1:9" ht="20.149999999999999" customHeight="1">
      <c r="A21" s="69"/>
      <c r="B21" s="50" t="s">
        <v>53</v>
      </c>
      <c r="C21" s="11"/>
      <c r="D21" s="11"/>
      <c r="E21" s="11"/>
      <c r="F21" s="11"/>
      <c r="G21" s="11"/>
      <c r="H21" s="11"/>
      <c r="I21" s="12"/>
    </row>
    <row r="22" spans="1:9" ht="20.149999999999999" customHeight="1">
      <c r="A22" s="72"/>
      <c r="B22" s="24" t="s">
        <v>2</v>
      </c>
      <c r="C22" s="88"/>
      <c r="D22" s="77"/>
      <c r="E22" s="77"/>
      <c r="F22" s="77"/>
      <c r="G22" s="77"/>
      <c r="H22" s="77"/>
      <c r="I22" s="78"/>
    </row>
    <row r="23" spans="1:9" ht="19.5" customHeight="1">
      <c r="A23" s="26" t="s">
        <v>42</v>
      </c>
      <c r="B23" s="27" t="s">
        <v>52</v>
      </c>
      <c r="C23" s="128"/>
      <c r="D23" s="129"/>
      <c r="E23" s="130"/>
      <c r="F23" s="27" t="s">
        <v>29</v>
      </c>
      <c r="G23" s="128"/>
      <c r="H23" s="129"/>
      <c r="I23" s="130"/>
    </row>
    <row r="24" spans="1:9" ht="20.149999999999999" customHeight="1">
      <c r="A24" s="68" t="s">
        <v>43</v>
      </c>
      <c r="B24" s="19" t="s">
        <v>24</v>
      </c>
      <c r="C24" s="98" t="s">
        <v>71</v>
      </c>
      <c r="D24" s="99"/>
      <c r="E24" s="31" t="s">
        <v>44</v>
      </c>
      <c r="F24" s="95" t="s">
        <v>73</v>
      </c>
      <c r="G24" s="96"/>
      <c r="H24" s="6" t="s">
        <v>49</v>
      </c>
      <c r="I24" s="7" t="s">
        <v>75</v>
      </c>
    </row>
    <row r="25" spans="1:9" ht="20.149999999999999" customHeight="1">
      <c r="A25" s="70"/>
      <c r="B25" s="14" t="s">
        <v>45</v>
      </c>
      <c r="C25" s="97" t="s">
        <v>72</v>
      </c>
      <c r="D25" s="96"/>
      <c r="E25" s="6" t="s">
        <v>48</v>
      </c>
      <c r="F25" s="95" t="s">
        <v>74</v>
      </c>
      <c r="G25" s="96"/>
      <c r="H25" s="20" t="s">
        <v>50</v>
      </c>
      <c r="I25" s="7" t="s">
        <v>83</v>
      </c>
    </row>
    <row r="26" spans="1:9" ht="20.149999999999999" customHeight="1">
      <c r="A26" s="55" t="s">
        <v>58</v>
      </c>
      <c r="B26" s="14" t="s">
        <v>59</v>
      </c>
      <c r="C26" s="97"/>
      <c r="D26" s="102"/>
      <c r="E26" s="102"/>
      <c r="F26" s="102"/>
      <c r="G26" s="96"/>
      <c r="H26" s="20" t="s">
        <v>60</v>
      </c>
      <c r="I26" s="9" t="s">
        <v>90</v>
      </c>
    </row>
    <row r="27" spans="1:9" ht="20.149999999999999" customHeight="1">
      <c r="A27" s="15" t="s">
        <v>54</v>
      </c>
      <c r="B27" s="14" t="s">
        <v>55</v>
      </c>
      <c r="C27" s="97"/>
      <c r="D27" s="102"/>
      <c r="E27" s="102"/>
      <c r="F27" s="102"/>
      <c r="G27" s="102"/>
      <c r="H27" s="102"/>
      <c r="I27" s="96"/>
    </row>
    <row r="28" spans="1:9" ht="20.149999999999999" customHeight="1">
      <c r="A28" s="68" t="s">
        <v>46</v>
      </c>
      <c r="B28" s="100" t="s">
        <v>12</v>
      </c>
      <c r="C28" s="123" t="s">
        <v>84</v>
      </c>
      <c r="D28" s="100" t="s">
        <v>13</v>
      </c>
      <c r="E28" s="123" t="s">
        <v>85</v>
      </c>
      <c r="F28" s="119" t="s">
        <v>10</v>
      </c>
      <c r="G28" s="121" t="s">
        <v>38</v>
      </c>
      <c r="H28" s="122"/>
      <c r="I28" s="47" t="s">
        <v>97</v>
      </c>
    </row>
    <row r="29" spans="1:9" ht="20.149999999999999" customHeight="1">
      <c r="A29" s="69"/>
      <c r="B29" s="101"/>
      <c r="C29" s="124"/>
      <c r="D29" s="101"/>
      <c r="E29" s="124"/>
      <c r="F29" s="120"/>
      <c r="G29" s="125" t="s">
        <v>99</v>
      </c>
      <c r="H29" s="126"/>
      <c r="I29" s="47" t="s">
        <v>97</v>
      </c>
    </row>
    <row r="30" spans="1:9" ht="37.5" customHeight="1">
      <c r="A30" s="13" t="s">
        <v>47</v>
      </c>
      <c r="B30" s="16" t="s">
        <v>15</v>
      </c>
      <c r="C30" s="16" t="s">
        <v>16</v>
      </c>
      <c r="D30" s="16" t="s">
        <v>17</v>
      </c>
      <c r="E30" s="16" t="s">
        <v>18</v>
      </c>
      <c r="F30" s="56" t="s">
        <v>86</v>
      </c>
      <c r="G30" s="30" t="s">
        <v>87</v>
      </c>
      <c r="H30" s="127" t="s">
        <v>19</v>
      </c>
      <c r="I30" s="127"/>
    </row>
    <row r="31" spans="1:9" ht="19.5" customHeight="1">
      <c r="A31" s="25" t="s">
        <v>25</v>
      </c>
      <c r="B31" s="17"/>
      <c r="C31" s="17"/>
      <c r="D31" s="17"/>
      <c r="E31" s="18"/>
      <c r="F31" s="17">
        <f>SUM(C31:E31)</f>
        <v>0</v>
      </c>
      <c r="G31" s="18"/>
      <c r="H31" s="117"/>
      <c r="I31" s="118"/>
    </row>
    <row r="32" spans="1:9" ht="19.5" customHeight="1">
      <c r="A32" s="25" t="s">
        <v>26</v>
      </c>
      <c r="B32" s="17">
        <v>1942</v>
      </c>
      <c r="C32" s="17"/>
      <c r="D32" s="17"/>
      <c r="E32" s="18"/>
      <c r="F32" s="17">
        <f>SUM(B32:E32)</f>
        <v>1942</v>
      </c>
      <c r="G32" s="18"/>
      <c r="H32" s="117"/>
      <c r="I32" s="118"/>
    </row>
    <row r="33" spans="1:9" ht="19.5" customHeight="1">
      <c r="A33" s="25" t="s">
        <v>27</v>
      </c>
      <c r="B33" s="17"/>
      <c r="C33" s="17"/>
      <c r="D33" s="17"/>
      <c r="E33" s="18"/>
      <c r="F33" s="17">
        <f>SUM(B33:E33)</f>
        <v>0</v>
      </c>
      <c r="G33" s="18"/>
      <c r="H33" s="117"/>
      <c r="I33" s="118"/>
    </row>
    <row r="34" spans="1:9" ht="19.5" customHeight="1">
      <c r="A34" s="45" t="s">
        <v>20</v>
      </c>
      <c r="B34" s="46">
        <f>SUM(B31:B33)</f>
        <v>1942</v>
      </c>
      <c r="C34" s="46"/>
      <c r="D34" s="46">
        <f>SUM(D31:D33)</f>
        <v>0</v>
      </c>
      <c r="E34" s="46">
        <f>SUM(E31:E33)</f>
        <v>0</v>
      </c>
      <c r="F34" s="46">
        <f>SUM(F31:F33)</f>
        <v>1942</v>
      </c>
      <c r="G34" s="46">
        <f>SUM(G31:G33)</f>
        <v>0</v>
      </c>
      <c r="H34" s="115">
        <f>SUM(H31:I33)</f>
        <v>0</v>
      </c>
      <c r="I34" s="116"/>
    </row>
    <row r="35" spans="1:9">
      <c r="B35" s="2"/>
      <c r="C35" s="2"/>
      <c r="D35" s="2"/>
      <c r="E35" s="2"/>
      <c r="F35" s="2"/>
      <c r="G35" s="2"/>
      <c r="H35" s="2"/>
      <c r="I35" s="2"/>
    </row>
  </sheetData>
  <mergeCells count="41">
    <mergeCell ref="H34:I34"/>
    <mergeCell ref="H32:I32"/>
    <mergeCell ref="H33:I33"/>
    <mergeCell ref="H31:I31"/>
    <mergeCell ref="D28:D29"/>
    <mergeCell ref="F28:F29"/>
    <mergeCell ref="G28:H28"/>
    <mergeCell ref="G29:H29"/>
    <mergeCell ref="H30:I30"/>
    <mergeCell ref="E28:E29"/>
    <mergeCell ref="A1:I1"/>
    <mergeCell ref="B3:I3"/>
    <mergeCell ref="B16:B18"/>
    <mergeCell ref="F16:F18"/>
    <mergeCell ref="A4:A8"/>
    <mergeCell ref="C7:I7"/>
    <mergeCell ref="B9:I15"/>
    <mergeCell ref="G16:I18"/>
    <mergeCell ref="F25:G25"/>
    <mergeCell ref="C25:D25"/>
    <mergeCell ref="A28:A29"/>
    <mergeCell ref="C24:D24"/>
    <mergeCell ref="A24:A25"/>
    <mergeCell ref="B28:B29"/>
    <mergeCell ref="C26:G26"/>
    <mergeCell ref="C27:I27"/>
    <mergeCell ref="C28:C29"/>
    <mergeCell ref="C4:I4"/>
    <mergeCell ref="C5:I5"/>
    <mergeCell ref="C6:I6"/>
    <mergeCell ref="C8:I8"/>
    <mergeCell ref="F24:G24"/>
    <mergeCell ref="C23:E23"/>
    <mergeCell ref="G23:I23"/>
    <mergeCell ref="A9:A15"/>
    <mergeCell ref="A19:A22"/>
    <mergeCell ref="A16:A18"/>
    <mergeCell ref="C19:I19"/>
    <mergeCell ref="C16:E18"/>
    <mergeCell ref="C20:I20"/>
    <mergeCell ref="C22:I22"/>
  </mergeCells>
  <phoneticPr fontId="2" type="noConversion"/>
  <pageMargins left="0.25" right="0.25" top="0.75" bottom="0.75" header="0.3" footer="0.3"/>
  <pageSetup paperSize="9" scale="63" orientation="portrait" r:id="rId1"/>
  <headerFooter alignWithMargins="0">
    <oddFooter>&amp;C&amp;"굴림,보통"&amp;8 1/7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4" r:id="rId4" name="Check Box 16">
              <controlPr defaultSize="0" autoFill="0" autoLine="0" autoPict="0">
                <anchor moveWithCells="1">
                  <from>
                    <xdr:col>1</xdr:col>
                    <xdr:colOff>996950</xdr:colOff>
                    <xdr:row>18</xdr:row>
                    <xdr:rowOff>31750</xdr:rowOff>
                  </from>
                  <to>
                    <xdr:col>2</xdr:col>
                    <xdr:colOff>698500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5" name="Check Box 19">
              <controlPr defaultSize="0" autoFill="0" autoLine="0" autoPict="0">
                <anchor moveWithCells="1">
                  <from>
                    <xdr:col>3</xdr:col>
                    <xdr:colOff>31750</xdr:colOff>
                    <xdr:row>18</xdr:row>
                    <xdr:rowOff>31750</xdr:rowOff>
                  </from>
                  <to>
                    <xdr:col>3</xdr:col>
                    <xdr:colOff>819150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6" name="Check Box 20">
              <controlPr defaultSize="0" autoFill="0" autoLine="0" autoPict="0">
                <anchor moveWithCells="1">
                  <from>
                    <xdr:col>3</xdr:col>
                    <xdr:colOff>863600</xdr:colOff>
                    <xdr:row>18</xdr:row>
                    <xdr:rowOff>31750</xdr:rowOff>
                  </from>
                  <to>
                    <xdr:col>4</xdr:col>
                    <xdr:colOff>425450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7" name="Check Box 21">
              <controlPr defaultSize="0" autoFill="0" autoLine="0" autoPict="0">
                <anchor moveWithCells="1">
                  <from>
                    <xdr:col>5</xdr:col>
                    <xdr:colOff>12700</xdr:colOff>
                    <xdr:row>18</xdr:row>
                    <xdr:rowOff>31750</xdr:rowOff>
                  </from>
                  <to>
                    <xdr:col>5</xdr:col>
                    <xdr:colOff>742950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8" name="Check Box 22">
              <controlPr defaultSize="0" autoFill="0" autoLine="0" autoPict="0">
                <anchor moveWithCells="1">
                  <from>
                    <xdr:col>5</xdr:col>
                    <xdr:colOff>863600</xdr:colOff>
                    <xdr:row>18</xdr:row>
                    <xdr:rowOff>31750</xdr:rowOff>
                  </from>
                  <to>
                    <xdr:col>6</xdr:col>
                    <xdr:colOff>628650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9" name="Check Box 23">
              <controlPr defaultSize="0" autoFill="0" autoLine="0" autoPict="0">
                <anchor moveWithCells="1">
                  <from>
                    <xdr:col>6</xdr:col>
                    <xdr:colOff>768350</xdr:colOff>
                    <xdr:row>18</xdr:row>
                    <xdr:rowOff>31750</xdr:rowOff>
                  </from>
                  <to>
                    <xdr:col>7</xdr:col>
                    <xdr:colOff>215900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0" name="Check Box 24">
              <controlPr defaultSize="0" autoFill="0" autoLine="0" autoPict="0" altText="신규 개발">
                <anchor moveWithCells="1">
                  <from>
                    <xdr:col>1</xdr:col>
                    <xdr:colOff>882650</xdr:colOff>
                    <xdr:row>19</xdr:row>
                    <xdr:rowOff>12700</xdr:rowOff>
                  </from>
                  <to>
                    <xdr:col>2</xdr:col>
                    <xdr:colOff>825500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11" name="Check Box 25">
              <controlPr defaultSize="0" autoFill="0" autoLine="0" autoPict="0">
                <anchor moveWithCells="1">
                  <from>
                    <xdr:col>3</xdr:col>
                    <xdr:colOff>31750</xdr:colOff>
                    <xdr:row>19</xdr:row>
                    <xdr:rowOff>12700</xdr:rowOff>
                  </from>
                  <to>
                    <xdr:col>4</xdr:col>
                    <xdr:colOff>393700</xdr:colOff>
                    <xdr:row>19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2" name="Check Box 26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12700</xdr:rowOff>
                  </from>
                  <to>
                    <xdr:col>6</xdr:col>
                    <xdr:colOff>666750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3" name="Check Box 28">
              <controlPr defaultSize="0" autoFill="0" autoLine="0" autoPict="0">
                <anchor moveWithCells="1">
                  <from>
                    <xdr:col>4</xdr:col>
                    <xdr:colOff>133350</xdr:colOff>
                    <xdr:row>19</xdr:row>
                    <xdr:rowOff>31750</xdr:rowOff>
                  </from>
                  <to>
                    <xdr:col>5</xdr:col>
                    <xdr:colOff>381000</xdr:colOff>
                    <xdr:row>19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14" name="Check Box 37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12700</xdr:rowOff>
                  </from>
                  <to>
                    <xdr:col>2</xdr:col>
                    <xdr:colOff>736600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15" name="Check Box 39">
              <controlPr defaultSize="0" autoFill="0" autoLine="0" autoPict="0">
                <anchor moveWithCells="1">
                  <from>
                    <xdr:col>3</xdr:col>
                    <xdr:colOff>31750</xdr:colOff>
                    <xdr:row>21</xdr:row>
                    <xdr:rowOff>12700</xdr:rowOff>
                  </from>
                  <to>
                    <xdr:col>3</xdr:col>
                    <xdr:colOff>768350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16" name="Check Box 40">
              <controlPr defaultSize="0" autoFill="0" autoLine="0" autoPict="0">
                <anchor moveWithCells="1">
                  <from>
                    <xdr:col>3</xdr:col>
                    <xdr:colOff>850900</xdr:colOff>
                    <xdr:row>21</xdr:row>
                    <xdr:rowOff>12700</xdr:rowOff>
                  </from>
                  <to>
                    <xdr:col>4</xdr:col>
                    <xdr:colOff>717550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17" name="Check Box 41">
              <controlPr defaultSize="0" autoFill="0" autoLine="0" autoPict="0">
                <anchor moveWithCells="1">
                  <from>
                    <xdr:col>5</xdr:col>
                    <xdr:colOff>6350</xdr:colOff>
                    <xdr:row>21</xdr:row>
                    <xdr:rowOff>12700</xdr:rowOff>
                  </from>
                  <to>
                    <xdr:col>6</xdr:col>
                    <xdr:colOff>527050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18" name="Check Box 43">
              <controlPr defaultSize="0" autoFill="0" autoLine="0" autoPict="0">
                <anchor moveWithCells="1">
                  <from>
                    <xdr:col>2</xdr:col>
                    <xdr:colOff>0</xdr:colOff>
                    <xdr:row>26</xdr:row>
                    <xdr:rowOff>12700</xdr:rowOff>
                  </from>
                  <to>
                    <xdr:col>3</xdr:col>
                    <xdr:colOff>361950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19" name="Check Box 44">
              <controlPr defaultSize="0" autoFill="0" autoLine="0" autoPict="0">
                <anchor moveWithCells="1">
                  <from>
                    <xdr:col>3</xdr:col>
                    <xdr:colOff>495300</xdr:colOff>
                    <xdr:row>26</xdr:row>
                    <xdr:rowOff>12700</xdr:rowOff>
                  </from>
                  <to>
                    <xdr:col>8</xdr:col>
                    <xdr:colOff>539750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20" name="Check Box 45">
              <controlPr defaultSize="0" autoFill="0" autoLine="0" autoPict="0">
                <anchor moveWithCells="1">
                  <from>
                    <xdr:col>6</xdr:col>
                    <xdr:colOff>228600</xdr:colOff>
                    <xdr:row>26</xdr:row>
                    <xdr:rowOff>12700</xdr:rowOff>
                  </from>
                  <to>
                    <xdr:col>6</xdr:col>
                    <xdr:colOff>603250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21" name="Check Box 56">
              <controlPr defaultSize="0" autoFill="0" autoLine="0" autoPict="0">
                <anchor moveWithCells="1" sizeWithCells="1">
                  <from>
                    <xdr:col>1</xdr:col>
                    <xdr:colOff>882650</xdr:colOff>
                    <xdr:row>20</xdr:row>
                    <xdr:rowOff>31750</xdr:rowOff>
                  </from>
                  <to>
                    <xdr:col>2</xdr:col>
                    <xdr:colOff>749300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22" name="Check Box 57">
              <controlPr defaultSize="0" autoFill="0" autoLine="0" autoPict="0">
                <anchor moveWithCells="1" sizeWithCells="1">
                  <from>
                    <xdr:col>3</xdr:col>
                    <xdr:colOff>31750</xdr:colOff>
                    <xdr:row>20</xdr:row>
                    <xdr:rowOff>31750</xdr:rowOff>
                  </from>
                  <to>
                    <xdr:col>3</xdr:col>
                    <xdr:colOff>558800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23" name="Check Box 58">
              <controlPr defaultSize="0" autoFill="0" autoLine="0" autoPict="0">
                <anchor moveWithCells="1" sizeWithCells="1">
                  <from>
                    <xdr:col>3</xdr:col>
                    <xdr:colOff>831850</xdr:colOff>
                    <xdr:row>20</xdr:row>
                    <xdr:rowOff>31750</xdr:rowOff>
                  </from>
                  <to>
                    <xdr:col>4</xdr:col>
                    <xdr:colOff>527050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24" name="Check Box 59">
              <controlPr defaultSize="0" autoFill="0" autoLine="0" autoPict="0">
                <anchor moveWithCells="1" sizeWithCells="1">
                  <from>
                    <xdr:col>5</xdr:col>
                    <xdr:colOff>12700</xdr:colOff>
                    <xdr:row>20</xdr:row>
                    <xdr:rowOff>31750</xdr:rowOff>
                  </from>
                  <to>
                    <xdr:col>6</xdr:col>
                    <xdr:colOff>133350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25" name="Check Box 68">
              <controlPr defaultSize="0" autoFill="0" autoLine="0" autoPict="0">
                <anchor moveWithCells="1">
                  <from>
                    <xdr:col>2</xdr:col>
                    <xdr:colOff>438150</xdr:colOff>
                    <xdr:row>22</xdr:row>
                    <xdr:rowOff>25400</xdr:rowOff>
                  </from>
                  <to>
                    <xdr:col>3</xdr:col>
                    <xdr:colOff>279400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26" name="Check Box 69">
              <controlPr defaultSize="0" autoFill="0" autoLine="0" autoPict="0">
                <anchor moveWithCells="1">
                  <from>
                    <xdr:col>3</xdr:col>
                    <xdr:colOff>628650</xdr:colOff>
                    <xdr:row>22</xdr:row>
                    <xdr:rowOff>25400</xdr:rowOff>
                  </from>
                  <to>
                    <xdr:col>4</xdr:col>
                    <xdr:colOff>469900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27" name="Check Box 72">
              <controlPr defaultSize="0" autoFill="0" autoLine="0" autoPict="0">
                <anchor moveWithCells="1">
                  <from>
                    <xdr:col>6</xdr:col>
                    <xdr:colOff>6350</xdr:colOff>
                    <xdr:row>22</xdr:row>
                    <xdr:rowOff>25400</xdr:rowOff>
                  </from>
                  <to>
                    <xdr:col>7</xdr:col>
                    <xdr:colOff>107950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28" name="Check Box 73">
              <controlPr defaultSize="0" autoFill="0" autoLine="0" autoPict="0">
                <anchor moveWithCells="1">
                  <from>
                    <xdr:col>7</xdr:col>
                    <xdr:colOff>88900</xdr:colOff>
                    <xdr:row>22</xdr:row>
                    <xdr:rowOff>25400</xdr:rowOff>
                  </from>
                  <to>
                    <xdr:col>7</xdr:col>
                    <xdr:colOff>977900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29" name="Check Box 7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20</xdr:row>
                    <xdr:rowOff>31750</xdr:rowOff>
                  </from>
                  <to>
                    <xdr:col>7</xdr:col>
                    <xdr:colOff>215900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30" name="Check Box 75">
              <controlPr defaultSize="0" autoFill="0" autoLine="0" autoPict="0">
                <anchor moveWithCells="1" sizeWithCells="1">
                  <from>
                    <xdr:col>7</xdr:col>
                    <xdr:colOff>69850</xdr:colOff>
                    <xdr:row>20</xdr:row>
                    <xdr:rowOff>31750</xdr:rowOff>
                  </from>
                  <to>
                    <xdr:col>8</xdr:col>
                    <xdr:colOff>285750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31" name="Check Box 76">
              <controlPr defaultSize="0" autoFill="0" autoLine="0" autoPict="0">
                <anchor moveWithCells="1" sizeWithCells="1">
                  <from>
                    <xdr:col>8</xdr:col>
                    <xdr:colOff>50800</xdr:colOff>
                    <xdr:row>20</xdr:row>
                    <xdr:rowOff>12700</xdr:rowOff>
                  </from>
                  <to>
                    <xdr:col>9</xdr:col>
                    <xdr:colOff>171450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32" name="Check Box 78">
              <controlPr defaultSize="0" autoFill="0" autoLine="0" autoPict="0">
                <anchor moveWithCells="1">
                  <from>
                    <xdr:col>7</xdr:col>
                    <xdr:colOff>552450</xdr:colOff>
                    <xdr:row>19</xdr:row>
                    <xdr:rowOff>12700</xdr:rowOff>
                  </from>
                  <to>
                    <xdr:col>8</xdr:col>
                    <xdr:colOff>850900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33" name="Check Box 79">
              <controlPr defaultSize="0" autoFill="0" autoLine="0" autoPict="0">
                <anchor moveWithCells="1">
                  <from>
                    <xdr:col>7</xdr:col>
                    <xdr:colOff>539750</xdr:colOff>
                    <xdr:row>18</xdr:row>
                    <xdr:rowOff>31750</xdr:rowOff>
                  </from>
                  <to>
                    <xdr:col>8</xdr:col>
                    <xdr:colOff>838200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34" name="Check Box 89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12700</xdr:rowOff>
                  </from>
                  <to>
                    <xdr:col>3</xdr:col>
                    <xdr:colOff>527050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35" name="Check Box 90">
              <controlPr defaultSize="0" autoFill="0" autoLine="0" autoPict="0">
                <anchor moveWithCells="1">
                  <from>
                    <xdr:col>3</xdr:col>
                    <xdr:colOff>495300</xdr:colOff>
                    <xdr:row>25</xdr:row>
                    <xdr:rowOff>31750</xdr:rowOff>
                  </from>
                  <to>
                    <xdr:col>4</xdr:col>
                    <xdr:colOff>571500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36" name="Check Box 92">
              <controlPr defaultSize="0" autoFill="0" autoLine="0" autoPict="0">
                <anchor moveWithCells="1">
                  <from>
                    <xdr:col>4</xdr:col>
                    <xdr:colOff>768350</xdr:colOff>
                    <xdr:row>25</xdr:row>
                    <xdr:rowOff>31750</xdr:rowOff>
                  </from>
                  <to>
                    <xdr:col>6</xdr:col>
                    <xdr:colOff>406400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37" name="Check Box 96">
              <controlPr defaultSize="0" autoFill="0" autoLine="0" autoPict="0">
                <anchor moveWithCells="1">
                  <from>
                    <xdr:col>8</xdr:col>
                    <xdr:colOff>57150</xdr:colOff>
                    <xdr:row>22</xdr:row>
                    <xdr:rowOff>6350</xdr:rowOff>
                  </from>
                  <to>
                    <xdr:col>8</xdr:col>
                    <xdr:colOff>946150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38" name="Check Box 97">
              <controlPr defaultSize="0" autoFill="0" autoLine="0" autoPict="0">
                <anchor moveWithCells="1">
                  <from>
                    <xdr:col>6</xdr:col>
                    <xdr:colOff>590550</xdr:colOff>
                    <xdr:row>19</xdr:row>
                    <xdr:rowOff>12700</xdr:rowOff>
                  </from>
                  <to>
                    <xdr:col>7</xdr:col>
                    <xdr:colOff>781050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39" name="Check Box 99">
              <controlPr defaultSize="0" autoFill="0" autoLine="0" autoPict="0">
                <anchor moveWithCells="1">
                  <from>
                    <xdr:col>6</xdr:col>
                    <xdr:colOff>698500</xdr:colOff>
                    <xdr:row>26</xdr:row>
                    <xdr:rowOff>12700</xdr:rowOff>
                  </from>
                  <to>
                    <xdr:col>7</xdr:col>
                    <xdr:colOff>209550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40" name="Check Box 100">
              <controlPr defaultSize="0" autoFill="0" autoLine="0" autoPict="0">
                <anchor moveWithCells="1">
                  <from>
                    <xdr:col>7</xdr:col>
                    <xdr:colOff>342900</xdr:colOff>
                    <xdr:row>26</xdr:row>
                    <xdr:rowOff>12700</xdr:rowOff>
                  </from>
                  <to>
                    <xdr:col>7</xdr:col>
                    <xdr:colOff>863600</xdr:colOff>
                    <xdr:row>26</xdr:row>
                    <xdr:rowOff>234950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K20"/>
  <sheetViews>
    <sheetView view="pageBreakPreview" topLeftCell="A10" zoomScaleNormal="100" zoomScaleSheetLayoutView="100" workbookViewId="0">
      <selection activeCell="B17" sqref="B17:B19"/>
    </sheetView>
  </sheetViews>
  <sheetFormatPr defaultColWidth="8.9140625" defaultRowHeight="13"/>
  <cols>
    <col min="1" max="1" width="14.6640625" style="1" customWidth="1"/>
    <col min="2" max="2" width="12.83203125" style="1" customWidth="1"/>
    <col min="3" max="3" width="29.58203125" style="1" customWidth="1"/>
    <col min="4" max="5" width="12.83203125" style="1" customWidth="1"/>
    <col min="6" max="6" width="14.1640625" style="1" customWidth="1"/>
    <col min="7" max="7" width="15.83203125" style="1" customWidth="1"/>
    <col min="8" max="10" width="12.83203125" style="1" customWidth="1"/>
    <col min="11" max="11" width="14.1640625" style="1" customWidth="1"/>
    <col min="12" max="16384" width="8.9140625" style="1"/>
  </cols>
  <sheetData>
    <row r="1" spans="1:11" ht="30" customHeight="1">
      <c r="A1" s="155" t="s">
        <v>70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ht="30" customHeight="1">
      <c r="A2" s="49"/>
      <c r="B2" s="49"/>
      <c r="C2" s="49"/>
      <c r="D2" s="49"/>
      <c r="E2" s="49"/>
      <c r="F2" s="49"/>
      <c r="G2" s="49"/>
      <c r="H2" s="51" t="s">
        <v>68</v>
      </c>
      <c r="I2" s="52" t="s">
        <v>79</v>
      </c>
      <c r="J2" s="51" t="s">
        <v>69</v>
      </c>
      <c r="K2" s="52" t="s">
        <v>78</v>
      </c>
    </row>
    <row r="3" spans="1:11" ht="31.5" customHeight="1">
      <c r="A3" s="71" t="s">
        <v>6</v>
      </c>
      <c r="B3" s="156" t="s">
        <v>11</v>
      </c>
      <c r="C3" s="23" t="s">
        <v>3</v>
      </c>
      <c r="D3" s="28" t="s">
        <v>4</v>
      </c>
      <c r="E3" s="139" t="s">
        <v>5</v>
      </c>
      <c r="F3" s="140"/>
      <c r="G3" s="140"/>
      <c r="H3" s="140"/>
      <c r="I3" s="140"/>
      <c r="J3" s="141"/>
      <c r="K3" s="28" t="s">
        <v>31</v>
      </c>
    </row>
    <row r="4" spans="1:11" ht="26.25" customHeight="1">
      <c r="A4" s="69"/>
      <c r="B4" s="157"/>
      <c r="C4" s="8"/>
      <c r="D4" s="29"/>
      <c r="E4" s="142"/>
      <c r="F4" s="143"/>
      <c r="G4" s="143"/>
      <c r="H4" s="143"/>
      <c r="I4" s="143"/>
      <c r="J4" s="144"/>
      <c r="K4" s="58"/>
    </row>
    <row r="5" spans="1:11" ht="26.25" customHeight="1">
      <c r="A5" s="69"/>
      <c r="B5" s="157"/>
      <c r="C5" s="8"/>
      <c r="D5" s="29"/>
      <c r="E5" s="142"/>
      <c r="F5" s="143"/>
      <c r="G5" s="143"/>
      <c r="H5" s="143"/>
      <c r="I5" s="143"/>
      <c r="J5" s="144"/>
      <c r="K5" s="58"/>
    </row>
    <row r="6" spans="1:11" ht="26.25" customHeight="1">
      <c r="A6" s="69"/>
      <c r="B6" s="158"/>
      <c r="C6" s="8"/>
      <c r="D6" s="29"/>
      <c r="E6" s="142"/>
      <c r="F6" s="143"/>
      <c r="G6" s="143"/>
      <c r="H6" s="143"/>
      <c r="I6" s="143"/>
      <c r="J6" s="144"/>
      <c r="K6" s="58"/>
    </row>
    <row r="7" spans="1:11" ht="31.5" customHeight="1">
      <c r="A7" s="69"/>
      <c r="B7" s="5" t="s">
        <v>7</v>
      </c>
      <c r="C7" s="159"/>
      <c r="D7" s="160"/>
      <c r="E7" s="161"/>
      <c r="F7" s="161"/>
      <c r="G7" s="161"/>
      <c r="H7" s="161"/>
      <c r="I7" s="161"/>
      <c r="J7" s="161"/>
      <c r="K7" s="162"/>
    </row>
    <row r="8" spans="1:11" ht="31.5" customHeight="1">
      <c r="A8" s="70"/>
      <c r="B8" s="44" t="s">
        <v>8</v>
      </c>
      <c r="C8" s="163"/>
      <c r="D8" s="164"/>
      <c r="E8" s="164"/>
      <c r="F8" s="164"/>
      <c r="G8" s="164"/>
      <c r="H8" s="164"/>
      <c r="I8" s="164"/>
      <c r="J8" s="164"/>
      <c r="K8" s="165"/>
    </row>
    <row r="9" spans="1:11" ht="31.5" customHeight="1">
      <c r="A9" s="148" t="s">
        <v>10</v>
      </c>
      <c r="B9" s="145" t="s">
        <v>65</v>
      </c>
      <c r="C9" s="146"/>
      <c r="D9" s="146"/>
      <c r="E9" s="146"/>
      <c r="F9" s="146"/>
      <c r="G9" s="146"/>
      <c r="H9" s="146"/>
      <c r="I9" s="146"/>
      <c r="J9" s="146"/>
      <c r="K9" s="147"/>
    </row>
    <row r="10" spans="1:11" ht="44.25" customHeight="1">
      <c r="A10" s="149"/>
      <c r="B10" s="53" t="s">
        <v>37</v>
      </c>
      <c r="C10" s="54" t="s">
        <v>32</v>
      </c>
      <c r="D10" s="54" t="s">
        <v>33</v>
      </c>
      <c r="E10" s="54" t="s">
        <v>56</v>
      </c>
      <c r="F10" s="54" t="s">
        <v>34</v>
      </c>
      <c r="G10" s="54" t="s">
        <v>63</v>
      </c>
      <c r="H10" s="54" t="s">
        <v>35</v>
      </c>
      <c r="I10" s="54" t="s">
        <v>36</v>
      </c>
      <c r="J10" s="54" t="s">
        <v>30</v>
      </c>
      <c r="K10" s="59" t="s">
        <v>61</v>
      </c>
    </row>
    <row r="11" spans="1:11" ht="44.25" customHeight="1">
      <c r="A11" s="149"/>
      <c r="B11" s="151" t="s">
        <v>25</v>
      </c>
      <c r="C11" s="32"/>
      <c r="D11" s="33"/>
      <c r="E11" s="33"/>
      <c r="F11" s="33"/>
      <c r="G11" s="33"/>
      <c r="H11" s="33"/>
      <c r="I11" s="33"/>
      <c r="J11" s="33"/>
      <c r="K11" s="34"/>
    </row>
    <row r="12" spans="1:11" ht="44.25" customHeight="1">
      <c r="A12" s="149"/>
      <c r="B12" s="152"/>
      <c r="C12" s="35"/>
      <c r="D12" s="36"/>
      <c r="E12" s="36"/>
      <c r="F12" s="36"/>
      <c r="G12" s="36"/>
      <c r="H12" s="36"/>
      <c r="I12" s="36"/>
      <c r="J12" s="36"/>
      <c r="K12" s="37"/>
    </row>
    <row r="13" spans="1:11" ht="44.25" customHeight="1">
      <c r="A13" s="149"/>
      <c r="B13" s="152"/>
      <c r="C13" s="38"/>
      <c r="D13" s="39"/>
      <c r="E13" s="39"/>
      <c r="F13" s="39"/>
      <c r="G13" s="39"/>
      <c r="H13" s="39"/>
      <c r="I13" s="39"/>
      <c r="J13" s="39"/>
      <c r="K13" s="40"/>
    </row>
    <row r="14" spans="1:11" ht="44.25" customHeight="1">
      <c r="A14" s="149"/>
      <c r="B14" s="151" t="s">
        <v>26</v>
      </c>
      <c r="C14" s="41" t="s">
        <v>89</v>
      </c>
      <c r="D14" s="42">
        <v>108</v>
      </c>
      <c r="E14" s="60">
        <v>17600000</v>
      </c>
      <c r="F14" s="42" t="s">
        <v>64</v>
      </c>
      <c r="G14" s="62">
        <v>1900800000</v>
      </c>
      <c r="H14" s="33" t="s">
        <v>81</v>
      </c>
      <c r="I14" s="63" t="s">
        <v>88</v>
      </c>
      <c r="J14" s="66" t="s">
        <v>80</v>
      </c>
      <c r="K14" s="37" t="s">
        <v>80</v>
      </c>
    </row>
    <row r="15" spans="1:11" ht="45" customHeight="1">
      <c r="A15" s="149"/>
      <c r="B15" s="152"/>
      <c r="C15" s="35" t="s">
        <v>98</v>
      </c>
      <c r="D15" s="36">
        <v>123</v>
      </c>
      <c r="E15" s="61">
        <v>330000</v>
      </c>
      <c r="F15" s="42" t="s">
        <v>64</v>
      </c>
      <c r="G15" s="64">
        <v>40590000</v>
      </c>
      <c r="H15" s="36" t="s">
        <v>81</v>
      </c>
      <c r="I15" s="65" t="s">
        <v>88</v>
      </c>
      <c r="J15" s="66" t="s">
        <v>80</v>
      </c>
      <c r="K15" s="37" t="s">
        <v>80</v>
      </c>
    </row>
    <row r="16" spans="1:11" ht="44.25" customHeight="1">
      <c r="A16" s="149"/>
      <c r="B16" s="153"/>
      <c r="C16" s="38"/>
      <c r="D16" s="39"/>
      <c r="E16" s="67"/>
      <c r="F16" s="39"/>
      <c r="G16" s="67"/>
      <c r="H16" s="39"/>
      <c r="I16" s="65"/>
      <c r="J16" s="66"/>
      <c r="K16" s="37"/>
    </row>
    <row r="17" spans="1:11" ht="44.25" customHeight="1">
      <c r="A17" s="149"/>
      <c r="B17" s="152" t="s">
        <v>27</v>
      </c>
      <c r="C17" s="41"/>
      <c r="D17" s="42"/>
      <c r="E17" s="42"/>
      <c r="F17" s="42"/>
      <c r="G17" s="42"/>
      <c r="H17" s="42"/>
      <c r="I17" s="42"/>
      <c r="J17" s="42"/>
      <c r="K17" s="43"/>
    </row>
    <row r="18" spans="1:11" ht="44.25" customHeight="1">
      <c r="A18" s="149"/>
      <c r="B18" s="152"/>
      <c r="C18" s="35"/>
      <c r="D18" s="36"/>
      <c r="E18" s="36"/>
      <c r="F18" s="36"/>
      <c r="G18" s="36"/>
      <c r="H18" s="36"/>
      <c r="I18" s="36"/>
      <c r="J18" s="36"/>
      <c r="K18" s="37"/>
    </row>
    <row r="19" spans="1:11" ht="44.25" customHeight="1">
      <c r="A19" s="150"/>
      <c r="B19" s="154"/>
      <c r="C19" s="38"/>
      <c r="D19" s="39"/>
      <c r="E19" s="39"/>
      <c r="F19" s="39"/>
      <c r="G19" s="39"/>
      <c r="H19" s="39"/>
      <c r="I19" s="39"/>
      <c r="J19" s="39"/>
      <c r="K19" s="40"/>
    </row>
    <row r="20" spans="1:11" ht="18" customHeight="1">
      <c r="A20" s="57" t="s">
        <v>62</v>
      </c>
    </row>
  </sheetData>
  <mergeCells count="14">
    <mergeCell ref="A9:A19"/>
    <mergeCell ref="B14:B16"/>
    <mergeCell ref="B17:B19"/>
    <mergeCell ref="A1:K1"/>
    <mergeCell ref="B3:B6"/>
    <mergeCell ref="A3:A8"/>
    <mergeCell ref="B11:B13"/>
    <mergeCell ref="C7:K7"/>
    <mergeCell ref="C8:K8"/>
    <mergeCell ref="E3:J3"/>
    <mergeCell ref="E4:J4"/>
    <mergeCell ref="E5:J5"/>
    <mergeCell ref="E6:J6"/>
    <mergeCell ref="B9:K9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67" orientation="landscape" r:id="rId1"/>
  <headerFooter alignWithMargins="0">
    <oddFooter>&amp;C&amp;"굴림,보통"&amp;8 2/7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4" name="Check Box 3">
              <controlPr defaultSize="0" autoFill="0" autoLine="0" autoPict="0">
                <anchor moveWithCells="1">
                  <from>
                    <xdr:col>2</xdr:col>
                    <xdr:colOff>107950</xdr:colOff>
                    <xdr:row>6</xdr:row>
                    <xdr:rowOff>0</xdr:rowOff>
                  </from>
                  <to>
                    <xdr:col>2</xdr:col>
                    <xdr:colOff>762000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5" name="Check Box 4">
              <controlPr defaultSize="0" autoFill="0" autoLine="0" autoPict="0">
                <anchor moveWithCells="1">
                  <from>
                    <xdr:col>2</xdr:col>
                    <xdr:colOff>895350</xdr:colOff>
                    <xdr:row>5</xdr:row>
                    <xdr:rowOff>330200</xdr:rowOff>
                  </from>
                  <to>
                    <xdr:col>2</xdr:col>
                    <xdr:colOff>1511300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6" name="Check Box 5">
              <controlPr defaultSize="0" autoFill="0" autoLine="0" autoPict="0">
                <anchor moveWithCells="1">
                  <from>
                    <xdr:col>2</xdr:col>
                    <xdr:colOff>1682750</xdr:colOff>
                    <xdr:row>6</xdr:row>
                    <xdr:rowOff>0</xdr:rowOff>
                  </from>
                  <to>
                    <xdr:col>2</xdr:col>
                    <xdr:colOff>2336800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7" name="Check Box 6">
              <controlPr defaultSize="0" autoFill="0" autoLine="0" autoPict="0">
                <anchor moveWithCells="1">
                  <from>
                    <xdr:col>3</xdr:col>
                    <xdr:colOff>63500</xdr:colOff>
                    <xdr:row>6</xdr:row>
                    <xdr:rowOff>0</xdr:rowOff>
                  </from>
                  <to>
                    <xdr:col>3</xdr:col>
                    <xdr:colOff>793750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8" name="Check Box 7">
              <controlPr defaultSize="0" autoFill="0" autoLine="0" autoPict="0">
                <anchor moveWithCells="1">
                  <from>
                    <xdr:col>3</xdr:col>
                    <xdr:colOff>952500</xdr:colOff>
                    <xdr:row>6</xdr:row>
                    <xdr:rowOff>0</xdr:rowOff>
                  </from>
                  <to>
                    <xdr:col>4</xdr:col>
                    <xdr:colOff>552450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9" name="Check Box 8">
              <controlPr defaultSize="0" autoFill="0" autoLine="0" autoPict="0">
                <anchor moveWithCells="1">
                  <from>
                    <xdr:col>4</xdr:col>
                    <xdr:colOff>628650</xdr:colOff>
                    <xdr:row>6</xdr:row>
                    <xdr:rowOff>0</xdr:rowOff>
                  </from>
                  <to>
                    <xdr:col>5</xdr:col>
                    <xdr:colOff>361950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0" name="Check Box 9">
              <controlPr defaultSize="0" autoFill="0" autoLine="0" autoPict="0">
                <anchor moveWithCells="1">
                  <from>
                    <xdr:col>2</xdr:col>
                    <xdr:colOff>101600</xdr:colOff>
                    <xdr:row>7</xdr:row>
                    <xdr:rowOff>38100</xdr:rowOff>
                  </from>
                  <to>
                    <xdr:col>2</xdr:col>
                    <xdr:colOff>730250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1" name="Check Box 10">
              <controlPr defaultSize="0" autoFill="0" autoLine="0" autoPict="0">
                <anchor moveWithCells="1">
                  <from>
                    <xdr:col>2</xdr:col>
                    <xdr:colOff>895350</xdr:colOff>
                    <xdr:row>7</xdr:row>
                    <xdr:rowOff>38100</xdr:rowOff>
                  </from>
                  <to>
                    <xdr:col>2</xdr:col>
                    <xdr:colOff>1536700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2" name="Check Box 11">
              <controlPr defaultSize="0" autoFill="0" autoLine="0" autoPict="0">
                <anchor moveWithCells="1">
                  <from>
                    <xdr:col>2</xdr:col>
                    <xdr:colOff>1682750</xdr:colOff>
                    <xdr:row>7</xdr:row>
                    <xdr:rowOff>38100</xdr:rowOff>
                  </from>
                  <to>
                    <xdr:col>2</xdr:col>
                    <xdr:colOff>2324100</xdr:colOff>
                    <xdr:row>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3" name="Check Box 12">
              <controlPr defaultSize="0" autoFill="0" autoLine="0" autoPict="0">
                <anchor moveWithCells="1">
                  <from>
                    <xdr:col>3</xdr:col>
                    <xdr:colOff>63500</xdr:colOff>
                    <xdr:row>7</xdr:row>
                    <xdr:rowOff>38100</xdr:rowOff>
                  </from>
                  <to>
                    <xdr:col>3</xdr:col>
                    <xdr:colOff>831850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4" name="Check Box 13">
              <controlPr defaultSize="0" autoFill="0" autoLine="0" autoPict="0">
                <anchor moveWithCells="1">
                  <from>
                    <xdr:col>3</xdr:col>
                    <xdr:colOff>952500</xdr:colOff>
                    <xdr:row>7</xdr:row>
                    <xdr:rowOff>38100</xdr:rowOff>
                  </from>
                  <to>
                    <xdr:col>4</xdr:col>
                    <xdr:colOff>717550</xdr:colOff>
                    <xdr:row>7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5" name="Check Box 14">
              <controlPr defaultSize="0" autoFill="0" autoLine="0" autoPict="0">
                <anchor moveWithCells="1">
                  <from>
                    <xdr:col>4</xdr:col>
                    <xdr:colOff>800100</xdr:colOff>
                    <xdr:row>7</xdr:row>
                    <xdr:rowOff>38100</xdr:rowOff>
                  </from>
                  <to>
                    <xdr:col>5</xdr:col>
                    <xdr:colOff>711200</xdr:colOff>
                    <xdr:row>7</xdr:row>
                    <xdr:rowOff>368300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7"/>
  <sheetViews>
    <sheetView topLeftCell="A142" zoomScale="55" zoomScaleNormal="55" workbookViewId="0">
      <selection activeCell="X212" sqref="X212"/>
    </sheetView>
  </sheetViews>
  <sheetFormatPr defaultRowHeight="14"/>
  <sheetData>
    <row r="1" spans="1:19" ht="30.5" customHeight="1">
      <c r="A1" s="166" t="s">
        <v>92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</row>
    <row r="56" spans="1:16" ht="18.5" customHeight="1">
      <c r="A56" s="166" t="s">
        <v>93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</row>
    <row r="57" spans="1:16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</row>
  </sheetData>
  <mergeCells count="2">
    <mergeCell ref="A1:S1"/>
    <mergeCell ref="A56:P5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① (자본예산) 1-1. 정보화사업 개요</vt:lpstr>
      <vt:lpstr>① (자본예산) 1-2. 소요자원 상세내용</vt:lpstr>
      <vt:lpstr>견적서</vt:lpstr>
      <vt:lpstr>'① (자본예산) 1-1. 정보화사업 개요'!Print_Area</vt:lpstr>
      <vt:lpstr>'① (자본예산) 1-2. 소요자원 상세내용'!Print_Area</vt:lpstr>
    </vt:vector>
  </TitlesOfParts>
  <Company>KTF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JungPiloh</dc:creator>
  <cp:lastModifiedBy>KDB</cp:lastModifiedBy>
  <cp:lastPrinted>2025-10-01T05:29:11Z</cp:lastPrinted>
  <dcterms:created xsi:type="dcterms:W3CDTF">2005-05-24T12:23:20Z</dcterms:created>
  <dcterms:modified xsi:type="dcterms:W3CDTF">2025-10-01T05:29:21Z</dcterms:modified>
</cp:coreProperties>
</file>