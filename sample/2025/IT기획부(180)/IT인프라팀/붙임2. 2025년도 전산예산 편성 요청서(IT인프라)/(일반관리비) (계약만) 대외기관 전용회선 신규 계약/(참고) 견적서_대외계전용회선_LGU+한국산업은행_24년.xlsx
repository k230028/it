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1280" yWindow="-120" windowWidth="29040" windowHeight="15840" tabRatio="883"/>
  </bookViews>
  <sheets>
    <sheet name="견적서" sheetId="16" r:id="rId1"/>
    <sheet name="피벗" sheetId="19" r:id="rId2"/>
    <sheet name="대외회선(상세)" sheetId="14" r:id="rId3"/>
    <sheet name="월별청구내역" sheetId="17" r:id="rId4"/>
  </sheets>
  <externalReferences>
    <externalReference r:id="rId5"/>
    <externalReference r:id="rId6"/>
    <externalReference r:id="rId7"/>
  </externalReferences>
  <definedNames>
    <definedName name="__DAT10">'[1]05년5월'!#REF!</definedName>
    <definedName name="__DAT12">'[1]05년5월'!#REF!</definedName>
    <definedName name="__DAT13">'[1]05년5월'!#REF!</definedName>
    <definedName name="__DAT14">'[1]05년5월'!#REF!</definedName>
    <definedName name="__DAT15">'[1]05년5월'!#REF!</definedName>
    <definedName name="__DAT16">'[1]05년5월'!#REF!</definedName>
    <definedName name="__DAT17">'[1]05년5월'!#REF!</definedName>
    <definedName name="__DAT18">'[1]05년5월'!#REF!</definedName>
    <definedName name="__DAT19">'[1]05년5월'!#REF!</definedName>
    <definedName name="__DAT2">'[1]05년5월'!#REF!</definedName>
    <definedName name="__DAT20">'[1]05년5월'!#REF!</definedName>
    <definedName name="__DAT21">'[1]05년5월'!#REF!</definedName>
    <definedName name="__DAT22">'[1]05년5월'!#REF!</definedName>
    <definedName name="__DAT23">'[1]05년5월'!#REF!</definedName>
    <definedName name="__DAT24">'[1]05년5월'!#REF!</definedName>
    <definedName name="__DAT25">'[1]05년5월'!#REF!</definedName>
    <definedName name="__DAT26">'[1]05년5월'!#REF!</definedName>
    <definedName name="__DAT27">'[1]05년5월'!#REF!</definedName>
    <definedName name="__DAT28">'[1]05년5월'!#REF!</definedName>
    <definedName name="__DAT3">'[1]05년5월'!#REF!</definedName>
    <definedName name="__DAT30">'[1]05년5월'!#REF!</definedName>
    <definedName name="__DAT31">'[1]05년5월'!#REF!</definedName>
    <definedName name="__DAT32">'[1]05년5월'!#REF!</definedName>
    <definedName name="__DAT33">'[1]05년5월'!#REF!</definedName>
    <definedName name="__DAT34">'[1]05년5월'!#REF!</definedName>
    <definedName name="__DAT35">'[1]05년5월'!#REF!</definedName>
    <definedName name="__DAT36">'[1]05년5월'!#REF!</definedName>
    <definedName name="__DAT4">'[1]05년5월'!#REF!</definedName>
    <definedName name="__DAT5">'[1]05년5월'!#REF!</definedName>
    <definedName name="__DAT6">'[1]05년5월'!#REF!</definedName>
    <definedName name="__DAT7">'[1]05년5월'!#REF!</definedName>
    <definedName name="__DAT8">'[1]05년5월'!#REF!</definedName>
    <definedName name="__DAT9">'[1]05년5월'!#REF!</definedName>
    <definedName name="_xlnm._FilterDatabase" localSheetId="2" hidden="1">'대외회선(상세)'!$B$1:$I$101</definedName>
    <definedName name="A">#REF!</definedName>
    <definedName name="ATM속도_1">OFFSET('[2]◆ 구분자(전자정부)'!$B$44,0,'[2]○ DLS계산'!$F$178,'[2]○ DLS계산'!$P$178,1)</definedName>
    <definedName name="ATM속도_2">OFFSET('[2]◆ 구분자(전자정부)'!$B$44,0,'[2]○ DLS계산'!$F$179,'[2]○ DLS계산'!$P$179,1)</definedName>
    <definedName name="ATM속도_3">OFFSET('[2]◆ 구분자(전자정부)'!$B$44,0,'[2]○ DLS계산'!$F$180,'[2]○ DLS계산'!$P$180,1)</definedName>
    <definedName name="ATM속도_4">OFFSET('[2]◆ 구분자(전자정부)'!$B$44,0,'[2]○ DLS계산'!$F$181,'[2]○ DLS계산'!$P$181,1)</definedName>
    <definedName name="ATM속도_5">OFFSET('[2]◆ 구분자(전자정부)'!$B$44,0,'[2]○ DLS계산'!$F$182,'[2]○ DLS계산'!$P$182,1)</definedName>
    <definedName name="ATM속도2_1">OFFSET('[2]◆ 구분자(전자정부)'!$B$165,0,'[2]○ DLS계산'!$F$197,'[2]○ DLS계산'!$P$197,1)</definedName>
    <definedName name="ATM속도2_12">OFFSET('[2]◆ 구분자(전자정부)'!$B$165,0,'[2]○ DLS계산'!$F$198,'[2]○ DLS계산'!$P$198,1)</definedName>
    <definedName name="ATM속도2_2">OFFSET('[2]◆ 구분자(전자정부)'!$B$165,0,'[2]○ DLS계산'!$F$198,'[2]○ DLS계산'!$P$198,1)</definedName>
    <definedName name="ATM속도2_3">OFFSET('[2]◆ 구분자(전자정부)'!$B$165,0,'[2]○ DLS계산'!$F$199,'[2]○ DLS계산'!$P$199,1)</definedName>
    <definedName name="ATM속도2_4">OFFSET('[2]◆ 구분자(전자정부)'!$B$165,0,'[2]○ DLS계산'!$F$200,'[2]○ DLS계산'!$P$200,1)</definedName>
    <definedName name="ATM속도2_5">OFFSET('[2]◆ 구분자(전자정부)'!$B$165,0,'[2]○ DLS계산'!$F$201,'[2]○ DLS계산'!$P$201,1)</definedName>
    <definedName name="ATM시내구간_1">OFFSET('[2]○ DLS계산'!$F$7,1,'[2]○ DLS계산'!$J$178,'[2]○ DLS계산'!$K$178,1)</definedName>
    <definedName name="ATM시내구간_2">OFFSET('[2]○ DLS계산'!$F$7,1,'[2]○ DLS계산'!$J$179,'[2]○ DLS계산'!$K$179,1)</definedName>
    <definedName name="ATM시내구간_3">OFFSET('[2]○ DLS계산'!$F$7,1,'[2]○ DLS계산'!$J$180,'[2]○ DLS계산'!$K$180,1)</definedName>
    <definedName name="ATM시내구간_4">OFFSET('[2]○ DLS계산'!$F$7,1,'[2]○ DLS계산'!$J$181,'[2]○ DLS계산'!$K$181,1)</definedName>
    <definedName name="ATM시내구간_5">OFFSET('[2]○ DLS계산'!$F$7,1,'[2]○ DLS계산'!$J$182,'[2]○ DLS계산'!$K$182,1)</definedName>
    <definedName name="ATM시내외_1">OFFSET('[2]○ DLS계산'!$B$9,0,'[2]○ DLS계산'!$G$178,'[2]○ DLS계산'!$H$178,1)</definedName>
    <definedName name="ATM시내외_2">OFFSET('[2]○ DLS계산'!$B$9,0,'[2]○ DLS계산'!$G$179,'[2]○ DLS계산'!$H$179,1)</definedName>
    <definedName name="ATM시내외_3">OFFSET('[2]○ DLS계산'!$B$9,0,'[2]○ DLS계산'!$G$180,'[2]○ DLS계산'!$H$180,1)</definedName>
    <definedName name="ATM시내외_4">OFFSET('[2]○ DLS계산'!$B$9,0,'[2]○ DLS계산'!$G$181,'[2]○ DLS계산'!$H$181,1)</definedName>
    <definedName name="ATM시내외_5">OFFSET('[2]○ DLS계산'!$B$9,0,'[2]○ DLS계산'!$G$182,'[2]○ DLS계산'!$H$182,1)</definedName>
    <definedName name="ATM타사임차구분_1">OFFSET('[2]○ DLS구분자'!$C$147,0,'[2]○ DLS계산'!$U$189,'[2]○ DLS계산'!$V$189,1)</definedName>
    <definedName name="ATM타사임차구분_2">OFFSET('[2]○ DLS구분자'!$C$147,0,'[2]○ DLS계산'!$U$190,'[2]○ DLS계산'!$V$190,1)</definedName>
    <definedName name="ATM타사임차구분_3">OFFSET('[2]○ DLS구분자'!$C$147,0,'[2]○ DLS계산'!$U$191,'[2]○ DLS계산'!$V$191,1)</definedName>
    <definedName name="ATM타사임차구분_4">OFFSET('[2]○ DLS구분자'!$C$147,0,'[2]○ DLS계산'!$U$192,'[2]○ DLS계산'!$V$192,1)</definedName>
    <definedName name="ATM타사임차구분_5">OFFSET('[2]○ DLS구분자'!$C$147,0,'[2]○ DLS계산'!$U$193,'[2]○ DLS계산'!$V$193,1)</definedName>
    <definedName name="ATM타사임차구분2_1">OFFSET('[2]○ DLS구분자'!$C$147,0,'[2]○ DLS계산'!$U$206,'[2]○ DLS계산'!$V$206,1)</definedName>
    <definedName name="ATM타사임차구분2_2">OFFSET('[2]○ DLS구분자'!$C$147,0,'[2]○ DLS계산'!$U$207,'[2]○ DLS계산'!$V$207,1)</definedName>
    <definedName name="ATM타사임차구분2_3">OFFSET('[2]○ DLS구분자'!$C$147,0,'[2]○ DLS계산'!$U$208,'[2]○ DLS계산'!$V$208,1)</definedName>
    <definedName name="ATM타사임차구분2_4">OFFSET('[2]○ DLS구분자'!$C$147,0,'[2]○ DLS계산'!$U$209,'[2]○ DLS계산'!$V$209,1)</definedName>
    <definedName name="ATM타사임차구분2_5">OFFSET('[2]○ DLS구분자'!$C$147,0,'[2]○ DLS계산'!$U$210,'[2]○ DLS계산'!$V$210,1)</definedName>
    <definedName name="data">#REF!</definedName>
    <definedName name="dc_snt">#REF!</definedName>
    <definedName name="MVP구분_1">OFFSET('[2]○MVP 구분자'!$C$11,1,'[2]○ MVP계산'!$C$6,'[2]○ MVP계산'!$E$6,1)</definedName>
    <definedName name="MVP구분_2">OFFSET('[2]○MVP 구분자'!$C$11,1,'[2]○ MVP계산'!$C$7,'[2]○ MVP계산'!$E$7,1)</definedName>
    <definedName name="MVP구분_3">OFFSET('[2]○MVP 구분자'!$C$11,1,'[2]○ MVP계산'!$C$8,'[2]○ MVP계산'!$E$8,1)</definedName>
    <definedName name="MVP구분_4">OFFSET('[2]○MVP 구분자'!$C$11,1,'[2]○ MVP계산'!$C$9,'[2]○ MVP계산'!$E$9,1)</definedName>
    <definedName name="MVP구분_5">OFFSET('[2]○MVP 구분자'!$C$11,1,'[2]○ MVP계산'!$C$10,'[2]○ MVP계산'!$E$10,1)</definedName>
    <definedName name="_xlnm.Print_Area" localSheetId="0">견적서!$A$1:$N$39</definedName>
    <definedName name="가팀">[3]★입력_영업1팀!$AR$1</definedName>
    <definedName name="감면대상_고객_여부">#REF!</definedName>
    <definedName name="강원">#REF!</definedName>
    <definedName name="경북">#REF!</definedName>
    <definedName name="기업">#REF!</definedName>
    <definedName name="나팀">[3]★입력_영업2팀!$AR$1</definedName>
    <definedName name="다팀">[3]★입력_유통영업팀!$AR$1</definedName>
    <definedName name="부산">#REF!</definedName>
    <definedName name="부서명">[3]★입력_지사!$AR$1</definedName>
    <definedName name="수도권">#REF!</definedName>
    <definedName name="시내구간_1">OFFSET('[2]○ DLS계산'!$F$7,1,'[2]○ DLS계산'!$I$157,'[2]○ DLS계산'!$J$157,1)</definedName>
    <definedName name="시내구간_10">OFFSET('[2]○ DLS계산'!$F$7,1,'[2]○ DLS계산'!$I$166,'[2]○ DLS계산'!$J$166,1)</definedName>
    <definedName name="시내구간_2">OFFSET('[2]○ DLS계산'!$F$7,1,'[2]○ DLS계산'!$I$158,'[2]○ DLS계산'!$J$158,1)</definedName>
    <definedName name="시내구간_3">OFFSET('[2]○ DLS계산'!$F$7,1,'[2]○ DLS계산'!$I$159,'[2]○ DLS계산'!$J$159,1)</definedName>
    <definedName name="시내구간_4">OFFSET('[2]○ DLS계산'!$F$7,1,'[2]○ DLS계산'!$I$160,'[2]○ DLS계산'!$J$160,1)</definedName>
    <definedName name="시내구간_5">OFFSET('[2]○ DLS계산'!$F$7,1,'[2]○ DLS계산'!$I$161,'[2]○ DLS계산'!$J$161,1)</definedName>
    <definedName name="시내구간_6">OFFSET('[2]○ DLS계산'!$F$7,1,'[2]○ DLS계산'!$I$162,'[2]○ DLS계산'!$J$162,1)</definedName>
    <definedName name="시내구간_7">OFFSET('[2]○ DLS계산'!$F$7,1,'[2]○ DLS계산'!$I$163,'[2]○ DLS계산'!$J$163,1)</definedName>
    <definedName name="시내구간_8">OFFSET('[2]○ DLS계산'!$F$7,1,'[2]○ DLS계산'!$I$164,'[2]○ DLS계산'!$J$164,1)</definedName>
    <definedName name="시내구간_9">OFFSET('[2]○ DLS계산'!$F$7,1,'[2]○ DLS계산'!$I$165,'[2]○ DLS계산'!$J$165,1)</definedName>
    <definedName name="시내구간3_1">OFFSET('[2]○ DLS계산'!$F$7,1,'[2]○ DLS계산'!$J$197,'[2]○ DLS계산'!$K$197,1)</definedName>
    <definedName name="시내구간3_2">OFFSET('[2]○ DLS계산'!$F$7,1,'[2]○ DLS계산'!$J$198,'[2]○ DLS계산'!$K$198,1)</definedName>
    <definedName name="시내구간3_3">OFFSET('[2]○ DLS계산'!$F$7,1,'[2]○ DLS계산'!$J$199,'[2]○ DLS계산'!$K$199,1)</definedName>
    <definedName name="시내구간3_4">OFFSET('[2]○ DLS계산'!$F$7,1,'[2]○ DLS계산'!$J$200,'[2]○ DLS계산'!$K$200,1)</definedName>
    <definedName name="시내구간3_5">OFFSET('[2]○ DLS계산'!$F$7,1,'[2]○ DLS계산'!$J$201,'[2]○ DLS계산'!$K$201,1)</definedName>
    <definedName name="시내외_1">OFFSET('[2]○ DLS계산'!$B$9,0,'[2]○ DLS계산'!$F$157,'[2]○ DLS계산'!$G$157,1)</definedName>
    <definedName name="시내외_10">OFFSET('[2]○ DLS계산'!$B$9,0,'[2]○ DLS계산'!$F$166,'[2]○ DLS계산'!$G$166,1)</definedName>
    <definedName name="시내외_2">OFFSET('[2]○ DLS계산'!$B$9,0,'[2]○ DLS계산'!$F$158,'[2]○ DLS계산'!$G$158,1)</definedName>
    <definedName name="시내외_3">OFFSET('[2]○ DLS계산'!$B$9,0,'[2]○ DLS계산'!$F$159,'[2]○ DLS계산'!$G$159,1)</definedName>
    <definedName name="시내외_4">OFFSET('[2]○ DLS계산'!$B$9,0,'[2]○ DLS계산'!$F$160,'[2]○ DLS계산'!$G$160,1)</definedName>
    <definedName name="시내외_5">OFFSET('[2]○ DLS계산'!$B$9,0,'[2]○ DLS계산'!$F$161,'[2]○ DLS계산'!$G$161,1)</definedName>
    <definedName name="시내외_6">OFFSET('[2]○ DLS계산'!$B$9,0,'[2]○ DLS계산'!$F$162,'[2]○ DLS계산'!$G$162,1)</definedName>
    <definedName name="시내외_7">OFFSET('[2]○ DLS계산'!$B$9,0,'[2]○ DLS계산'!$F$163,'[2]○ DLS계산'!$G$163,1)</definedName>
    <definedName name="시내외_8">OFFSET('[2]○ DLS계산'!$B$9,0,'[2]○ DLS계산'!$F$164,'[2]○ DLS계산'!$G$164,1)</definedName>
    <definedName name="시내외_9">OFFSET('[2]○ DLS계산'!$B$9,0,'[2]○ DLS계산'!$F$165,'[2]○ DLS계산'!$G$165,1)</definedName>
    <definedName name="시내외3_1">OFFSET('[2]○ DLS계산'!$B$9,0,'[2]○ DLS계산'!$G$197,'[2]○ DLS계산'!$H$197,1)</definedName>
    <definedName name="시내외3_2">OFFSET('[2]○ DLS계산'!$B$9,0,'[2]○ DLS계산'!$G$198,'[2]○ DLS계산'!$H$198,1)</definedName>
    <definedName name="시내외3_3">OFFSET('[2]○ DLS계산'!$B$9,0,'[2]○ DLS계산'!$G$199,'[2]○ DLS계산'!$H$199,1)</definedName>
    <definedName name="시내외3_4">OFFSET('[2]○ DLS계산'!$B$9,0,'[2]○ DLS계산'!$G$200,'[2]○ DLS계산'!$H$200,1)</definedName>
    <definedName name="시내외3_5">OFFSET('[2]○ DLS계산'!$B$9,0,'[2]○ DLS계산'!$G$201,'[2]○ DLS계산'!$H$201,1)</definedName>
    <definedName name="영업부문">#REF!</definedName>
    <definedName name="유통망_유치_여부">#REF!</definedName>
    <definedName name="인터넷">#REF!</definedName>
    <definedName name="인터넷회선_속도">OFFSET('[2]◆ 구분자(전자정부)'!$B$337,1,'[2]■ 인터넷(전자정부_NIS)'!$N$12,IF('[2]■ 인터넷(전자정부_NIS)'!$N$12=1,31,21),1)</definedName>
    <definedName name="인터넷회선_속도2">OFFSET('[2]◆ 구분자(전자정부)'!$B$337,1,'[2]■ 인터넷(전자정부_NIS)'!$N$13,IF('[2]■ 인터넷(전자정부_NIS)'!$N$13=1,31,21),1)</definedName>
    <definedName name="인터넷회선_속도3">OFFSET('[2]◆ 구분자(전자정부)'!$B$337,1,'[2]■ 인터넷(전자정부_NIS)'!$N$14,IF('[2]■ 인터넷(전자정부_NIS)'!$N$14=1,31,21),1)</definedName>
    <definedName name="인터넷회선_속도4">OFFSET('[2]◆ 구분자(전자정부)'!$B$337,1,'[2]■ 인터넷(전자정부_NIS)'!$N$15,IF('[2]■ 인터넷(전자정부_NIS)'!$N$15=1,31,21),1)</definedName>
    <definedName name="인터넷회선_속도5">OFFSET('[2]◆ 구분자(전자정부)'!$B$337,1,'[2]■ 인터넷(전자정부_NIS)'!$N$16,IF('[2]■ 인터넷(전자정부_NIS)'!$N$16=1,31,21),1)</definedName>
    <definedName name="자료" localSheetId="3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자료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전사">#REF!</definedName>
    <definedName name="전송속도참조_1">OFFSET('[2]◆ 구분자(전자정부)'!$B$164,1,'[2]○ DLS계산'!$H$219,'[2]○ DLS계산'!$I$219,1)</definedName>
    <definedName name="전송속도참조_2">OFFSET('[2]◆ 구분자(전자정부)'!$B$164,1,'[2]○ DLS계산'!$H$220,'[2]○ DLS계산'!$I$220,1)</definedName>
    <definedName name="전송속도참조_3">OFFSET('[2]◆ 구분자(전자정부)'!$B$164,1,'[2]○ DLS계산'!$H$221,'[2]○ DLS계산'!$I$221,1)</definedName>
    <definedName name="전송속도참조_4">OFFSET('[2]◆ 구분자(전자정부)'!$B$164,1,'[2]○ DLS계산'!$H$222,'[2]○ DLS계산'!$I$222,1)</definedName>
    <definedName name="전송속도참조_5">OFFSET('[2]◆ 구분자(전자정부)'!$B$164,1,'[2]○ DLS계산'!$H$223,'[2]○ DLS계산'!$I$223,1)</definedName>
    <definedName name="접속속도참조_1">OFFSET('[2]◆ 구분자(전자정부)'!$B$208,1,'[2]○ DLS계산'!$H$213,'[2]○ DLS계산'!$I$213,1)</definedName>
    <definedName name="접속속도참조_2">OFFSET('[2]◆ 구분자(전자정부)'!$B$208,1,'[2]○ DLS계산'!$H$214,'[2]○ DLS계산'!$I$214,1)</definedName>
    <definedName name="접속속도참조_3">OFFSET('[2]◆ 구분자(전자정부)'!$B$208,1,'[2]○ DLS계산'!$H$215,'[2]○ DLS계산'!$I$215,1)</definedName>
    <definedName name="접속속도참조_4">OFFSET('[2]◆ 구분자(전자정부)'!$B$208,1,'[2]○ DLS계산'!$H$216,'[2]○ DLS계산'!$I$216,1)</definedName>
    <definedName name="접속속도참조_5">OFFSET('[2]◆ 구분자(전자정부)'!$B$208,1,'[2]○ DLS계산'!$H$217,'[2]○ DLS계산'!$I$217,1)</definedName>
    <definedName name="정기계약_약정_여부">#REF!</definedName>
    <definedName name="중부">#REF!</definedName>
    <definedName name="지역">#REF!</definedName>
    <definedName name="지역1">#REF!</definedName>
    <definedName name="채널" localSheetId="3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채널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최종2" localSheetId="3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최종2">{"영업사원","영업사원";"AM","영업사원";"RM","영업사원";"CM","영업사원";"유통망","유통망";"대리점","유통망";"별정2호","유통망";"제휴영업","유통망";"카드","MASS";"MASS","MASS";"영업팀장","MASS";"팀장","MASS"}</definedName>
    <definedName name="충청">#REF!</definedName>
    <definedName name="타사임차구분_1">OFFSET('[2]○ DLS구분자'!$C$147,0,'[2]○ DLS계산'!$U$157,'[2]○ DLS계산'!$V$157,1)</definedName>
    <definedName name="타사임차구분_10">OFFSET('[2]○ DLS구분자'!$C$147,0,'[2]○ DLS계산'!$U$166,'[2]○ DLS계산'!$V$166,1)</definedName>
    <definedName name="타사임차구분_2">OFFSET('[2]○ DLS구분자'!$C$147,0,'[2]○ DLS계산'!$U$158,'[2]○ DLS계산'!$V$158,1)</definedName>
    <definedName name="타사임차구분_3">OFFSET('[2]○ DLS구분자'!$C$147,0,'[2]○ DLS계산'!$U$159,'[2]○ DLS계산'!$V$159,1)</definedName>
    <definedName name="타사임차구분_4">OFFSET('[2]○ DLS구분자'!$C$147,0,'[2]○ DLS계산'!$U$160,'[2]○ DLS계산'!$V$160,1)</definedName>
    <definedName name="타사임차구분_5">OFFSET('[2]○ DLS구분자'!$C$147,0,'[2]○ DLS계산'!$U$161,'[2]○ DLS계산'!$V$161,1)</definedName>
    <definedName name="타사임차구분_6">OFFSET('[2]○ DLS구분자'!$C$147,0,'[2]○ DLS계산'!$U$162,'[2]○ DLS계산'!$V$162,1)</definedName>
    <definedName name="타사임차구분_7">OFFSET('[2]○ DLS구분자'!$C$147,0,'[2]○ DLS계산'!$U$163,'[2]○ DLS계산'!$V$163,1)</definedName>
    <definedName name="타사임차구분_8">OFFSET('[2]○ DLS구분자'!$C$147,0,'[2]○ DLS계산'!$U$164,'[2]○ DLS계산'!$V$164,1)</definedName>
    <definedName name="타사임차구분_9">OFFSET('[2]○ DLS구분자'!$C$147,0,'[2]○ DLS계산'!$U$165,'[2]○ DLS계산'!$V$165,1)</definedName>
    <definedName name="호남">#REF!</definedName>
    <definedName name="호남1">#REF!</definedName>
    <definedName name="회선속도">#REF!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6" l="1"/>
  <c r="M28" i="16" s="1"/>
  <c r="M33" i="16" s="1"/>
  <c r="R33" i="14"/>
  <c r="P33" i="14"/>
  <c r="N33" i="14"/>
  <c r="S33" i="14" s="1"/>
  <c r="L33" i="14"/>
  <c r="B33" i="14"/>
  <c r="L31" i="16"/>
  <c r="M31" i="16"/>
  <c r="M32" i="16"/>
  <c r="O101" i="14"/>
  <c r="M101" i="14"/>
  <c r="K101" i="14"/>
  <c r="R100" i="14"/>
  <c r="P100" i="14"/>
  <c r="S100" i="14" s="1"/>
  <c r="N100" i="14"/>
  <c r="B100" i="14"/>
  <c r="S99" i="14"/>
  <c r="R99" i="14"/>
  <c r="P99" i="14"/>
  <c r="N99" i="14"/>
  <c r="B99" i="14"/>
  <c r="R98" i="14"/>
  <c r="P98" i="14"/>
  <c r="S98" i="14" s="1"/>
  <c r="N98" i="14"/>
  <c r="L98" i="14"/>
  <c r="B98" i="14"/>
  <c r="S97" i="14"/>
  <c r="R97" i="14"/>
  <c r="P97" i="14"/>
  <c r="N97" i="14"/>
  <c r="L97" i="14"/>
  <c r="B97" i="14"/>
  <c r="R96" i="14"/>
  <c r="P96" i="14"/>
  <c r="S96" i="14" s="1"/>
  <c r="N96" i="14"/>
  <c r="L96" i="14"/>
  <c r="B96" i="14"/>
  <c r="S95" i="14"/>
  <c r="R95" i="14"/>
  <c r="P95" i="14"/>
  <c r="N95" i="14"/>
  <c r="L95" i="14"/>
  <c r="B95" i="14"/>
  <c r="R94" i="14"/>
  <c r="P94" i="14"/>
  <c r="S94" i="14" s="1"/>
  <c r="N94" i="14"/>
  <c r="L94" i="14"/>
  <c r="B94" i="14"/>
  <c r="S93" i="14"/>
  <c r="R93" i="14"/>
  <c r="P93" i="14"/>
  <c r="N93" i="14"/>
  <c r="L93" i="14"/>
  <c r="B93" i="14"/>
  <c r="R92" i="14"/>
  <c r="P92" i="14"/>
  <c r="S92" i="14" s="1"/>
  <c r="N92" i="14"/>
  <c r="L92" i="14"/>
  <c r="B92" i="14"/>
  <c r="S91" i="14"/>
  <c r="R91" i="14"/>
  <c r="P91" i="14"/>
  <c r="N91" i="14"/>
  <c r="L91" i="14"/>
  <c r="B91" i="14"/>
  <c r="R90" i="14"/>
  <c r="P90" i="14"/>
  <c r="S90" i="14" s="1"/>
  <c r="N90" i="14"/>
  <c r="L90" i="14"/>
  <c r="B90" i="14"/>
  <c r="S89" i="14"/>
  <c r="R89" i="14"/>
  <c r="P89" i="14"/>
  <c r="N89" i="14"/>
  <c r="L89" i="14"/>
  <c r="B89" i="14"/>
  <c r="R88" i="14"/>
  <c r="P88" i="14"/>
  <c r="S88" i="14" s="1"/>
  <c r="N88" i="14"/>
  <c r="L88" i="14"/>
  <c r="B88" i="14"/>
  <c r="S87" i="14"/>
  <c r="R87" i="14"/>
  <c r="P87" i="14"/>
  <c r="N87" i="14"/>
  <c r="L87" i="14"/>
  <c r="B87" i="14"/>
  <c r="R86" i="14"/>
  <c r="P86" i="14"/>
  <c r="S86" i="14" s="1"/>
  <c r="N86" i="14"/>
  <c r="L86" i="14"/>
  <c r="B86" i="14"/>
  <c r="S85" i="14"/>
  <c r="R85" i="14"/>
  <c r="P85" i="14"/>
  <c r="N85" i="14"/>
  <c r="L85" i="14"/>
  <c r="B85" i="14"/>
  <c r="R84" i="14"/>
  <c r="P84" i="14"/>
  <c r="S84" i="14" s="1"/>
  <c r="N84" i="14"/>
  <c r="L84" i="14"/>
  <c r="B84" i="14"/>
  <c r="S83" i="14"/>
  <c r="R83" i="14"/>
  <c r="P83" i="14"/>
  <c r="N83" i="14"/>
  <c r="L83" i="14"/>
  <c r="B83" i="14"/>
  <c r="R82" i="14"/>
  <c r="P82" i="14"/>
  <c r="S82" i="14" s="1"/>
  <c r="N82" i="14"/>
  <c r="L82" i="14"/>
  <c r="B82" i="14"/>
  <c r="S81" i="14"/>
  <c r="R81" i="14"/>
  <c r="P81" i="14"/>
  <c r="N81" i="14"/>
  <c r="L81" i="14"/>
  <c r="B81" i="14"/>
  <c r="R80" i="14"/>
  <c r="P80" i="14"/>
  <c r="S80" i="14" s="1"/>
  <c r="N80" i="14"/>
  <c r="L80" i="14"/>
  <c r="B80" i="14"/>
  <c r="S79" i="14"/>
  <c r="R79" i="14"/>
  <c r="P79" i="14"/>
  <c r="N79" i="14"/>
  <c r="L79" i="14"/>
  <c r="B79" i="14"/>
  <c r="R78" i="14"/>
  <c r="P78" i="14"/>
  <c r="S78" i="14" s="1"/>
  <c r="N78" i="14"/>
  <c r="L78" i="14"/>
  <c r="B78" i="14"/>
  <c r="S77" i="14"/>
  <c r="R77" i="14"/>
  <c r="P77" i="14"/>
  <c r="N77" i="14"/>
  <c r="L77" i="14"/>
  <c r="B77" i="14"/>
  <c r="R76" i="14"/>
  <c r="P76" i="14"/>
  <c r="S76" i="14" s="1"/>
  <c r="N76" i="14"/>
  <c r="L76" i="14"/>
  <c r="B76" i="14"/>
  <c r="S75" i="14"/>
  <c r="R75" i="14"/>
  <c r="P75" i="14"/>
  <c r="N75" i="14"/>
  <c r="L75" i="14"/>
  <c r="B75" i="14"/>
  <c r="R74" i="14"/>
  <c r="P74" i="14"/>
  <c r="S74" i="14" s="1"/>
  <c r="N74" i="14"/>
  <c r="L74" i="14"/>
  <c r="B74" i="14"/>
  <c r="S73" i="14"/>
  <c r="R73" i="14"/>
  <c r="P73" i="14"/>
  <c r="N73" i="14"/>
  <c r="L73" i="14"/>
  <c r="B73" i="14"/>
  <c r="R72" i="14"/>
  <c r="P72" i="14"/>
  <c r="S72" i="14" s="1"/>
  <c r="N72" i="14"/>
  <c r="L72" i="14"/>
  <c r="B72" i="14"/>
  <c r="S71" i="14"/>
  <c r="R71" i="14"/>
  <c r="P71" i="14"/>
  <c r="N71" i="14"/>
  <c r="L71" i="14"/>
  <c r="B71" i="14"/>
  <c r="R70" i="14"/>
  <c r="P70" i="14"/>
  <c r="S70" i="14" s="1"/>
  <c r="N70" i="14"/>
  <c r="L70" i="14"/>
  <c r="B70" i="14"/>
  <c r="R69" i="14"/>
  <c r="P69" i="14"/>
  <c r="N69" i="14"/>
  <c r="S69" i="14" s="1"/>
  <c r="L69" i="14"/>
  <c r="B69" i="14"/>
  <c r="R68" i="14"/>
  <c r="P68" i="14"/>
  <c r="S68" i="14" s="1"/>
  <c r="N68" i="14"/>
  <c r="L68" i="14"/>
  <c r="B68" i="14"/>
  <c r="R67" i="14"/>
  <c r="P67" i="14"/>
  <c r="S67" i="14" s="1"/>
  <c r="N67" i="14"/>
  <c r="L67" i="14"/>
  <c r="B67" i="14"/>
  <c r="S66" i="14"/>
  <c r="R66" i="14"/>
  <c r="P66" i="14"/>
  <c r="N66" i="14"/>
  <c r="L66" i="14"/>
  <c r="B66" i="14"/>
  <c r="R65" i="14"/>
  <c r="P65" i="14"/>
  <c r="S65" i="14" s="1"/>
  <c r="N65" i="14"/>
  <c r="L65" i="14"/>
  <c r="B65" i="14"/>
  <c r="S64" i="14"/>
  <c r="R64" i="14"/>
  <c r="P64" i="14"/>
  <c r="N64" i="14"/>
  <c r="L64" i="14"/>
  <c r="B64" i="14"/>
  <c r="R63" i="14"/>
  <c r="P63" i="14"/>
  <c r="S63" i="14" s="1"/>
  <c r="N63" i="14"/>
  <c r="L63" i="14"/>
  <c r="B63" i="14"/>
  <c r="S62" i="14"/>
  <c r="R62" i="14"/>
  <c r="P62" i="14"/>
  <c r="N62" i="14"/>
  <c r="L62" i="14"/>
  <c r="B62" i="14"/>
  <c r="R61" i="14"/>
  <c r="P61" i="14"/>
  <c r="S61" i="14" s="1"/>
  <c r="N61" i="14"/>
  <c r="L61" i="14"/>
  <c r="B61" i="14"/>
  <c r="S60" i="14"/>
  <c r="R60" i="14"/>
  <c r="P60" i="14"/>
  <c r="N60" i="14"/>
  <c r="L60" i="14"/>
  <c r="B60" i="14"/>
  <c r="R59" i="14"/>
  <c r="P59" i="14"/>
  <c r="S59" i="14" s="1"/>
  <c r="N59" i="14"/>
  <c r="L59" i="14"/>
  <c r="B59" i="14"/>
  <c r="S58" i="14"/>
  <c r="R58" i="14"/>
  <c r="P58" i="14"/>
  <c r="N58" i="14"/>
  <c r="L58" i="14"/>
  <c r="B58" i="14"/>
  <c r="R57" i="14"/>
  <c r="P57" i="14"/>
  <c r="S57" i="14" s="1"/>
  <c r="N57" i="14"/>
  <c r="L57" i="14"/>
  <c r="B57" i="14"/>
  <c r="S56" i="14"/>
  <c r="R56" i="14"/>
  <c r="P56" i="14"/>
  <c r="N56" i="14"/>
  <c r="L56" i="14"/>
  <c r="B56" i="14"/>
  <c r="R55" i="14"/>
  <c r="P55" i="14"/>
  <c r="S55" i="14" s="1"/>
  <c r="N55" i="14"/>
  <c r="L55" i="14"/>
  <c r="B55" i="14"/>
  <c r="S54" i="14"/>
  <c r="R54" i="14"/>
  <c r="P54" i="14"/>
  <c r="N54" i="14"/>
  <c r="L54" i="14"/>
  <c r="B54" i="14"/>
  <c r="R53" i="14"/>
  <c r="P53" i="14"/>
  <c r="S53" i="14" s="1"/>
  <c r="N53" i="14"/>
  <c r="L53" i="14"/>
  <c r="B53" i="14"/>
  <c r="S52" i="14"/>
  <c r="R52" i="14"/>
  <c r="P52" i="14"/>
  <c r="N52" i="14"/>
  <c r="L52" i="14"/>
  <c r="B52" i="14"/>
  <c r="R51" i="14"/>
  <c r="P51" i="14"/>
  <c r="S51" i="14" s="1"/>
  <c r="N51" i="14"/>
  <c r="L51" i="14"/>
  <c r="B51" i="14"/>
  <c r="S50" i="14"/>
  <c r="R50" i="14"/>
  <c r="P50" i="14"/>
  <c r="N50" i="14"/>
  <c r="L50" i="14"/>
  <c r="B50" i="14"/>
  <c r="R49" i="14"/>
  <c r="P49" i="14"/>
  <c r="S49" i="14" s="1"/>
  <c r="N49" i="14"/>
  <c r="L49" i="14"/>
  <c r="B49" i="14"/>
  <c r="S48" i="14"/>
  <c r="R48" i="14"/>
  <c r="P48" i="14"/>
  <c r="N48" i="14"/>
  <c r="L48" i="14"/>
  <c r="B48" i="14"/>
  <c r="R47" i="14"/>
  <c r="P47" i="14"/>
  <c r="S47" i="14" s="1"/>
  <c r="N47" i="14"/>
  <c r="L47" i="14"/>
  <c r="B47" i="14"/>
  <c r="S46" i="14"/>
  <c r="R46" i="14"/>
  <c r="P46" i="14"/>
  <c r="N46" i="14"/>
  <c r="L46" i="14"/>
  <c r="B46" i="14"/>
  <c r="R45" i="14"/>
  <c r="P45" i="14"/>
  <c r="S45" i="14" s="1"/>
  <c r="N45" i="14"/>
  <c r="L45" i="14"/>
  <c r="B45" i="14"/>
  <c r="S44" i="14"/>
  <c r="R44" i="14"/>
  <c r="P44" i="14"/>
  <c r="N44" i="14"/>
  <c r="L44" i="14"/>
  <c r="B44" i="14"/>
  <c r="R43" i="14"/>
  <c r="P43" i="14"/>
  <c r="S43" i="14" s="1"/>
  <c r="N43" i="14"/>
  <c r="L43" i="14"/>
  <c r="B43" i="14"/>
  <c r="S42" i="14"/>
  <c r="R42" i="14"/>
  <c r="P42" i="14"/>
  <c r="N42" i="14"/>
  <c r="L42" i="14"/>
  <c r="B42" i="14"/>
  <c r="R41" i="14"/>
  <c r="P41" i="14"/>
  <c r="S41" i="14" s="1"/>
  <c r="N41" i="14"/>
  <c r="L41" i="14"/>
  <c r="B41" i="14"/>
  <c r="S40" i="14"/>
  <c r="R40" i="14"/>
  <c r="P40" i="14"/>
  <c r="N40" i="14"/>
  <c r="L40" i="14"/>
  <c r="B40" i="14"/>
  <c r="R39" i="14"/>
  <c r="P39" i="14"/>
  <c r="S39" i="14" s="1"/>
  <c r="N39" i="14"/>
  <c r="L39" i="14"/>
  <c r="B39" i="14"/>
  <c r="S38" i="14"/>
  <c r="R38" i="14"/>
  <c r="P38" i="14"/>
  <c r="N38" i="14"/>
  <c r="L38" i="14"/>
  <c r="B38" i="14"/>
  <c r="R37" i="14"/>
  <c r="P37" i="14"/>
  <c r="S37" i="14" s="1"/>
  <c r="N37" i="14"/>
  <c r="L37" i="14"/>
  <c r="B37" i="14"/>
  <c r="S36" i="14"/>
  <c r="R36" i="14"/>
  <c r="P36" i="14"/>
  <c r="N36" i="14"/>
  <c r="L36" i="14"/>
  <c r="B36" i="14"/>
  <c r="R35" i="14"/>
  <c r="P35" i="14"/>
  <c r="S35" i="14" s="1"/>
  <c r="N35" i="14"/>
  <c r="L35" i="14"/>
  <c r="B35" i="14"/>
  <c r="S34" i="14"/>
  <c r="R34" i="14"/>
  <c r="P34" i="14"/>
  <c r="N34" i="14"/>
  <c r="L34" i="14"/>
  <c r="B34" i="14"/>
  <c r="S32" i="14"/>
  <c r="R32" i="14"/>
  <c r="P32" i="14"/>
  <c r="N32" i="14"/>
  <c r="L32" i="14"/>
  <c r="B32" i="14"/>
  <c r="R31" i="14"/>
  <c r="P31" i="14"/>
  <c r="S31" i="14" s="1"/>
  <c r="N31" i="14"/>
  <c r="L31" i="14"/>
  <c r="B31" i="14"/>
  <c r="S30" i="14"/>
  <c r="R30" i="14"/>
  <c r="P30" i="14"/>
  <c r="N30" i="14"/>
  <c r="L30" i="14"/>
  <c r="B30" i="14"/>
  <c r="R29" i="14"/>
  <c r="P29" i="14"/>
  <c r="S29" i="14" s="1"/>
  <c r="N29" i="14"/>
  <c r="L29" i="14"/>
  <c r="B29" i="14"/>
  <c r="S28" i="14"/>
  <c r="R28" i="14"/>
  <c r="P28" i="14"/>
  <c r="N28" i="14"/>
  <c r="L28" i="14"/>
  <c r="B28" i="14"/>
  <c r="R27" i="14"/>
  <c r="P27" i="14"/>
  <c r="S27" i="14" s="1"/>
  <c r="N27" i="14"/>
  <c r="L27" i="14"/>
  <c r="B27" i="14"/>
  <c r="S26" i="14"/>
  <c r="R26" i="14"/>
  <c r="P26" i="14"/>
  <c r="N26" i="14"/>
  <c r="L26" i="14"/>
  <c r="B26" i="14"/>
  <c r="R25" i="14"/>
  <c r="P25" i="14"/>
  <c r="S25" i="14" s="1"/>
  <c r="N25" i="14"/>
  <c r="L25" i="14"/>
  <c r="B25" i="14"/>
  <c r="S24" i="14"/>
  <c r="R24" i="14"/>
  <c r="P24" i="14"/>
  <c r="N24" i="14"/>
  <c r="L24" i="14"/>
  <c r="B24" i="14"/>
  <c r="R23" i="14"/>
  <c r="P23" i="14"/>
  <c r="S23" i="14" s="1"/>
  <c r="N23" i="14"/>
  <c r="L23" i="14"/>
  <c r="B23" i="14"/>
  <c r="S22" i="14"/>
  <c r="R22" i="14"/>
  <c r="P22" i="14"/>
  <c r="N22" i="14"/>
  <c r="L22" i="14"/>
  <c r="B22" i="14"/>
  <c r="R21" i="14"/>
  <c r="P21" i="14"/>
  <c r="S21" i="14" s="1"/>
  <c r="N21" i="14"/>
  <c r="L21" i="14"/>
  <c r="B21" i="14"/>
  <c r="S20" i="14"/>
  <c r="R20" i="14"/>
  <c r="P20" i="14"/>
  <c r="N20" i="14"/>
  <c r="L20" i="14"/>
  <c r="B20" i="14"/>
  <c r="R19" i="14"/>
  <c r="P19" i="14"/>
  <c r="S19" i="14" s="1"/>
  <c r="N19" i="14"/>
  <c r="L19" i="14"/>
  <c r="B19" i="14"/>
  <c r="S18" i="14"/>
  <c r="R18" i="14"/>
  <c r="P18" i="14"/>
  <c r="N18" i="14"/>
  <c r="L18" i="14"/>
  <c r="B18" i="14"/>
  <c r="R17" i="14"/>
  <c r="P17" i="14"/>
  <c r="S17" i="14" s="1"/>
  <c r="N17" i="14"/>
  <c r="L17" i="14"/>
  <c r="B17" i="14"/>
  <c r="S16" i="14"/>
  <c r="R16" i="14"/>
  <c r="P16" i="14"/>
  <c r="N16" i="14"/>
  <c r="L16" i="14"/>
  <c r="B16" i="14"/>
  <c r="R15" i="14"/>
  <c r="P15" i="14"/>
  <c r="S15" i="14" s="1"/>
  <c r="N15" i="14"/>
  <c r="L15" i="14"/>
  <c r="B15" i="14"/>
  <c r="S14" i="14"/>
  <c r="R14" i="14"/>
  <c r="P14" i="14"/>
  <c r="N14" i="14"/>
  <c r="L14" i="14"/>
  <c r="B14" i="14"/>
  <c r="R13" i="14"/>
  <c r="P13" i="14"/>
  <c r="S13" i="14" s="1"/>
  <c r="N13" i="14"/>
  <c r="L13" i="14"/>
  <c r="B13" i="14"/>
  <c r="S12" i="14"/>
  <c r="R12" i="14"/>
  <c r="P12" i="14"/>
  <c r="N12" i="14"/>
  <c r="L12" i="14"/>
  <c r="B12" i="14"/>
  <c r="R11" i="14"/>
  <c r="P11" i="14"/>
  <c r="S11" i="14" s="1"/>
  <c r="N11" i="14"/>
  <c r="L11" i="14"/>
  <c r="B11" i="14"/>
  <c r="S10" i="14"/>
  <c r="R10" i="14"/>
  <c r="P10" i="14"/>
  <c r="N10" i="14"/>
  <c r="L10" i="14"/>
  <c r="B10" i="14"/>
  <c r="R9" i="14"/>
  <c r="P9" i="14"/>
  <c r="S9" i="14" s="1"/>
  <c r="N9" i="14"/>
  <c r="L9" i="14"/>
  <c r="B9" i="14"/>
  <c r="S8" i="14"/>
  <c r="R8" i="14"/>
  <c r="P8" i="14"/>
  <c r="N8" i="14"/>
  <c r="L8" i="14"/>
  <c r="B8" i="14"/>
  <c r="R7" i="14"/>
  <c r="P7" i="14"/>
  <c r="S7" i="14" s="1"/>
  <c r="N7" i="14"/>
  <c r="L7" i="14"/>
  <c r="B7" i="14"/>
  <c r="S6" i="14"/>
  <c r="R6" i="14"/>
  <c r="P6" i="14"/>
  <c r="N6" i="14"/>
  <c r="L6" i="14"/>
  <c r="B6" i="14"/>
  <c r="R5" i="14"/>
  <c r="P5" i="14"/>
  <c r="S5" i="14" s="1"/>
  <c r="N5" i="14"/>
  <c r="L5" i="14"/>
  <c r="B5" i="14"/>
  <c r="S4" i="14"/>
  <c r="R4" i="14"/>
  <c r="P4" i="14"/>
  <c r="N4" i="14"/>
  <c r="L4" i="14"/>
  <c r="B4" i="14"/>
  <c r="S3" i="14"/>
  <c r="R3" i="14"/>
  <c r="R101" i="14" s="1"/>
  <c r="P3" i="14"/>
  <c r="N3" i="14"/>
  <c r="L3" i="14"/>
  <c r="B3" i="14"/>
  <c r="S2" i="14"/>
  <c r="R2" i="14"/>
  <c r="P2" i="14"/>
  <c r="P101" i="14" s="1"/>
  <c r="N2" i="14"/>
  <c r="N101" i="14" s="1"/>
  <c r="L2" i="14"/>
  <c r="B2" i="14"/>
  <c r="L22" i="16"/>
  <c r="D21" i="17"/>
  <c r="B21" i="17"/>
  <c r="P33" i="16"/>
  <c r="G33" i="16"/>
  <c r="L32" i="16"/>
  <c r="M30" i="16"/>
  <c r="L30" i="16"/>
  <c r="M29" i="16"/>
  <c r="L29" i="16"/>
  <c r="M27" i="16"/>
  <c r="L27" i="16"/>
  <c r="M26" i="16"/>
  <c r="L26" i="16"/>
  <c r="M25" i="16"/>
  <c r="L25" i="16"/>
  <c r="M24" i="16"/>
  <c r="L24" i="16"/>
  <c r="M23" i="16"/>
  <c r="L23" i="16"/>
  <c r="M22" i="16"/>
  <c r="K33" i="16" l="1"/>
  <c r="L28" i="16"/>
  <c r="L33" i="16" s="1"/>
  <c r="L101" i="14"/>
  <c r="S101" i="14"/>
  <c r="B25" i="17"/>
  <c r="H17" i="16" l="1"/>
</calcChain>
</file>

<file path=xl/sharedStrings.xml><?xml version="1.0" encoding="utf-8"?>
<sst xmlns="http://schemas.openxmlformats.org/spreadsheetml/2006/main" count="1146" uniqueCount="332">
  <si>
    <t>통신사</t>
    <phoneticPr fontId="2" type="noConversion"/>
  </si>
  <si>
    <t>No</t>
  </si>
  <si>
    <t>서비스</t>
    <phoneticPr fontId="2" type="noConversion"/>
  </si>
  <si>
    <t>용도</t>
    <phoneticPr fontId="2" type="noConversion"/>
  </si>
  <si>
    <t>속도</t>
    <phoneticPr fontId="2" type="noConversion"/>
  </si>
  <si>
    <t>상위국</t>
    <phoneticPr fontId="2" type="noConversion"/>
  </si>
  <si>
    <t>상위국주소</t>
    <phoneticPr fontId="2" type="noConversion"/>
  </si>
  <si>
    <t>하위국</t>
    <phoneticPr fontId="2" type="noConversion"/>
  </si>
  <si>
    <t>하위국주소</t>
    <phoneticPr fontId="2" type="noConversion"/>
  </si>
  <si>
    <t>인터넷</t>
    <phoneticPr fontId="2" type="noConversion"/>
  </si>
  <si>
    <t>VPN</t>
    <phoneticPr fontId="2" type="noConversion"/>
  </si>
  <si>
    <t>100M</t>
    <phoneticPr fontId="2" type="noConversion"/>
  </si>
  <si>
    <t>여의도센터</t>
    <phoneticPr fontId="2" type="noConversion"/>
  </si>
  <si>
    <t>서울 영등포구 은행로 22 별관 5층</t>
    <phoneticPr fontId="2" type="noConversion"/>
  </si>
  <si>
    <t>산업은행 여의도센터</t>
    <phoneticPr fontId="2" type="noConversion"/>
  </si>
  <si>
    <t>부천BCP</t>
    <phoneticPr fontId="2" type="noConversion"/>
  </si>
  <si>
    <t>경기도 부천시 원미구 송내대로 88 (상동), 4층 BCP실</t>
    <phoneticPr fontId="2" type="noConversion"/>
  </si>
  <si>
    <t>산업은행 부천BCP</t>
    <phoneticPr fontId="2" type="noConversion"/>
  </si>
  <si>
    <t>전용회선</t>
    <phoneticPr fontId="2" type="noConversion"/>
  </si>
  <si>
    <t>대외계</t>
    <phoneticPr fontId="2" type="noConversion"/>
  </si>
  <si>
    <t>512K</t>
    <phoneticPr fontId="2" type="noConversion"/>
  </si>
  <si>
    <t>여의도 본관</t>
    <phoneticPr fontId="2" type="noConversion"/>
  </si>
  <si>
    <t>서울 영등포구 은행로 22 본관 3층</t>
    <phoneticPr fontId="2" type="noConversion"/>
  </si>
  <si>
    <t>한국은행</t>
  </si>
  <si>
    <t>서울 강남구 테헤란로 202 전산센터 (역삼동)</t>
  </si>
  <si>
    <t>2M</t>
    <phoneticPr fontId="2" type="noConversion"/>
  </si>
  <si>
    <t>산업은행 하남센터</t>
    <phoneticPr fontId="2" type="noConversion"/>
  </si>
  <si>
    <t>경기 하남시 망월동 305-1번지 KDB산업은행IT센터 업무동</t>
    <phoneticPr fontId="2" type="noConversion"/>
  </si>
  <si>
    <t>56K</t>
  </si>
  <si>
    <t>DB손해보험</t>
  </si>
  <si>
    <t>경기도 용인시 수지구 디지털벨리로 61 DB손해보험 데이터센터 6층</t>
  </si>
  <si>
    <t>MG손해보험</t>
  </si>
  <si>
    <t>인천시 계양구 아나지로 213번길 23 LGCNS 2층</t>
  </si>
  <si>
    <t>NH손해보험</t>
  </si>
  <si>
    <t>경기 의왕시 성고개로59 농협통합IT센터</t>
    <phoneticPr fontId="5" type="noConversion"/>
  </si>
  <si>
    <t>64K</t>
  </si>
  <si>
    <t>동양생명</t>
  </si>
  <si>
    <t>경기도 성남시 분당구 성남대로925번길 36 KT 분당IDC 2층</t>
  </si>
  <si>
    <t>롯데손해보험</t>
  </si>
  <si>
    <t>서울시 금천구 가산동 533-2 2층</t>
    <phoneticPr fontId="5" type="noConversion"/>
  </si>
  <si>
    <t>메리츠화재</t>
  </si>
  <si>
    <t>서울시 영등포구 여의도동 25-1번지 메리츠화재 여의도사옥 12층</t>
    <phoneticPr fontId="5" type="noConversion"/>
  </si>
  <si>
    <t>삼성생명</t>
  </si>
  <si>
    <t>서울특별시 마포구 월드컵북로60길 24 삼성SDS 상암IT센터 4층 기계실</t>
    <phoneticPr fontId="5" type="noConversion"/>
  </si>
  <si>
    <t>삼성화재</t>
  </si>
  <si>
    <t>경기 과천시 별양상가3로 8 삼성SDS 과천센터 8층</t>
  </si>
  <si>
    <t>에이비엘생명</t>
  </si>
  <si>
    <t xml:space="preserve">인천 연수구 송도동 10-40 교보데이터센터 2층  </t>
  </si>
  <si>
    <t>한화생명</t>
  </si>
  <si>
    <t>서울시 영등포구 여의도동 60번지 63한화생명빌딩 23층 금융운영팀</t>
  </si>
  <si>
    <t>한화손해보험</t>
  </si>
  <si>
    <t>서울시 영등포구 여의도동 23-5 한화손해보험빌딩 25층 DR센터</t>
    <phoneticPr fontId="5" type="noConversion"/>
  </si>
  <si>
    <t>현대해상화재보험</t>
  </si>
  <si>
    <t>인천광역시 부평구 부평동 203-14 현대해상 부평사옥</t>
  </si>
  <si>
    <t>흥국생명</t>
  </si>
  <si>
    <t>서울 영등포구 버드나루로2길 7 흥국생명빌딩 3층</t>
  </si>
  <si>
    <t>흥국화재</t>
  </si>
  <si>
    <t>서울시 영등포구 영등포동 2가 94-151 흥국생명빌딩 3층</t>
  </si>
  <si>
    <t>KDB생명</t>
  </si>
  <si>
    <t>서울 강서구 오정로 443-83, 4층 아시아나타운 IDC (오쇠동, 아시아나항공)</t>
  </si>
  <si>
    <t>대우증권논현센터</t>
  </si>
  <si>
    <t>서울 강남구 언주로 616, 한국인터넷데이터센터 8층 (논현동)</t>
  </si>
  <si>
    <t>은행연합회(용인센터)</t>
  </si>
  <si>
    <t>경기 용인시 기흥구 마북로240번길 17-9, 2층 (마북동)</t>
  </si>
  <si>
    <t>금융결제원</t>
  </si>
  <si>
    <t>서울 강남구 테헤란로 202 2층 (역삼동, 금융결제원)</t>
  </si>
  <si>
    <t>128K</t>
    <phoneticPr fontId="2" type="noConversion"/>
  </si>
  <si>
    <t>예탁결제원</t>
  </si>
  <si>
    <t>서울 영등포구 여의나루로4길 23, 4층 (여의도동)</t>
  </si>
  <si>
    <t>우체국</t>
  </si>
  <si>
    <t>서울 중구 소공로 70, 서울중앙우체국 5층 (충무로1가)</t>
  </si>
  <si>
    <t>코리아크레딧뷰로(KCB)</t>
  </si>
  <si>
    <t>서울 양천구 목동동로 323, KT목동지사 데이터센터 10층 (목동)</t>
  </si>
  <si>
    <t>한국기업데이터</t>
  </si>
  <si>
    <t>경기 용인시 기흥구 마북동 산1-8번지 산림조합중앙회전산정보센터 2층</t>
  </si>
  <si>
    <t>한국신용정보(NICE신용평가)</t>
  </si>
  <si>
    <t>서울 강동구 상일로6길 55, NICE그룹 데이터센터 (상일동)</t>
  </si>
  <si>
    <t>전용회선</t>
  </si>
  <si>
    <t>대외계</t>
  </si>
  <si>
    <t>은행연합체</t>
  </si>
  <si>
    <t>경기 안양시 동안구 엘에스로115번길 26, 코스콤 B동 3층 (설변) (호계동)</t>
  </si>
  <si>
    <t>256K</t>
  </si>
  <si>
    <t>외국환중개</t>
    <phoneticPr fontId="2" type="noConversion"/>
  </si>
  <si>
    <t>서울 중구 삼일대로 358 신한L타워 13층</t>
  </si>
  <si>
    <t>한국은행</t>
    <phoneticPr fontId="2" type="noConversion"/>
  </si>
  <si>
    <t>서울시 강남구 테헤란로 202, 금융결제원통신실 6층. (역삼동,한국은행강남본부)</t>
    <phoneticPr fontId="2" type="noConversion"/>
  </si>
  <si>
    <t>하남센터</t>
    <phoneticPr fontId="2" type="noConversion"/>
  </si>
  <si>
    <t>경기도 하남시 미사강변한강로 177 (망월동, KDB Digital Square) 전산동 4층</t>
    <phoneticPr fontId="2" type="noConversion"/>
  </si>
  <si>
    <t>우체국(우편)</t>
    <phoneticPr fontId="2" type="noConversion"/>
  </si>
  <si>
    <t>서울 중구 소공로 70, 서울중앙우체국 5층 (충무로1가)</t>
    <phoneticPr fontId="2" type="noConversion"/>
  </si>
  <si>
    <t>중소기업진흥공단</t>
    <phoneticPr fontId="2" type="noConversion"/>
  </si>
  <si>
    <t>서울 마포구 월드컵북로 416, 9층 (상암동, (주)엘지유플러스)</t>
    <phoneticPr fontId="2" type="noConversion"/>
  </si>
  <si>
    <t>하남센터</t>
  </si>
  <si>
    <t>현대해상화재보험</t>
    <phoneticPr fontId="2" type="noConversion"/>
  </si>
  <si>
    <t>경기 용인시 기흥구 마북로240번길 17-9, 현대정보기술연구소 4층 (설변) (마북동</t>
    <phoneticPr fontId="2" type="noConversion"/>
  </si>
  <si>
    <t>KB손해보험</t>
    <phoneticPr fontId="2" type="noConversion"/>
  </si>
  <si>
    <t>경기 구리시 경춘로 260 (수택동, LIG손해보험)</t>
    <phoneticPr fontId="2" type="noConversion"/>
  </si>
  <si>
    <t>KDB생명</t>
    <phoneticPr fontId="2" type="noConversion"/>
  </si>
  <si>
    <t>서울시 강서구 오쇠동 47번지 아시아나타운 A동 4층 KDB생명 전산센터</t>
    <phoneticPr fontId="2" type="noConversion"/>
  </si>
  <si>
    <t>삼성생명</t>
    <phoneticPr fontId="2" type="noConversion"/>
  </si>
  <si>
    <t>서울 마포구 월드컵북로60길 24, 삼성SDS 상암IT센터 서버동 4층  (설변) (상암동</t>
    <phoneticPr fontId="2" type="noConversion"/>
  </si>
  <si>
    <t>MG손해보험</t>
    <phoneticPr fontId="2" type="noConversion"/>
  </si>
  <si>
    <t>서울 금천구 가산디지털1로 189, LGCNS 5층 (설변) (가산</t>
    <phoneticPr fontId="2" type="noConversion"/>
  </si>
  <si>
    <t>256K</t>
    <phoneticPr fontId="2" type="noConversion"/>
  </si>
  <si>
    <t>NH손해보험</t>
    <phoneticPr fontId="2" type="noConversion"/>
  </si>
  <si>
    <t>경기 의왕시 성고개로 59, NH통합IT센터 전산동10층 (포일동)</t>
    <phoneticPr fontId="2" type="noConversion"/>
  </si>
  <si>
    <t>흥국생명</t>
    <phoneticPr fontId="2" type="noConversion"/>
  </si>
  <si>
    <t>서울 영등포구 버드나루로2길 7, 흥국생명 (영등포동2가, 흥국생명)</t>
    <phoneticPr fontId="2" type="noConversion"/>
  </si>
  <si>
    <t>흥국화재</t>
    <phoneticPr fontId="2" type="noConversion"/>
  </si>
  <si>
    <t>서울 영등포구 버드나루로2길 7 3층 (영등포동2가, 흥국생명)</t>
    <phoneticPr fontId="2" type="noConversion"/>
  </si>
  <si>
    <t>롯데손해보험</t>
    <phoneticPr fontId="2" type="noConversion"/>
  </si>
  <si>
    <t>서울 금천구 가산디지털2로 179 롯데센터 2층 (가산동)</t>
    <phoneticPr fontId="2" type="noConversion"/>
  </si>
  <si>
    <t>메리츠화재</t>
    <phoneticPr fontId="2" type="noConversion"/>
  </si>
  <si>
    <t>서울 영등포구 국제금융로2길 11 (여의도동)</t>
    <phoneticPr fontId="2" type="noConversion"/>
  </si>
  <si>
    <t>한화손해보험</t>
    <phoneticPr fontId="2" type="noConversion"/>
  </si>
  <si>
    <t>서울 영등포구 여의대로 56, 25층 (여의도동, 한화손해보험빌딩)</t>
    <phoneticPr fontId="2" type="noConversion"/>
  </si>
  <si>
    <t>삼성화재(방카)</t>
    <phoneticPr fontId="2" type="noConversion"/>
  </si>
  <si>
    <t>경기 과천시 별양상가3로 8 8층 (별양동, 삼성SDS)</t>
    <phoneticPr fontId="2" type="noConversion"/>
  </si>
  <si>
    <t>에이비엘생명</t>
    <phoneticPr fontId="2" type="noConversion"/>
  </si>
  <si>
    <t>인천 연수구 벤처로 14 (송도동, IBP빌딩)</t>
    <phoneticPr fontId="2" type="noConversion"/>
  </si>
  <si>
    <t>한화생명</t>
    <phoneticPr fontId="2" type="noConversion"/>
  </si>
  <si>
    <t>서울 영등포구 63로 50 23층 구내설변 (여의도동, 63한화생명빌딩)</t>
    <phoneticPr fontId="2" type="noConversion"/>
  </si>
  <si>
    <t>교보생명</t>
    <phoneticPr fontId="2" type="noConversion"/>
  </si>
  <si>
    <t>인천 연수구 벤처로 14 교보생명전산실 (송도동)</t>
    <phoneticPr fontId="2" type="noConversion"/>
  </si>
  <si>
    <t>동양생명</t>
    <phoneticPr fontId="2" type="noConversion"/>
  </si>
  <si>
    <t>서울 양천구 목동동로 233-5 KT목동ICC 5층 동양생명보험 (목동)</t>
    <phoneticPr fontId="2" type="noConversion"/>
  </si>
  <si>
    <t>DB손해보험</t>
    <phoneticPr fontId="2" type="noConversion"/>
  </si>
  <si>
    <t>경기 용인시 수지구 죽전동 산25-13번지 동부데이터센터 6층</t>
    <phoneticPr fontId="2" type="noConversion"/>
  </si>
  <si>
    <t>은행연합회(일반)_백업</t>
    <phoneticPr fontId="2" type="noConversion"/>
  </si>
  <si>
    <t>서울 중구 명동11길 19, 13층 (명동1가)</t>
    <phoneticPr fontId="2" type="noConversion"/>
  </si>
  <si>
    <t>은행연합회(일반)_메인</t>
    <phoneticPr fontId="2" type="noConversion"/>
  </si>
  <si>
    <t>경기 용인시 기흥구 마북로240번길 17-9, 2층 (마북동)</t>
    <phoneticPr fontId="2" type="noConversion"/>
  </si>
  <si>
    <t>신용정보원_메인</t>
    <phoneticPr fontId="2" type="noConversion"/>
  </si>
  <si>
    <t>신용정보원_백업</t>
    <phoneticPr fontId="2" type="noConversion"/>
  </si>
  <si>
    <t>신용정보원(기술신용)</t>
    <phoneticPr fontId="2" type="noConversion"/>
  </si>
  <si>
    <t>경기 안양시 동안구 엘에스로115번길 26, 코스콤 B동 2층 신용정보원 (호계동)</t>
    <phoneticPr fontId="2" type="noConversion"/>
  </si>
  <si>
    <t>서울외국환중개</t>
    <phoneticPr fontId="2" type="noConversion"/>
  </si>
  <si>
    <t>서울 중구 삼일대로 358, 13층 (을지로2가)</t>
    <phoneticPr fontId="2" type="noConversion"/>
  </si>
  <si>
    <t>한국자금중개</t>
    <phoneticPr fontId="2" type="noConversion"/>
  </si>
  <si>
    <t>서울 영등포구 여의대로 14, 20층 (여의도동, KT빌딩)</t>
    <phoneticPr fontId="2" type="noConversion"/>
  </si>
  <si>
    <t>주택금융공사</t>
    <phoneticPr fontId="2" type="noConversion"/>
  </si>
  <si>
    <t>서울 마포구 월드컵북로54길 17, 오피스동 7층 (상암동, 사보이시티DMC)</t>
    <phoneticPr fontId="2" type="noConversion"/>
  </si>
  <si>
    <t>신용보증재단중앙회</t>
    <phoneticPr fontId="2" type="noConversion"/>
  </si>
  <si>
    <t>대전 서구 한밭대로 713, 나리키움 대전센터 1 14층 (월평동)</t>
    <phoneticPr fontId="2" type="noConversion"/>
  </si>
  <si>
    <t>경기신용보증재단</t>
    <phoneticPr fontId="2" type="noConversion"/>
  </si>
  <si>
    <t>경기 수원시 영통구 광교로 107 본관 2층 (이의동, 경기도중소기업지원센터)</t>
    <phoneticPr fontId="2" type="noConversion"/>
  </si>
  <si>
    <t>씽크에이티(2채널인증)</t>
    <phoneticPr fontId="2" type="noConversion"/>
  </si>
  <si>
    <t>서울시 금천구 가산동 459-9 LGU+ IDC센터</t>
    <phoneticPr fontId="2" type="noConversion"/>
  </si>
  <si>
    <t>서울 마포구 월드컵북로 416 상암 9층 하위국 이전 (상암동, (주)엘지유플러스)</t>
    <phoneticPr fontId="2" type="noConversion"/>
  </si>
  <si>
    <t>세틀뱅크</t>
    <phoneticPr fontId="2" type="noConversion"/>
  </si>
  <si>
    <t>서울시 강남구 역삼동 646-1 세종텔레콤</t>
    <phoneticPr fontId="2" type="noConversion"/>
  </si>
  <si>
    <t>롯데카드</t>
    <phoneticPr fontId="2" type="noConversion"/>
  </si>
  <si>
    <t>경기 용인시 기흥구 마북로240번길 17-9, 현대정보기술연구소 3층 롯데카드DR (설변) (마북동)</t>
    <phoneticPr fontId="2" type="noConversion"/>
  </si>
  <si>
    <t>효성FMS(펌뱅킹)</t>
    <phoneticPr fontId="2" type="noConversion"/>
  </si>
  <si>
    <t>경기도 성남시 분당구 야탑동 331-1번지 호스트웨이 IDC5층</t>
    <phoneticPr fontId="2" type="noConversion"/>
  </si>
  <si>
    <t>삼성화재(펌뱅킹)</t>
    <phoneticPr fontId="2" type="noConversion"/>
  </si>
  <si>
    <t>경기 과천시 별양상가3로 8, 8층 (설변) (별양동, 삼성데이타)</t>
    <phoneticPr fontId="2" type="noConversion"/>
  </si>
  <si>
    <t>서울신용보증재단</t>
    <phoneticPr fontId="2" type="noConversion"/>
  </si>
  <si>
    <t>서울시 마포구 공덕동 168번지</t>
    <phoneticPr fontId="2" type="noConversion"/>
  </si>
  <si>
    <t>서울특별시 영등포구 여의도동 25-6 [D]강남여의국사</t>
    <phoneticPr fontId="2" type="noConversion"/>
  </si>
  <si>
    <t>SGI서울보증보험</t>
    <phoneticPr fontId="2" type="noConversion"/>
  </si>
  <si>
    <t>서울 종로구 김상옥로 29 서울보증보험 6층</t>
    <phoneticPr fontId="2" type="noConversion"/>
  </si>
  <si>
    <t>우체국(금융)</t>
    <phoneticPr fontId="2" type="noConversion"/>
  </si>
  <si>
    <t>서울 중구 충무로1가 21번지 서울지방우정청 5층</t>
    <phoneticPr fontId="2" type="noConversion"/>
  </si>
  <si>
    <t>LG유플러스</t>
    <phoneticPr fontId="2" type="noConversion"/>
  </si>
  <si>
    <t>경기 안양시 만안구 덕천로48번길 37 안양사옥 (안양동)</t>
    <phoneticPr fontId="2" type="noConversion"/>
  </si>
  <si>
    <t>KIBNET, 쿠콘</t>
    <phoneticPr fontId="2" type="noConversion"/>
  </si>
  <si>
    <t>서울 양천구 목1동924-4 목동인터넷컴퓨팅센터 KT ICC센터 3층 웹케시</t>
  </si>
  <si>
    <t>LG CNS</t>
    <phoneticPr fontId="2" type="noConversion"/>
  </si>
  <si>
    <t>서울 마포구 월드컵북로 424 3층 (상암동, LGCNS상암IT센터)</t>
    <phoneticPr fontId="2" type="noConversion"/>
  </si>
  <si>
    <t>EC뱅크</t>
    <phoneticPr fontId="2" type="noConversion"/>
  </si>
  <si>
    <t>서울 영등포구 선유로 70, 801호 (문래동3가, 우리벤처타운2)</t>
    <phoneticPr fontId="2" type="noConversion"/>
  </si>
  <si>
    <t>한국정보통신진흥협회(KAIT)</t>
    <phoneticPr fontId="2" type="noConversion"/>
  </si>
  <si>
    <t>서울 강남구 역삼로 111, 10층 (역삼동, 대세빌딩)</t>
    <phoneticPr fontId="2" type="noConversion"/>
  </si>
  <si>
    <t>금융투자협회</t>
    <phoneticPr fontId="2" type="noConversion"/>
  </si>
  <si>
    <t>서울 영등포구 의사당대로 143, 2층 (여의도동) 금융투자협회</t>
    <phoneticPr fontId="2" type="noConversion"/>
  </si>
  <si>
    <t>서울 영등포구 의사당대로 143, 2층 (여의도동) 금융투자협회</t>
  </si>
  <si>
    <t>10M</t>
    <phoneticPr fontId="2" type="noConversion"/>
  </si>
  <si>
    <t>국가정보망</t>
    <phoneticPr fontId="2" type="noConversion"/>
  </si>
  <si>
    <t>서울 종로구 사직로 8길 60 별관 4층 전산실</t>
  </si>
  <si>
    <t>1M</t>
    <phoneticPr fontId="2" type="noConversion"/>
  </si>
  <si>
    <t>KDB캐피탈</t>
    <phoneticPr fontId="2" type="noConversion"/>
  </si>
  <si>
    <t>서울 영등포구 은행로 30, 9층 IT지원실. (여의도동, 중소기업중앙회)</t>
  </si>
  <si>
    <t>행정자치부</t>
  </si>
  <si>
    <t>서울 종로구 세종대로 209 본관 지하1층 (세종로)</t>
  </si>
  <si>
    <t>더존</t>
    <phoneticPr fontId="2" type="noConversion"/>
  </si>
  <si>
    <t>서울시 강남구 언주로30길 13 대림아크로텔 5층, KINX 도곡IDC</t>
  </si>
  <si>
    <t>128k</t>
    <phoneticPr fontId="2" type="noConversion"/>
  </si>
  <si>
    <t>금융결제원 역삼</t>
  </si>
  <si>
    <t>서울 강남구 테헤란로 202 금융결제원 통신실</t>
  </si>
  <si>
    <t>금융결제원 분당</t>
  </si>
  <si>
    <t>경기 성남시 분당구 정자일로213번길 9 금융결제원 분당센터 7층 (정자동)</t>
  </si>
  <si>
    <t>2M</t>
  </si>
  <si>
    <t>네이버</t>
  </si>
  <si>
    <t>경기도 안양시 동안구 시민대로327번길 29, 평촌메가센터4층 B-B03-R19-3 네이버클라우드 플랫폼내</t>
    <phoneticPr fontId="2" type="noConversion"/>
  </si>
  <si>
    <t>이지스엔터프라이즈</t>
  </si>
  <si>
    <t>서울시 강남구 언주로 517, KT IDC7층 이지스 엔터프라이즈 (역삼동,KT영동지사, 신라 스테이호텔)</t>
    <phoneticPr fontId="2" type="noConversion"/>
  </si>
  <si>
    <t>Toss증권</t>
  </si>
  <si>
    <t>서울시 강남구 언주로 616, KIDC빌딩 10층 (논현동,엘지유플러스논현IDC)</t>
    <phoneticPr fontId="2" type="noConversion"/>
  </si>
  <si>
    <t>엠엔와이즈</t>
    <phoneticPr fontId="2" type="noConversion"/>
  </si>
  <si>
    <t>KEB하나은행</t>
    <phoneticPr fontId="2" type="noConversion"/>
  </si>
  <si>
    <t>카카오페이</t>
    <phoneticPr fontId="2" type="noConversion"/>
  </si>
  <si>
    <t>서울 금천구 가산디지털1로 189 LG CNS IDC 5F</t>
    <phoneticPr fontId="2" type="noConversion"/>
  </si>
  <si>
    <t>한국전자인증</t>
    <phoneticPr fontId="2" type="noConversion"/>
  </si>
  <si>
    <t>경기 수원시 영통구 광교로 145 차세대융합기술연구원 A동 6층</t>
    <phoneticPr fontId="2" type="noConversion"/>
  </si>
  <si>
    <t>64K</t>
    <phoneticPr fontId="2" type="noConversion"/>
  </si>
  <si>
    <t>인천 서구 에코로 167 하나금융그룹 통합데이터센터 3층 하나카드</t>
    <phoneticPr fontId="2" type="noConversion"/>
  </si>
  <si>
    <t>인천 연수구 송도동 11-90번지 CJ IDC 4층</t>
    <phoneticPr fontId="2" type="noConversion"/>
  </si>
  <si>
    <t>부산시 남구 문현금융로 40 부산국제금융센터 5층</t>
    <phoneticPr fontId="2" type="noConversion"/>
  </si>
  <si>
    <t>'22.09월</t>
    <phoneticPr fontId="2" type="noConversion"/>
  </si>
  <si>
    <t>과금시작</t>
    <phoneticPr fontId="2" type="noConversion"/>
  </si>
  <si>
    <t>인천 서구 에코로 167 하나금융그룹 통합데이터센터 6층</t>
    <phoneticPr fontId="2" type="noConversion"/>
  </si>
  <si>
    <t>경기도 용인시 수지구 죽전 1동 산 25-13 (동부화재데이터센터)</t>
  </si>
  <si>
    <t>한국평가데이터(KoDATA)</t>
    <phoneticPr fontId="2" type="noConversion"/>
  </si>
  <si>
    <t>경기도 용인시 기흥구 마북동1번지8호 롯데정보기술 DATA센터</t>
    <phoneticPr fontId="2" type="noConversion"/>
  </si>
  <si>
    <t>'22.10월</t>
    <phoneticPr fontId="2" type="noConversion"/>
  </si>
  <si>
    <t>'23.01월</t>
    <phoneticPr fontId="2" type="noConversion"/>
  </si>
  <si>
    <t>(주센터)경기도 안양시 동안구 엘에스로 115번길 26 코스콤 안양BCP센터 B동 2층</t>
    <phoneticPr fontId="2" type="noConversion"/>
  </si>
  <si>
    <t>(DR센터)서울 중구 명동11길 19 전국은행연합회 13층</t>
    <phoneticPr fontId="2" type="noConversion"/>
  </si>
  <si>
    <t>LG Uplus Corporation</t>
    <phoneticPr fontId="20" type="noConversion"/>
  </si>
  <si>
    <t>LG U+ Bldg.,32, Hangang-daero, Yongsan-gu, Seoul 140-883, Korea</t>
  </si>
  <si>
    <t>가격제안서</t>
    <phoneticPr fontId="20" type="noConversion"/>
  </si>
  <si>
    <t xml:space="preserve">  수 신 : 산업은행 IT기획부</t>
    <phoneticPr fontId="20" type="noConversion"/>
  </si>
  <si>
    <t>-----    아         래    -----</t>
    <phoneticPr fontId="20" type="noConversion"/>
  </si>
  <si>
    <t>1. 서비스명 : 전용회선/인터넷</t>
    <phoneticPr fontId="20" type="noConversion"/>
  </si>
  <si>
    <t>- 견적유효기간 : 견적 후 1개월</t>
    <phoneticPr fontId="2" type="noConversion"/>
  </si>
  <si>
    <t>3. 견적요금</t>
    <phoneticPr fontId="20" type="noConversion"/>
  </si>
  <si>
    <t>가. 총 계약금액 :</t>
    <phoneticPr fontId="20" type="noConversion"/>
  </si>
  <si>
    <t>나. 일 원 단위 절사</t>
    <phoneticPr fontId="20" type="noConversion"/>
  </si>
  <si>
    <t>&lt; 표. 기간별 청구액 표기 &gt;</t>
    <phoneticPr fontId="20" type="noConversion"/>
  </si>
  <si>
    <t>(단위 : 원/부가세 포함)</t>
    <phoneticPr fontId="20" type="noConversion"/>
  </si>
  <si>
    <t>구분</t>
    <phoneticPr fontId="2" type="noConversion"/>
  </si>
  <si>
    <t>회선수</t>
    <phoneticPr fontId="2" type="noConversion"/>
  </si>
  <si>
    <t>비고</t>
    <phoneticPr fontId="2" type="noConversion"/>
  </si>
  <si>
    <t>사용기간</t>
    <phoneticPr fontId="2" type="noConversion"/>
  </si>
  <si>
    <t>청구개월수</t>
    <phoneticPr fontId="2" type="noConversion"/>
  </si>
  <si>
    <t>월 청구액</t>
    <phoneticPr fontId="2" type="noConversion"/>
  </si>
  <si>
    <t>연 청구액</t>
    <phoneticPr fontId="2" type="noConversion"/>
  </si>
  <si>
    <t>총청구금액</t>
    <phoneticPr fontId="2" type="noConversion"/>
  </si>
  <si>
    <t>인터넷광랜</t>
    <phoneticPr fontId="2" type="noConversion"/>
  </si>
  <si>
    <t>업무용</t>
    <phoneticPr fontId="2" type="noConversion"/>
  </si>
  <si>
    <t>여의도센터, 부천BCP</t>
    <phoneticPr fontId="2" type="noConversion"/>
  </si>
  <si>
    <t>22.9~25.8</t>
    <phoneticPr fontId="2" type="noConversion"/>
  </si>
  <si>
    <t>대외기관</t>
    <phoneticPr fontId="2" type="noConversion"/>
  </si>
  <si>
    <t>대외기관 연결용회선</t>
    <phoneticPr fontId="2" type="noConversion"/>
  </si>
  <si>
    <t>128K</t>
  </si>
  <si>
    <t>256k</t>
  </si>
  <si>
    <t>512K</t>
  </si>
  <si>
    <t>1M</t>
  </si>
  <si>
    <t>10M</t>
  </si>
  <si>
    <t xml:space="preserve">  서울시 용산구 한강대로 32</t>
    <phoneticPr fontId="20" type="noConversion"/>
  </si>
  <si>
    <t xml:space="preserve">  주식회사 LG유플러스 </t>
    <phoneticPr fontId="20" type="noConversion"/>
  </si>
  <si>
    <t>청구월</t>
  </si>
  <si>
    <t>금액</t>
  </si>
  <si>
    <r>
      <t>‘22. 9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</si>
  <si>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3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</si>
  <si>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‘22. 10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</si>
  <si>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4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</si>
  <si>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‘22. 11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</si>
  <si>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5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</si>
  <si>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‘22. 12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</si>
  <si>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6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</si>
  <si>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1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</si>
  <si>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7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</si>
  <si>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2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</si>
  <si>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8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</si>
  <si>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3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</si>
  <si>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9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</si>
  <si>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4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</si>
  <si>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10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</si>
  <si>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5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</si>
  <si>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11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</si>
  <si>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6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</si>
  <si>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12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</si>
  <si>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7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</si>
  <si>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1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</si>
  <si>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8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</si>
  <si>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2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</si>
  <si>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9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</si>
  <si>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3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</si>
  <si>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10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</si>
  <si>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4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</si>
  <si>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11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</si>
  <si>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5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</si>
  <si>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‘23. 12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</si>
  <si>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6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</si>
  <si>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1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</si>
  <si>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7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</si>
  <si>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‘24. 2</t>
    </r>
    <r>
      <rPr>
        <sz val="12"/>
        <color rgb="FF000000"/>
        <rFont val="맑은 고딕"/>
        <family val="3"/>
        <charset val="129"/>
        <scheme val="minor"/>
      </rPr>
      <t>월</t>
    </r>
  </si>
  <si>
    <r>
      <t>‘25. 8</t>
    </r>
    <r>
      <rPr>
        <sz val="12"/>
        <color rgb="FF000000"/>
        <rFont val="맑은 고딕"/>
        <family val="3"/>
        <charset val="129"/>
        <scheme val="minor"/>
      </rPr>
      <t>월</t>
    </r>
  </si>
  <si>
    <t>합 계</t>
  </si>
  <si>
    <t>인터넷</t>
  </si>
  <si>
    <t>총합계</t>
  </si>
  <si>
    <t>100M</t>
  </si>
  <si>
    <t>개수 : 용도</t>
  </si>
  <si>
    <t>변경유무</t>
    <phoneticPr fontId="2" type="noConversion"/>
  </si>
  <si>
    <t>(22년) 월 회선비
(VAT 포함)</t>
    <phoneticPr fontId="2" type="noConversion"/>
  </si>
  <si>
    <t>(22년) 년 회선비
(VAT 포함)</t>
    <phoneticPr fontId="2" type="noConversion"/>
  </si>
  <si>
    <t>(23년) 월 회선비
(VAT 포함)</t>
    <phoneticPr fontId="2" type="noConversion"/>
  </si>
  <si>
    <t>(23년) 년 회선비
(VAT 포함)</t>
    <phoneticPr fontId="2" type="noConversion"/>
  </si>
  <si>
    <t>(24년) 월 회선비
(VAT 포함)</t>
    <phoneticPr fontId="2" type="noConversion"/>
  </si>
  <si>
    <t>(24년) 년 회선비
(VAT 포함)</t>
    <phoneticPr fontId="2" type="noConversion"/>
  </si>
  <si>
    <t>월회선비
(증감)</t>
    <phoneticPr fontId="2" type="noConversion"/>
  </si>
  <si>
    <t>년회선비
(증감)</t>
    <phoneticPr fontId="2" type="noConversion"/>
  </si>
  <si>
    <t>대외1사업 (LGU)</t>
    <phoneticPr fontId="2" type="noConversion"/>
  </si>
  <si>
    <t>유지</t>
    <phoneticPr fontId="2" type="noConversion"/>
  </si>
  <si>
    <t>유지</t>
  </si>
  <si>
    <t>23.9월 일시중지, 계약은 유지</t>
    <phoneticPr fontId="2" type="noConversion"/>
  </si>
  <si>
    <t>6M</t>
    <phoneticPr fontId="2" type="noConversion"/>
  </si>
  <si>
    <t>증속</t>
    <phoneticPr fontId="2" type="noConversion"/>
  </si>
  <si>
    <t>'23.11월</t>
    <phoneticPr fontId="2" type="noConversion"/>
  </si>
  <si>
    <t>회선 증속 (56K &gt; 512K &gt; 6M)</t>
    <phoneticPr fontId="2" type="noConversion"/>
  </si>
  <si>
    <t>회선 증속 (56K &gt; 128K &gt; 2M)</t>
    <phoneticPr fontId="2" type="noConversion"/>
  </si>
  <si>
    <t>1024k</t>
  </si>
  <si>
    <t>부산으로 이전</t>
    <phoneticPr fontId="2" type="noConversion"/>
  </si>
  <si>
    <t>해지</t>
    <phoneticPr fontId="2" type="noConversion"/>
  </si>
  <si>
    <t>23.7월 해지</t>
    <phoneticPr fontId="2" type="noConversion"/>
  </si>
  <si>
    <t>하나카드_(청라)</t>
    <phoneticPr fontId="2" type="noConversion"/>
  </si>
  <si>
    <t>하나카드_(송도)</t>
    <phoneticPr fontId="2" type="noConversion"/>
  </si>
  <si>
    <t>금융투자협회(동부IDC)</t>
    <phoneticPr fontId="2" type="noConversion"/>
  </si>
  <si>
    <t>23.1월 중지, 계약해지 (금투소득 기본공제 한도관리 2년 유예)</t>
    <phoneticPr fontId="2" type="noConversion"/>
  </si>
  <si>
    <t>대외1사업 (LGU) 합계</t>
    <phoneticPr fontId="2" type="noConversion"/>
  </si>
  <si>
    <t>-</t>
    <phoneticPr fontId="2" type="noConversion"/>
  </si>
  <si>
    <t>6M</t>
  </si>
  <si>
    <t>행 레이블</t>
  </si>
  <si>
    <t>합계 : (24년) 월 회선비
(VAT 포함)</t>
  </si>
  <si>
    <t>TEL : 010-8080-8159 FAX : 02-6928-1017</t>
    <phoneticPr fontId="20" type="noConversion"/>
  </si>
  <si>
    <t>1024K</t>
    <phoneticPr fontId="2" type="noConversion"/>
  </si>
  <si>
    <t>23.12월 해지, 미사용</t>
    <phoneticPr fontId="2" type="noConversion"/>
  </si>
  <si>
    <r>
      <t>(</t>
    </r>
    <r>
      <rPr>
        <b/>
        <sz val="13"/>
        <rFont val="맑은 고딕"/>
        <family val="3"/>
        <charset val="129"/>
      </rPr>
      <t>￦208,701,350</t>
    </r>
    <r>
      <rPr>
        <b/>
        <sz val="13"/>
        <rFont val="맑은 고딕"/>
        <family val="3"/>
        <charset val="129"/>
        <scheme val="minor"/>
      </rPr>
      <t>)</t>
    </r>
    <phoneticPr fontId="2" type="noConversion"/>
  </si>
  <si>
    <t xml:space="preserve">  대표이사  :   황  현  식  (직인 생략)</t>
    <phoneticPr fontId="20" type="noConversion"/>
  </si>
  <si>
    <r>
      <t>2. 견적일자</t>
    </r>
    <r>
      <rPr>
        <sz val="13"/>
        <rFont val="맑은 고딕"/>
        <family val="3"/>
        <charset val="129"/>
        <scheme val="minor"/>
      </rPr>
      <t xml:space="preserve"> : 2024년 10월 07일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</si>
</sst>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_);[Red]\(0\)"/>
    <numFmt numFmtId="177" formatCode="0_ "/>
    <numFmt numFmtId="178" formatCode="[DBNum4][$-412]General"/>
    <numFmt numFmtId="179" formatCode="#,##0_ 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Courier New"/>
      <family val="3"/>
    </font>
    <font>
      <sz val="12"/>
      <name val="굴림"/>
      <family val="3"/>
      <charset val="129"/>
    </font>
    <font>
      <sz val="12"/>
      <name val="맑은 고딕"/>
      <family val="3"/>
      <charset val="129"/>
      <scheme val="minor"/>
    </font>
    <font>
      <sz val="10"/>
      <name val="Helv"/>
      <family val="2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28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3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3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휴먼명조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휴먼명조"/>
      <family val="3"/>
      <charset val="129"/>
    </font>
    <font>
      <sz val="10"/>
      <name val="Courier New"/>
      <family val="3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8" fillId="0" borderId="0"/>
  </cellStyleXfs>
  <cellXfs count="162">
    <xf numFmtId="0" fontId="0" fillId="0" borderId="0" xfId="0">
      <alignment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shrinkToFit="1"/>
    </xf>
    <xf numFmtId="0" fontId="9" fillId="2" borderId="1" xfId="0" applyFont="1" applyFill="1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shrinkToFit="1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left" vertical="center" shrinkToFit="1"/>
    </xf>
    <xf numFmtId="0" fontId="9" fillId="6" borderId="1" xfId="0" applyFont="1" applyFill="1" applyBorder="1" applyAlignment="1">
      <alignment horizontal="left" vertical="center" shrinkToFit="1"/>
    </xf>
    <xf numFmtId="0" fontId="15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6" fillId="0" borderId="0" xfId="2" applyFont="1"/>
    <xf numFmtId="41" fontId="16" fillId="0" borderId="0" xfId="1" applyFont="1" applyAlignment="1"/>
    <xf numFmtId="0" fontId="17" fillId="0" borderId="2" xfId="2" applyFont="1" applyBorder="1"/>
    <xf numFmtId="0" fontId="17" fillId="0" borderId="3" xfId="2" applyFont="1" applyBorder="1"/>
    <xf numFmtId="0" fontId="19" fillId="8" borderId="4" xfId="6" applyFont="1" applyFill="1" applyBorder="1" applyAlignment="1">
      <alignment horizontal="right" vertical="center"/>
    </xf>
    <xf numFmtId="0" fontId="17" fillId="0" borderId="5" xfId="2" applyFont="1" applyBorder="1"/>
    <xf numFmtId="0" fontId="17" fillId="0" borderId="0" xfId="2" applyFont="1"/>
    <xf numFmtId="0" fontId="10" fillId="8" borderId="6" xfId="6" applyFont="1" applyFill="1" applyBorder="1" applyAlignment="1">
      <alignment horizontal="right" vertical="center"/>
    </xf>
    <xf numFmtId="0" fontId="10" fillId="8" borderId="7" xfId="6" applyFont="1" applyFill="1" applyBorder="1" applyAlignment="1">
      <alignment horizontal="right" vertical="top"/>
    </xf>
    <xf numFmtId="0" fontId="21" fillId="0" borderId="10" xfId="2" applyFont="1" applyBorder="1" applyAlignment="1">
      <alignment horizontal="centerContinuous"/>
    </xf>
    <xf numFmtId="0" fontId="17" fillId="0" borderId="6" xfId="2" applyFont="1" applyBorder="1"/>
    <xf numFmtId="0" fontId="22" fillId="0" borderId="5" xfId="2" applyFont="1" applyBorder="1"/>
    <xf numFmtId="0" fontId="23" fillId="0" borderId="0" xfId="2" applyFont="1"/>
    <xf numFmtId="0" fontId="23" fillId="0" borderId="6" xfId="2" applyFont="1" applyBorder="1"/>
    <xf numFmtId="0" fontId="25" fillId="0" borderId="0" xfId="2" applyFont="1"/>
    <xf numFmtId="41" fontId="25" fillId="0" borderId="0" xfId="1" applyFont="1" applyAlignment="1"/>
    <xf numFmtId="0" fontId="23" fillId="0" borderId="5" xfId="2" quotePrefix="1" applyFont="1" applyBorder="1" applyAlignment="1">
      <alignment horizontal="center"/>
    </xf>
    <xf numFmtId="0" fontId="23" fillId="0" borderId="0" xfId="2" quotePrefix="1" applyFont="1" applyAlignment="1">
      <alignment horizontal="center"/>
    </xf>
    <xf numFmtId="0" fontId="23" fillId="0" borderId="6" xfId="2" quotePrefix="1" applyFont="1" applyBorder="1" applyAlignment="1">
      <alignment horizontal="center"/>
    </xf>
    <xf numFmtId="0" fontId="22" fillId="0" borderId="0" xfId="2" applyFont="1"/>
    <xf numFmtId="0" fontId="23" fillId="0" borderId="0" xfId="2" applyFont="1" applyAlignment="1">
      <alignment horizontal="left"/>
    </xf>
    <xf numFmtId="0" fontId="23" fillId="0" borderId="5" xfId="2" applyFont="1" applyBorder="1"/>
    <xf numFmtId="0" fontId="17" fillId="0" borderId="0" xfId="2" quotePrefix="1" applyFont="1"/>
    <xf numFmtId="178" fontId="22" fillId="0" borderId="0" xfId="2" applyNumberFormat="1" applyFont="1" applyAlignment="1">
      <alignment horizontal="center" vertical="center"/>
    </xf>
    <xf numFmtId="178" fontId="22" fillId="0" borderId="0" xfId="2" applyNumberFormat="1" applyFont="1" applyAlignment="1">
      <alignment horizontal="right" vertical="center"/>
    </xf>
    <xf numFmtId="178" fontId="22" fillId="0" borderId="0" xfId="2" quotePrefix="1" applyNumberFormat="1" applyFont="1" applyAlignment="1">
      <alignment vertical="center"/>
    </xf>
    <xf numFmtId="41" fontId="25" fillId="0" borderId="0" xfId="2" applyNumberFormat="1" applyFont="1"/>
    <xf numFmtId="178" fontId="23" fillId="0" borderId="0" xfId="2" applyNumberFormat="1" applyFont="1"/>
    <xf numFmtId="0" fontId="27" fillId="0" borderId="5" xfId="2" applyFont="1" applyBorder="1"/>
    <xf numFmtId="0" fontId="27" fillId="0" borderId="0" xfId="2" applyFont="1"/>
    <xf numFmtId="178" fontId="27" fillId="0" borderId="0" xfId="2" applyNumberFormat="1" applyFont="1"/>
    <xf numFmtId="0" fontId="27" fillId="0" borderId="6" xfId="2" applyFont="1" applyBorder="1"/>
    <xf numFmtId="0" fontId="28" fillId="0" borderId="0" xfId="2" applyFont="1"/>
    <xf numFmtId="0" fontId="29" fillId="0" borderId="0" xfId="2" applyFont="1"/>
    <xf numFmtId="0" fontId="27" fillId="0" borderId="0" xfId="2" applyFont="1" applyAlignment="1">
      <alignment horizontal="right"/>
    </xf>
    <xf numFmtId="0" fontId="10" fillId="0" borderId="6" xfId="2" applyFont="1" applyBorder="1" applyAlignment="1">
      <alignment horizontal="right"/>
    </xf>
    <xf numFmtId="0" fontId="3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179" fontId="31" fillId="0" borderId="1" xfId="0" applyNumberFormat="1" applyFont="1" applyBorder="1" applyAlignment="1">
      <alignment horizontal="center" vertical="center" wrapText="1"/>
    </xf>
    <xf numFmtId="41" fontId="14" fillId="2" borderId="1" xfId="1" applyFont="1" applyFill="1" applyBorder="1" applyAlignment="1">
      <alignment horizontal="center" vertical="center"/>
    </xf>
    <xf numFmtId="41" fontId="14" fillId="0" borderId="1" xfId="1" applyFont="1" applyBorder="1" applyAlignment="1">
      <alignment vertical="center"/>
    </xf>
    <xf numFmtId="41" fontId="14" fillId="0" borderId="1" xfId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4" fillId="0" borderId="5" xfId="0" applyFont="1" applyBorder="1">
      <alignment vertical="center"/>
    </xf>
    <xf numFmtId="0" fontId="14" fillId="0" borderId="6" xfId="0" applyFont="1" applyBorder="1">
      <alignment vertical="center"/>
    </xf>
    <xf numFmtId="41" fontId="0" fillId="0" borderId="0" xfId="1" applyFont="1">
      <alignment vertical="center"/>
    </xf>
    <xf numFmtId="41" fontId="14" fillId="0" borderId="0" xfId="1" applyFont="1">
      <alignment vertical="center"/>
    </xf>
    <xf numFmtId="41" fontId="14" fillId="0" borderId="0" xfId="1" applyFont="1" applyBorder="1">
      <alignment vertical="center"/>
    </xf>
    <xf numFmtId="41" fontId="0" fillId="0" borderId="0" xfId="0" applyNumberFormat="1">
      <alignment vertical="center"/>
    </xf>
    <xf numFmtId="0" fontId="24" fillId="0" borderId="0" xfId="2" applyFont="1"/>
    <xf numFmtId="41" fontId="14" fillId="0" borderId="0" xfId="0" applyNumberFormat="1" applyFont="1">
      <alignment vertical="center"/>
    </xf>
    <xf numFmtId="0" fontId="27" fillId="0" borderId="11" xfId="2" applyFont="1" applyBorder="1"/>
    <xf numFmtId="0" fontId="27" fillId="0" borderId="12" xfId="2" applyFont="1" applyBorder="1"/>
    <xf numFmtId="0" fontId="14" fillId="0" borderId="12" xfId="0" applyFont="1" applyBorder="1">
      <alignment vertical="center"/>
    </xf>
    <xf numFmtId="0" fontId="24" fillId="0" borderId="12" xfId="2" applyFont="1" applyBorder="1"/>
    <xf numFmtId="0" fontId="17" fillId="0" borderId="13" xfId="2" applyFont="1" applyBorder="1"/>
    <xf numFmtId="0" fontId="14" fillId="0" borderId="13" xfId="0" applyFont="1" applyBorder="1">
      <alignment vertical="center"/>
    </xf>
    <xf numFmtId="0" fontId="33" fillId="0" borderId="14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3" fontId="34" fillId="0" borderId="14" xfId="0" applyNumberFormat="1" applyFont="1" applyBorder="1" applyAlignment="1">
      <alignment horizontal="right" vertical="center" wrapText="1"/>
    </xf>
    <xf numFmtId="0" fontId="36" fillId="0" borderId="14" xfId="0" applyFont="1" applyBorder="1" applyAlignment="1">
      <alignment horizontal="center" vertical="center" wrapText="1"/>
    </xf>
    <xf numFmtId="3" fontId="37" fillId="0" borderId="14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  <xf numFmtId="0" fontId="0" fillId="0" borderId="0" xfId="0" pivotButton="1">
      <alignment vertical="center"/>
    </xf>
    <xf numFmtId="41" fontId="7" fillId="2" borderId="1" xfId="1" applyFont="1" applyFill="1" applyBorder="1" applyAlignment="1">
      <alignment vertical="center"/>
    </xf>
    <xf numFmtId="41" fontId="7" fillId="0" borderId="1" xfId="1" applyFont="1" applyFill="1" applyBorder="1" applyAlignment="1">
      <alignment vertical="center"/>
    </xf>
    <xf numFmtId="41" fontId="8" fillId="4" borderId="1" xfId="1" applyFont="1" applyFill="1" applyBorder="1" applyAlignment="1">
      <alignment vertical="center"/>
    </xf>
    <xf numFmtId="41" fontId="8" fillId="4" borderId="1" xfId="5" applyFont="1" applyFill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41" fontId="7" fillId="0" borderId="1" xfId="0" quotePrefix="1" applyNumberFormat="1" applyFont="1" applyBorder="1">
      <alignment vertical="center"/>
    </xf>
    <xf numFmtId="0" fontId="7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shrinkToFit="1"/>
    </xf>
    <xf numFmtId="0" fontId="13" fillId="2" borderId="1" xfId="0" applyFont="1" applyFill="1" applyBorder="1" applyAlignment="1">
      <alignment vertical="center" shrinkToFit="1"/>
    </xf>
    <xf numFmtId="41" fontId="13" fillId="2" borderId="1" xfId="1" applyFont="1" applyFill="1" applyBorder="1" applyAlignment="1">
      <alignment vertical="center"/>
    </xf>
    <xf numFmtId="41" fontId="13" fillId="0" borderId="1" xfId="1" applyFont="1" applyFill="1" applyBorder="1" applyAlignment="1">
      <alignment vertical="center"/>
    </xf>
    <xf numFmtId="41" fontId="13" fillId="4" borderId="1" xfId="1" applyFont="1" applyFill="1" applyBorder="1" applyAlignment="1">
      <alignment vertical="center"/>
    </xf>
    <xf numFmtId="41" fontId="13" fillId="4" borderId="1" xfId="5" applyFont="1" applyFill="1" applyBorder="1" applyAlignment="1">
      <alignment vertical="center"/>
    </xf>
    <xf numFmtId="0" fontId="13" fillId="0" borderId="1" xfId="0" quotePrefix="1" applyFont="1" applyBorder="1" applyAlignment="1">
      <alignment horizontal="center" vertical="center"/>
    </xf>
    <xf numFmtId="41" fontId="13" fillId="0" borderId="1" xfId="0" quotePrefix="1" applyNumberFormat="1" applyFont="1" applyBorder="1">
      <alignment vertical="center"/>
    </xf>
    <xf numFmtId="0" fontId="13" fillId="0" borderId="1" xfId="0" quotePrefix="1" applyFont="1" applyBorder="1">
      <alignment vertical="center"/>
    </xf>
    <xf numFmtId="41" fontId="10" fillId="0" borderId="1" xfId="1" applyFont="1" applyFill="1" applyBorder="1" applyAlignment="1">
      <alignment vertical="center"/>
    </xf>
    <xf numFmtId="41" fontId="13" fillId="5" borderId="1" xfId="1" applyFont="1" applyFill="1" applyBorder="1" applyAlignment="1">
      <alignment vertical="center"/>
    </xf>
    <xf numFmtId="0" fontId="13" fillId="0" borderId="1" xfId="0" applyFont="1" applyBorder="1">
      <alignment vertical="center"/>
    </xf>
    <xf numFmtId="0" fontId="38" fillId="0" borderId="1" xfId="0" applyFont="1" applyBorder="1" applyAlignment="1">
      <alignment vertical="center" shrinkToFit="1"/>
    </xf>
    <xf numFmtId="41" fontId="10" fillId="2" borderId="1" xfId="1" applyFont="1" applyFill="1" applyBorder="1" applyAlignment="1">
      <alignment vertical="center"/>
    </xf>
    <xf numFmtId="0" fontId="8" fillId="0" borderId="1" xfId="0" quotePrefix="1" applyFont="1" applyBorder="1" applyAlignment="1">
      <alignment horizontal="center" vertical="center"/>
    </xf>
    <xf numFmtId="41" fontId="11" fillId="4" borderId="1" xfId="1" applyFont="1" applyFill="1" applyBorder="1" applyAlignment="1">
      <alignment vertical="center"/>
    </xf>
    <xf numFmtId="41" fontId="11" fillId="4" borderId="1" xfId="5" applyFont="1" applyFill="1" applyBorder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41" fontId="11" fillId="0" borderId="1" xfId="0" quotePrefix="1" applyNumberFormat="1" applyFont="1" applyBorder="1">
      <alignment vertical="center"/>
    </xf>
    <xf numFmtId="0" fontId="29" fillId="7" borderId="1" xfId="0" applyFont="1" applyFill="1" applyBorder="1">
      <alignment vertical="center"/>
    </xf>
    <xf numFmtId="0" fontId="29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 shrinkToFit="1"/>
    </xf>
    <xf numFmtId="41" fontId="29" fillId="7" borderId="1" xfId="0" applyNumberFormat="1" applyFont="1" applyFill="1" applyBorder="1">
      <alignment vertical="center"/>
    </xf>
    <xf numFmtId="0" fontId="30" fillId="7" borderId="1" xfId="0" quotePrefix="1" applyFont="1" applyFill="1" applyBorder="1" applyAlignment="1">
      <alignment horizontal="center" vertical="center"/>
    </xf>
    <xf numFmtId="0" fontId="39" fillId="0" borderId="1" xfId="0" applyFont="1" applyBorder="1">
      <alignment vertical="center"/>
    </xf>
    <xf numFmtId="0" fontId="3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32" fillId="0" borderId="1" xfId="0" applyFont="1" applyBorder="1" applyAlignment="1">
      <alignment horizontal="center" vertical="center" wrapText="1"/>
    </xf>
    <xf numFmtId="41" fontId="32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7" fillId="0" borderId="1" xfId="2" applyFont="1" applyBorder="1" applyAlignment="1">
      <alignment vertical="center"/>
    </xf>
    <xf numFmtId="41" fontId="14" fillId="0" borderId="1" xfId="1" applyFont="1" applyFill="1" applyBorder="1" applyAlignment="1">
      <alignment vertical="center"/>
    </xf>
    <xf numFmtId="41" fontId="14" fillId="0" borderId="1" xfId="1" applyFont="1" applyFill="1" applyBorder="1" applyAlignment="1">
      <alignment horizontal="center" vertical="center"/>
    </xf>
    <xf numFmtId="41" fontId="0" fillId="0" borderId="0" xfId="1" applyFont="1" applyFill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shrinkToFit="1"/>
    </xf>
    <xf numFmtId="41" fontId="13" fillId="5" borderId="1" xfId="5" applyFont="1" applyFill="1" applyBorder="1" applyAlignment="1">
      <alignment vertical="center"/>
    </xf>
    <xf numFmtId="0" fontId="13" fillId="5" borderId="1" xfId="0" quotePrefix="1" applyFont="1" applyFill="1" applyBorder="1" applyAlignment="1">
      <alignment horizontal="center" vertical="center"/>
    </xf>
    <xf numFmtId="41" fontId="13" fillId="5" borderId="1" xfId="0" quotePrefix="1" applyNumberFormat="1" applyFont="1" applyFill="1" applyBorder="1">
      <alignment vertical="center"/>
    </xf>
    <xf numFmtId="0" fontId="13" fillId="5" borderId="1" xfId="0" quotePrefix="1" applyFont="1" applyFill="1" applyBorder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41" fontId="0" fillId="0" borderId="0" xfId="0" applyNumberFormat="1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indent="1"/>
    </xf>
    <xf numFmtId="0" fontId="21" fillId="0" borderId="8" xfId="2" applyFont="1" applyBorder="1" applyAlignment="1">
      <alignment horizontal="center"/>
    </xf>
    <xf numFmtId="0" fontId="21" fillId="0" borderId="9" xfId="2" applyFont="1" applyBorder="1" applyAlignment="1">
      <alignment horizontal="center"/>
    </xf>
    <xf numFmtId="0" fontId="24" fillId="0" borderId="5" xfId="2" quotePrefix="1" applyFont="1" applyBorder="1" applyAlignment="1">
      <alignment horizontal="center" vertical="center"/>
    </xf>
    <xf numFmtId="0" fontId="24" fillId="0" borderId="0" xfId="2" quotePrefix="1" applyFont="1" applyAlignment="1">
      <alignment horizontal="center" vertical="center"/>
    </xf>
    <xf numFmtId="0" fontId="24" fillId="0" borderId="6" xfId="2" quotePrefix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</cellXfs>
  <cellStyles count="7">
    <cellStyle name="쉼표 [0]" xfId="1" builtinId="6"/>
    <cellStyle name="쉼표 [0] 2" xfId="4"/>
    <cellStyle name="쉼표 [0] 3" xfId="5"/>
    <cellStyle name="표준" xfId="0" builtinId="0"/>
    <cellStyle name="표준 10 2" xfId="2"/>
    <cellStyle name="표준 2" xfId="3"/>
    <cellStyle name="표준_시내링견적서(최종)_111" xfId="6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3</xdr:col>
      <xdr:colOff>962026</xdr:colOff>
      <xdr:row>3</xdr:row>
      <xdr:rowOff>171450</xdr:rowOff>
    </xdr:to>
    <xdr:pic>
      <xdr:nvPicPr>
        <xdr:cNvPr id="2" name="그림 3" descr="LG U+.jpg">
          <a:extLst>
            <a:ext uri="{FF2B5EF4-FFF2-40B4-BE49-F238E27FC236}">
              <a16:creationId xmlns:a16="http://schemas.microsoft.com/office/drawing/2014/main" id="{5876D149-B4BE-4949-A5A7-8D94FBF1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228600"/>
          <a:ext cx="1981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C.Lotus.Notes.Data\05&#45380;&#49324;&#50629;&#44288;&#47532;\05&#45380;&#48372;&#51312;&#48512;&#50836;&#5055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ACOMUser\&#48148;&#53461;%20&#54868;&#47732;\OnCMail1_IPM%20(Ver%201.00)(2006071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C.Lotus.Notes.Data\&#47588;&#52636;&#47785;&#54364;(04%20&#44053;&#48513;&#51648;&#4932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반기팀별"/>
      <sheetName val="5~6월"/>
      <sheetName val="1~4월"/>
      <sheetName val="05년1~2월"/>
      <sheetName val="05년3월"/>
      <sheetName val="05년4월"/>
      <sheetName val="05년5월"/>
      <sheetName val="05년6월"/>
      <sheetName val="05년7월"/>
      <sheetName val="05년8월"/>
      <sheetName val="Sheet1"/>
      <sheetName val="Sheet2"/>
      <sheetName val="05년조직계정원본"/>
      <sheetName val="05년사업계정원본"/>
      <sheetName val="월별경비(9월)"/>
      <sheetName val="요약(9월)"/>
      <sheetName val="05년9월"/>
      <sheetName val="2006년"/>
      <sheetName val="index"/>
      <sheetName val="Y-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○ 총괄 사업실적"/>
      <sheetName val="○ 총괄원가계산"/>
      <sheetName val="●보라넷전용선_IP사업"/>
      <sheetName val="●파워넷비즈_IP사업"/>
      <sheetName val="● DLS약관요금"/>
      <sheetName val="● 전자정부_전용회선 약관요금"/>
      <sheetName val="● 전자정부_ATM 약관요금"/>
      <sheetName val="● 전자정부_인터넷 약관요금"/>
      <sheetName val="● 에어랜파워비즈_요금표"/>
      <sheetName val="● 에어랜아이_요금표"/>
      <sheetName val="◆보라넷PC방_IP사업"/>
      <sheetName val="◆ VPN 초중고"/>
      <sheetName val="◆ MVP"/>
      <sheetName val="◆ CADNET"/>
      <sheetName val="●IX_IP사업"/>
      <sheetName val="●NSP_IP사업"/>
      <sheetName val="● 보안아웃소싱 서비스 권장가"/>
      <sheetName val="● 보안단순임대 권장가"/>
      <sheetName val="◆ 영업이익율기준"/>
      <sheetName val="■ IPM Menu"/>
      <sheetName val="■보라넷전용선_IP사업"/>
      <sheetName val="■파워넷비즈_IP사업"/>
      <sheetName val="○TDM기업단가(보라)"/>
      <sheetName val="○가입자전송로(보라)"/>
      <sheetName val="○TDMPC단가(보라)"/>
      <sheetName val="○파워넷_비즈단가(보라)"/>
      <sheetName val="○서비스별손익(보라)"/>
      <sheetName val="○손익계산서(보라넷)(보라)"/>
      <sheetName val="○손익계산서 (기업)(보라)"/>
      <sheetName val="○손익계산서 (pc방)(보라)"/>
      <sheetName val="○파워함수(보라)"/>
      <sheetName val="○국제전송로(보라)"/>
      <sheetName val="○기간망로직 (2)(보라)"/>
      <sheetName val="○기간망로직 (3)(보라)"/>
      <sheetName val="○기간망로직(보라)"/>
      <sheetName val="○기간망(보라)"/>
      <sheetName val="○트래픽원가(보라)"/>
      <sheetName val="○1월 기준(보라)"/>
      <sheetName val="○계약트래픽(보라)"/>
      <sheetName val="○유통망(보라)"/>
      <sheetName val="○보안아웃소싱 서비스 권장가_IP사업"/>
      <sheetName val="■ DLS"/>
      <sheetName val="■ 전용회선(전자정부_NIS)"/>
      <sheetName val="■ ATM(전자정부_NIS)"/>
      <sheetName val="■ 인터넷(전자정부_NIS)"/>
      <sheetName val="■ MVP_CADNET "/>
      <sheetName val="○ MVP계산"/>
      <sheetName val="○MVP 구분자"/>
      <sheetName val="○ MVP참조"/>
      <sheetName val="■ 에어랜파워비즈_요금TOOL"/>
      <sheetName val="■ 에어랜아이_요금TOOL"/>
      <sheetName val="■ VoIP"/>
      <sheetName val="■ VoIP견적서"/>
      <sheetName val="○VoIP원가"/>
      <sheetName val="● IDLS_지침"/>
      <sheetName val="○ 에어랜파워비즈 기본data"/>
      <sheetName val="○ 에어랜파워비즈 손익"/>
      <sheetName val="○ 에어랜파워비즈1월실적"/>
      <sheetName val="○ 에어랜파워비즈 원가계산"/>
      <sheetName val="○ 에어랜아이_손익"/>
      <sheetName val="◆ 전자정부_거리좌표"/>
      <sheetName val="● DLS권장가격"/>
      <sheetName val="○ DLS 가입자망"/>
      <sheetName val="○ DLS구분자"/>
      <sheetName val="○시내거리"/>
      <sheetName val="○ 시외메트릭스"/>
      <sheetName val="● EDLS_테이블"/>
      <sheetName val="◆ 구분자(전자정부)"/>
      <sheetName val="○ DLS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2">
          <cell r="N12">
            <v>1</v>
          </cell>
        </row>
        <row r="13">
          <cell r="N13">
            <v>1</v>
          </cell>
        </row>
        <row r="14">
          <cell r="N14">
            <v>2</v>
          </cell>
        </row>
        <row r="15">
          <cell r="N15">
            <v>2</v>
          </cell>
        </row>
        <row r="16">
          <cell r="N16">
            <v>2</v>
          </cell>
        </row>
      </sheetData>
      <sheetData sheetId="45"/>
      <sheetData sheetId="46">
        <row r="6">
          <cell r="C6">
            <v>1</v>
          </cell>
          <cell r="E6">
            <v>6</v>
          </cell>
        </row>
        <row r="7">
          <cell r="C7">
            <v>1</v>
          </cell>
          <cell r="E7">
            <v>6</v>
          </cell>
        </row>
        <row r="8">
          <cell r="C8">
            <v>1</v>
          </cell>
          <cell r="E8">
            <v>6</v>
          </cell>
        </row>
        <row r="9">
          <cell r="C9">
            <v>1</v>
          </cell>
          <cell r="E9">
            <v>6</v>
          </cell>
        </row>
        <row r="10">
          <cell r="C10">
            <v>1</v>
          </cell>
          <cell r="E10">
            <v>6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47">
          <cell r="C147" t="str">
            <v>FTTO 양측</v>
          </cell>
        </row>
      </sheetData>
      <sheetData sheetId="64"/>
      <sheetData sheetId="65"/>
      <sheetData sheetId="66"/>
      <sheetData sheetId="67"/>
      <sheetData sheetId="68">
        <row r="7">
          <cell r="F7" t="str">
            <v>시외</v>
          </cell>
        </row>
        <row r="9">
          <cell r="B9">
            <v>2</v>
          </cell>
        </row>
        <row r="157">
          <cell r="F157">
            <v>1</v>
          </cell>
          <cell r="G157">
            <v>74</v>
          </cell>
          <cell r="I157">
            <v>4</v>
          </cell>
          <cell r="J157">
            <v>6</v>
          </cell>
          <cell r="U157">
            <v>4</v>
          </cell>
          <cell r="V157">
            <v>2</v>
          </cell>
        </row>
        <row r="158">
          <cell r="F158">
            <v>2</v>
          </cell>
          <cell r="G158">
            <v>1</v>
          </cell>
          <cell r="I158">
            <v>0</v>
          </cell>
          <cell r="J158">
            <v>144</v>
          </cell>
          <cell r="U158">
            <v>1</v>
          </cell>
          <cell r="V158">
            <v>1</v>
          </cell>
        </row>
        <row r="159">
          <cell r="F159">
            <v>1</v>
          </cell>
          <cell r="G159">
            <v>74</v>
          </cell>
          <cell r="I159">
            <v>1</v>
          </cell>
          <cell r="J159">
            <v>48</v>
          </cell>
          <cell r="U159">
            <v>4</v>
          </cell>
          <cell r="V159">
            <v>2</v>
          </cell>
        </row>
        <row r="160">
          <cell r="F160">
            <v>1</v>
          </cell>
          <cell r="G160">
            <v>74</v>
          </cell>
          <cell r="I160">
            <v>1</v>
          </cell>
          <cell r="J160">
            <v>48</v>
          </cell>
          <cell r="U160">
            <v>4</v>
          </cell>
          <cell r="V160">
            <v>2</v>
          </cell>
        </row>
        <row r="161">
          <cell r="F161">
            <v>1</v>
          </cell>
          <cell r="G161">
            <v>74</v>
          </cell>
          <cell r="I161">
            <v>1</v>
          </cell>
          <cell r="J161">
            <v>48</v>
          </cell>
          <cell r="U161">
            <v>4</v>
          </cell>
          <cell r="V161">
            <v>2</v>
          </cell>
        </row>
        <row r="162">
          <cell r="F162">
            <v>1</v>
          </cell>
          <cell r="G162">
            <v>74</v>
          </cell>
          <cell r="I162">
            <v>1</v>
          </cell>
          <cell r="J162">
            <v>48</v>
          </cell>
          <cell r="U162">
            <v>4</v>
          </cell>
          <cell r="V162">
            <v>2</v>
          </cell>
        </row>
        <row r="163">
          <cell r="F163">
            <v>1</v>
          </cell>
          <cell r="G163">
            <v>74</v>
          </cell>
          <cell r="I163">
            <v>1</v>
          </cell>
          <cell r="J163">
            <v>48</v>
          </cell>
          <cell r="U163">
            <v>4</v>
          </cell>
          <cell r="V163">
            <v>2</v>
          </cell>
        </row>
        <row r="164">
          <cell r="F164">
            <v>1</v>
          </cell>
          <cell r="G164">
            <v>74</v>
          </cell>
          <cell r="I164">
            <v>1</v>
          </cell>
          <cell r="J164">
            <v>48</v>
          </cell>
          <cell r="U164">
            <v>4</v>
          </cell>
          <cell r="V164">
            <v>2</v>
          </cell>
        </row>
        <row r="165">
          <cell r="F165">
            <v>1</v>
          </cell>
          <cell r="G165">
            <v>74</v>
          </cell>
          <cell r="I165">
            <v>1</v>
          </cell>
          <cell r="J165">
            <v>48</v>
          </cell>
          <cell r="U165">
            <v>4</v>
          </cell>
          <cell r="V165">
            <v>2</v>
          </cell>
        </row>
        <row r="166">
          <cell r="F166">
            <v>1</v>
          </cell>
          <cell r="G166">
            <v>74</v>
          </cell>
          <cell r="I166">
            <v>1</v>
          </cell>
          <cell r="J166">
            <v>48</v>
          </cell>
          <cell r="U166">
            <v>4</v>
          </cell>
          <cell r="V166">
            <v>2</v>
          </cell>
        </row>
        <row r="178">
          <cell r="F178">
            <v>1</v>
          </cell>
          <cell r="G178">
            <v>2</v>
          </cell>
          <cell r="H178">
            <v>1</v>
          </cell>
          <cell r="J178">
            <v>0</v>
          </cell>
          <cell r="K178">
            <v>144</v>
          </cell>
          <cell r="P178">
            <v>14</v>
          </cell>
        </row>
        <row r="179">
          <cell r="F179">
            <v>1</v>
          </cell>
          <cell r="G179">
            <v>2</v>
          </cell>
          <cell r="H179">
            <v>1</v>
          </cell>
          <cell r="J179">
            <v>0</v>
          </cell>
          <cell r="K179">
            <v>144</v>
          </cell>
          <cell r="P179">
            <v>14</v>
          </cell>
        </row>
        <row r="180">
          <cell r="F180">
            <v>1</v>
          </cell>
          <cell r="G180">
            <v>1</v>
          </cell>
          <cell r="H180">
            <v>74</v>
          </cell>
          <cell r="J180">
            <v>1</v>
          </cell>
          <cell r="K180">
            <v>48</v>
          </cell>
          <cell r="P180">
            <v>14</v>
          </cell>
        </row>
        <row r="181">
          <cell r="F181">
            <v>2</v>
          </cell>
          <cell r="G181">
            <v>2</v>
          </cell>
          <cell r="H181">
            <v>1</v>
          </cell>
          <cell r="J181">
            <v>0</v>
          </cell>
          <cell r="K181">
            <v>144</v>
          </cell>
          <cell r="P181">
            <v>18</v>
          </cell>
        </row>
        <row r="182">
          <cell r="F182">
            <v>2</v>
          </cell>
          <cell r="G182">
            <v>1</v>
          </cell>
          <cell r="H182">
            <v>74</v>
          </cell>
          <cell r="J182">
            <v>1</v>
          </cell>
          <cell r="K182">
            <v>48</v>
          </cell>
          <cell r="P182">
            <v>18</v>
          </cell>
        </row>
        <row r="189">
          <cell r="U189">
            <v>3</v>
          </cell>
          <cell r="V189">
            <v>6</v>
          </cell>
        </row>
        <row r="190">
          <cell r="U190">
            <v>2</v>
          </cell>
          <cell r="V190">
            <v>3</v>
          </cell>
        </row>
        <row r="191">
          <cell r="U191">
            <v>1</v>
          </cell>
          <cell r="V191">
            <v>1</v>
          </cell>
        </row>
        <row r="192">
          <cell r="U192">
            <v>1</v>
          </cell>
          <cell r="V192">
            <v>1</v>
          </cell>
        </row>
        <row r="193">
          <cell r="U193">
            <v>1</v>
          </cell>
          <cell r="V193">
            <v>1</v>
          </cell>
        </row>
        <row r="197">
          <cell r="F197">
            <v>2</v>
          </cell>
          <cell r="G197">
            <v>2</v>
          </cell>
          <cell r="H197">
            <v>1</v>
          </cell>
          <cell r="J197">
            <v>0</v>
          </cell>
          <cell r="K197">
            <v>144</v>
          </cell>
          <cell r="P197">
            <v>37</v>
          </cell>
        </row>
        <row r="198">
          <cell r="F198">
            <v>2</v>
          </cell>
          <cell r="G198">
            <v>2</v>
          </cell>
          <cell r="H198">
            <v>1</v>
          </cell>
          <cell r="J198">
            <v>0</v>
          </cell>
          <cell r="K198">
            <v>144</v>
          </cell>
          <cell r="P198">
            <v>37</v>
          </cell>
        </row>
        <row r="199">
          <cell r="F199">
            <v>2</v>
          </cell>
          <cell r="G199">
            <v>2</v>
          </cell>
          <cell r="H199">
            <v>1</v>
          </cell>
          <cell r="J199">
            <v>0</v>
          </cell>
          <cell r="K199">
            <v>144</v>
          </cell>
          <cell r="P199">
            <v>37</v>
          </cell>
        </row>
        <row r="200">
          <cell r="F200">
            <v>2</v>
          </cell>
          <cell r="G200">
            <v>1</v>
          </cell>
          <cell r="H200">
            <v>74</v>
          </cell>
          <cell r="J200">
            <v>1</v>
          </cell>
          <cell r="K200">
            <v>48</v>
          </cell>
          <cell r="P200">
            <v>37</v>
          </cell>
        </row>
        <row r="201">
          <cell r="F201">
            <v>2</v>
          </cell>
          <cell r="G201">
            <v>2</v>
          </cell>
          <cell r="H201">
            <v>1</v>
          </cell>
          <cell r="J201">
            <v>0</v>
          </cell>
          <cell r="K201">
            <v>144</v>
          </cell>
          <cell r="P201">
            <v>37</v>
          </cell>
        </row>
        <row r="206">
          <cell r="U206">
            <v>2</v>
          </cell>
          <cell r="V206">
            <v>3</v>
          </cell>
        </row>
        <row r="207">
          <cell r="U207">
            <v>1</v>
          </cell>
          <cell r="V207">
            <v>1</v>
          </cell>
        </row>
        <row r="208">
          <cell r="U208">
            <v>1</v>
          </cell>
          <cell r="V208">
            <v>1</v>
          </cell>
        </row>
        <row r="209">
          <cell r="U209">
            <v>1</v>
          </cell>
          <cell r="V209">
            <v>1</v>
          </cell>
        </row>
        <row r="210">
          <cell r="U210">
            <v>1</v>
          </cell>
          <cell r="V210">
            <v>1</v>
          </cell>
        </row>
        <row r="213">
          <cell r="H213">
            <v>2</v>
          </cell>
          <cell r="I213">
            <v>18</v>
          </cell>
        </row>
        <row r="214">
          <cell r="H214">
            <v>2</v>
          </cell>
          <cell r="I214">
            <v>18</v>
          </cell>
        </row>
        <row r="215">
          <cell r="H215">
            <v>2</v>
          </cell>
          <cell r="I215">
            <v>18</v>
          </cell>
        </row>
        <row r="216">
          <cell r="H216">
            <v>2</v>
          </cell>
          <cell r="I216">
            <v>18</v>
          </cell>
        </row>
        <row r="217">
          <cell r="H217">
            <v>2</v>
          </cell>
          <cell r="I217">
            <v>18</v>
          </cell>
        </row>
        <row r="219">
          <cell r="H219">
            <v>2</v>
          </cell>
          <cell r="I219">
            <v>37</v>
          </cell>
        </row>
        <row r="220">
          <cell r="H220">
            <v>2</v>
          </cell>
          <cell r="I220">
            <v>37</v>
          </cell>
        </row>
        <row r="221">
          <cell r="H221">
            <v>2</v>
          </cell>
          <cell r="I221">
            <v>37</v>
          </cell>
        </row>
        <row r="222">
          <cell r="H222">
            <v>2</v>
          </cell>
          <cell r="I222">
            <v>37</v>
          </cell>
        </row>
        <row r="223">
          <cell r="H223">
            <v>2</v>
          </cell>
          <cell r="I223">
            <v>37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입력_지사"/>
      <sheetName val="★입력_영업1팀"/>
      <sheetName val="★입력_영업2팀"/>
      <sheetName val="★입력_유통영업팀"/>
      <sheetName val="손익_지사"/>
      <sheetName val="손익_영업1팀"/>
      <sheetName val="손익_영업2팀"/>
      <sheetName val="손익_유통영업팀"/>
      <sheetName val="손익_지사계"/>
      <sheetName val="05계획_지사"/>
      <sheetName val="05계획_영업1팀"/>
      <sheetName val="05계획_영업2팀"/>
      <sheetName val="05계획_유통영업팀"/>
      <sheetName val="05계획_지사계"/>
      <sheetName val="전략회의발표양식"/>
    </sheetNames>
    <sheetDataSet>
      <sheetData sheetId="0" refreshError="1">
        <row r="1">
          <cell r="AR1" t="str">
            <v>강북지사</v>
          </cell>
        </row>
      </sheetData>
      <sheetData sheetId="1" refreshError="1">
        <row r="1">
          <cell r="AR1" t="str">
            <v>영업1팀</v>
          </cell>
        </row>
      </sheetData>
      <sheetData sheetId="2" refreshError="1">
        <row r="1">
          <cell r="AR1" t="str">
            <v>영업2팀</v>
          </cell>
        </row>
      </sheetData>
      <sheetData sheetId="3" refreshError="1">
        <row r="1">
          <cell r="AR1" t="str">
            <v>유통영업팀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yh3678" refreshedDate="45238.612604282411" createdVersion="8" refreshedVersion="8" minRefreshableVersion="3" recordCount="99">
  <cacheSource type="worksheet">
    <worksheetSource ref="C1:O100" sheet="대외회선(상세)"/>
  </cacheSource>
  <cacheFields count="13">
    <cacheField name="서비스" numFmtId="0">
      <sharedItems count="2">
        <s v="인터넷"/>
        <s v="전용회선"/>
      </sharedItems>
    </cacheField>
    <cacheField name="용도" numFmtId="0">
      <sharedItems/>
    </cacheField>
    <cacheField name="속도" numFmtId="0">
      <sharedItems count="11">
        <s v="100M"/>
        <s v="512K"/>
        <s v="2M"/>
        <s v="256K"/>
        <s v="56K"/>
        <s v="64K"/>
        <s v="128K"/>
        <s v="6M"/>
        <s v="10M"/>
        <s v="1M"/>
        <s v="1024k"/>
      </sharedItems>
    </cacheField>
    <cacheField name="상위국" numFmtId="0">
      <sharedItems/>
    </cacheField>
    <cacheField name="상위국주소" numFmtId="0">
      <sharedItems/>
    </cacheField>
    <cacheField name="하위국" numFmtId="0">
      <sharedItems/>
    </cacheField>
    <cacheField name="하위국주소" numFmtId="0">
      <sharedItems/>
    </cacheField>
    <cacheField name="변경유무" numFmtId="41">
      <sharedItems/>
    </cacheField>
    <cacheField name="(22년) 월 회선비_x000a_(VAT 포함)" numFmtId="41">
      <sharedItems containsString="0" containsBlank="1" containsNumber="1" minValue="39050" maxValue="220000.00000000003"/>
    </cacheField>
    <cacheField name="(22년) 년 회선비_x000a_(VAT 포함)" numFmtId="41">
      <sharedItems containsString="0" containsBlank="1" containsNumber="1" minValue="468600" maxValue="2640000.0000000005"/>
    </cacheField>
    <cacheField name="(23년) 월 회선비_x000a_(VAT 포함)" numFmtId="41">
      <sharedItems containsSemiMixedTypes="0" containsString="0" containsNumber="1" minValue="39050" maxValue="220000.00000000003"/>
    </cacheField>
    <cacheField name="(23년) 년 회선비_x000a_(VAT 포함)" numFmtId="41">
      <sharedItems containsSemiMixedTypes="0" containsString="0" containsNumber="1" minValue="468600" maxValue="2640000.0000000005"/>
    </cacheField>
    <cacheField name="(24년) 월 회선비_x000a_(VAT 포함)" numFmtId="41">
      <sharedItems containsString="0" containsBlank="1" containsNumber="1" minValue="0" maxValue="30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s v="VPN"/>
    <x v="0"/>
    <s v="여의도센터"/>
    <s v="서울 영등포구 은행로 22 별관 5층"/>
    <s v="산업은행 여의도센터"/>
    <s v="서울 영등포구 은행로 22 별관 5층"/>
    <s v="유지"/>
    <n v="114400.00000000001"/>
    <n v="1372800.0000000002"/>
    <n v="114400.00000000001"/>
    <n v="1372800.0000000002"/>
    <n v="114400.00000000001"/>
  </r>
  <r>
    <x v="0"/>
    <s v="VPN"/>
    <x v="0"/>
    <s v="부천BCP"/>
    <s v="경기도 부천시 원미구 송내대로 88 (상동), 4층 BCP실"/>
    <s v="산업은행 부천BCP"/>
    <s v="경기도 부천시 원미구 송내대로 88 (상동), 4층 BCP실"/>
    <s v="유지"/>
    <n v="114400.00000000001"/>
    <n v="1372800.0000000002"/>
    <n v="114400.00000000001"/>
    <n v="1372800.0000000002"/>
    <n v="114400.00000000001"/>
  </r>
  <r>
    <x v="1"/>
    <s v="대외계"/>
    <x v="1"/>
    <s v="여의도 본관"/>
    <s v="서울 영등포구 은행로 22 본관 3층"/>
    <s v="한국은행"/>
    <s v="서울 강남구 테헤란로 202 전산센터 (역삼동)"/>
    <s v="유지"/>
    <n v="82500"/>
    <n v="990000"/>
    <n v="82500"/>
    <n v="990000"/>
    <n v="82500"/>
  </r>
  <r>
    <x v="1"/>
    <s v="대외계"/>
    <x v="2"/>
    <s v="여의도 본관"/>
    <s v="서울 영등포구 은행로 22 본관 3층"/>
    <s v="산업은행 하남센터"/>
    <s v="경기 하남시 망월동 305-1번지 KDB산업은행IT센터 업무동"/>
    <s v="유지"/>
    <n v="154000"/>
    <n v="1848000"/>
    <n v="154000"/>
    <n v="1848000"/>
    <n v="154000"/>
  </r>
  <r>
    <x v="1"/>
    <s v="대외계"/>
    <x v="3"/>
    <s v="부천BCP"/>
    <s v="경기도 부천시 원미구 송내대로 88 (상동), 4층 BCP실"/>
    <s v="외국환중개"/>
    <s v="서울 중구 삼일대로 358 신한L타워 13층"/>
    <s v="유지"/>
    <n v="55000.000000000007"/>
    <n v="660000.00000000012"/>
    <n v="55000.000000000007"/>
    <n v="660000.00000000012"/>
    <n v="55000.000000000007"/>
  </r>
  <r>
    <x v="1"/>
    <s v="대외계"/>
    <x v="4"/>
    <s v="여의도센터"/>
    <s v="서울 영등포구 은행로 22 별관 5층"/>
    <s v="DB손해보험"/>
    <s v="경기도 용인시 수지구 디지털벨리로 61 DB손해보험 데이터센터 6층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MG손해보험"/>
    <s v="인천시 계양구 아나지로 213번길 23 LGCNS 2층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NH손해보험"/>
    <s v="경기 의왕시 성고개로59 농협통합IT센터"/>
    <s v="유지"/>
    <n v="39050"/>
    <n v="468600"/>
    <n v="39050"/>
    <n v="468600"/>
    <n v="39050"/>
  </r>
  <r>
    <x v="1"/>
    <s v="대외계"/>
    <x v="5"/>
    <s v="여의도센터"/>
    <s v="서울 영등포구 은행로 22 별관 5층"/>
    <s v="동양생명"/>
    <s v="경기도 성남시 분당구 성남대로925번길 36 KT 분당IDC 2층"/>
    <s v="유지"/>
    <n v="46200.000000000007"/>
    <n v="554400.00000000012"/>
    <n v="46200.000000000007"/>
    <n v="554400.00000000012"/>
    <n v="46200.000000000007"/>
  </r>
  <r>
    <x v="1"/>
    <s v="대외계"/>
    <x v="5"/>
    <s v="여의도센터"/>
    <s v="서울 영등포구 은행로 22 별관 5층"/>
    <s v="롯데손해보험"/>
    <s v="서울시 금천구 가산동 533-2 2층"/>
    <s v="유지"/>
    <n v="46200.000000000007"/>
    <n v="554400.00000000012"/>
    <n v="46200.000000000007"/>
    <n v="554400.00000000012"/>
    <n v="46200.000000000007"/>
  </r>
  <r>
    <x v="1"/>
    <s v="대외계"/>
    <x v="4"/>
    <s v="여의도센터"/>
    <s v="서울 영등포구 은행로 22 별관 5층"/>
    <s v="메리츠화재"/>
    <s v="서울시 영등포구 여의도동 25-1번지 메리츠화재 여의도사옥 12층"/>
    <s v="유지"/>
    <n v="39050"/>
    <n v="468600"/>
    <n v="39050"/>
    <n v="468600"/>
    <n v="39050"/>
  </r>
  <r>
    <x v="1"/>
    <s v="대외계"/>
    <x v="5"/>
    <s v="여의도센터"/>
    <s v="서울 영등포구 은행로 22 별관 5층"/>
    <s v="삼성생명"/>
    <s v="서울특별시 마포구 월드컵북로60길 24 삼성SDS 상암IT센터 4층 기계실"/>
    <s v="유지"/>
    <n v="46200.000000000007"/>
    <n v="554400.00000000012"/>
    <n v="46200.000000000007"/>
    <n v="554400.00000000012"/>
    <n v="46200.000000000007"/>
  </r>
  <r>
    <x v="1"/>
    <s v="대외계"/>
    <x v="4"/>
    <s v="여의도센터"/>
    <s v="서울 영등포구 은행로 22 별관 5층"/>
    <s v="삼성화재"/>
    <s v="경기 과천시 별양상가3로 8 삼성SDS 과천센터 8층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에이비엘생명"/>
    <s v="인천 연수구 송도동 10-40 교보데이터센터 2층  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한화생명"/>
    <s v="서울시 영등포구 여의도동 60번지 63한화생명빌딩 23층 금융운영팀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한화손해보험"/>
    <s v="서울시 영등포구 여의도동 23-5 한화손해보험빌딩 25층 DR센터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현대해상화재보험"/>
    <s v="인천광역시 부평구 부평동 203-14 현대해상 부평사옥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흥국생명"/>
    <s v="서울 영등포구 버드나루로2길 7 흥국생명빌딩 3층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흥국화재"/>
    <s v="서울시 영등포구 영등포동 2가 94-151 흥국생명빌딩 3층"/>
    <s v="유지"/>
    <n v="39050"/>
    <n v="468600"/>
    <n v="39050"/>
    <n v="468600"/>
    <n v="39050"/>
  </r>
  <r>
    <x v="1"/>
    <s v="대외계"/>
    <x v="5"/>
    <s v="여의도센터"/>
    <s v="서울 영등포구 은행로 22 별관 5층"/>
    <s v="KDB생명"/>
    <s v="서울 강서구 오정로 443-83, 4층 아시아나타운 IDC (오쇠동, 아시아나항공)"/>
    <s v="유지"/>
    <n v="46200.000000000007"/>
    <n v="554400.00000000012"/>
    <n v="46200.000000000007"/>
    <n v="554400.00000000012"/>
    <n v="46200.000000000007"/>
  </r>
  <r>
    <x v="1"/>
    <s v="대외계"/>
    <x v="4"/>
    <s v="여의도센터"/>
    <s v="서울 영등포구 은행로 22 별관 5층"/>
    <s v="대우증권논현센터"/>
    <s v="서울 강남구 언주로 616, 한국인터넷데이터센터 8층 (논현동)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은행연합회(용인센터)"/>
    <s v="경기 용인시 기흥구 마북로240번길 17-9, 2층 (마북동)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금융결제원"/>
    <s v="서울 강남구 테헤란로 202 2층 (역삼동, 금융결제원)"/>
    <s v="유지"/>
    <n v="39050"/>
    <n v="468600"/>
    <n v="39050"/>
    <n v="468600"/>
    <n v="39050"/>
  </r>
  <r>
    <x v="1"/>
    <s v="대외계"/>
    <x v="6"/>
    <s v="여의도센터"/>
    <s v="서울 영등포구 은행로 22 별관 5층"/>
    <s v="예탁결제원"/>
    <s v="서울 영등포구 여의나루로4길 23, 4층 (여의도동)"/>
    <s v="유지"/>
    <n v="49500.000000000007"/>
    <n v="594000.00000000012"/>
    <n v="49500.000000000007"/>
    <n v="594000.00000000012"/>
    <n v="49500.000000000007"/>
  </r>
  <r>
    <x v="1"/>
    <s v="대외계"/>
    <x v="4"/>
    <s v="여의도센터"/>
    <s v="서울 영등포구 은행로 22 별관 5층"/>
    <s v="우체국"/>
    <s v="서울 중구 소공로 70, 서울중앙우체국 5층 (충무로1가)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코리아크레딧뷰로(KCB)"/>
    <s v="서울 양천구 목동동로 323, KT목동지사 데이터센터 10층 (목동)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한국기업데이터"/>
    <s v="경기 용인시 기흥구 마북동 산1-8번지 산림조합중앙회전산정보센터 2층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한국신용정보(NICE신용평가)"/>
    <s v="서울 강동구 상일로6길 55, NICE그룹 데이터센터 (상일동)"/>
    <s v="유지"/>
    <n v="39050"/>
    <n v="468600"/>
    <n v="39050"/>
    <n v="468600"/>
    <n v="39050"/>
  </r>
  <r>
    <x v="1"/>
    <s v="대외계"/>
    <x v="4"/>
    <s v="여의도센터"/>
    <s v="서울 영등포구 은행로 22 별관 5층"/>
    <s v="은행연합체"/>
    <s v="경기 안양시 동안구 엘에스로115번길 26, 코스콤 B동 3층 (설변) (호계동)"/>
    <s v="유지"/>
    <n v="39050"/>
    <n v="468600"/>
    <n v="39050"/>
    <n v="468600"/>
    <n v="39050"/>
  </r>
  <r>
    <x v="1"/>
    <s v="대외계"/>
    <x v="3"/>
    <s v="여의도센터"/>
    <s v="서울 영등포구 은행로 22 별관 5층"/>
    <s v="한국은행"/>
    <s v="서울시 강남구 테헤란로 202, 금융결제원통신실 6층. (역삼동,한국은행강남본부)"/>
    <s v="유지"/>
    <n v="55000.000000000007"/>
    <n v="660000.00000000012"/>
    <n v="55000.000000000007"/>
    <n v="660000.00000000012"/>
    <n v="55000.000000000007"/>
  </r>
  <r>
    <x v="1"/>
    <s v="대외계"/>
    <x v="5"/>
    <s v="하남센터"/>
    <s v="경기도 하남시 미사강변한강로 177 (망월동, KDB Digital Square) 전산동 4층"/>
    <s v="우체국(우편)"/>
    <s v="서울 중구 소공로 70, 서울중앙우체국 5층 (충무로1가)"/>
    <s v="유지"/>
    <n v="46200.000000000007"/>
    <n v="554400.00000000012"/>
    <n v="46200.000000000007"/>
    <n v="554400.00000000012"/>
    <n v="46200.000000000007"/>
  </r>
  <r>
    <x v="1"/>
    <s v="대외계"/>
    <x v="4"/>
    <s v="하남센터"/>
    <s v="경기도 하남시 미사강변한강로 177 (망월동, KDB Digital Square) 전산동 4층"/>
    <s v="중소기업진흥공단"/>
    <s v="서울 마포구 월드컵북로 416, 9층 (상암동, (주)엘지유플러스)"/>
    <s v="유지"/>
    <n v="39050"/>
    <n v="468600"/>
    <n v="39050"/>
    <n v="468600"/>
    <n v="0"/>
  </r>
  <r>
    <x v="1"/>
    <s v="대외계"/>
    <x v="4"/>
    <s v="하남센터"/>
    <s v="경기도 하남시 미사강변한강로 177 (망월동, KDB Digital Square) 전산동 4층"/>
    <s v="현대해상화재보험"/>
    <s v="경기 용인시 기흥구 마북로240번길 17-9, 현대정보기술연구소 4층 (설변) (마북동"/>
    <s v="유지"/>
    <n v="39050"/>
    <n v="468600"/>
    <n v="39050"/>
    <n v="468600"/>
    <n v="39050"/>
  </r>
  <r>
    <x v="1"/>
    <s v="대외계"/>
    <x v="5"/>
    <s v="하남센터"/>
    <s v="경기도 하남시 미사강변한강로 177 (망월동, KDB Digital Square) 전산동 4층"/>
    <s v="KB손해보험"/>
    <s v="경기 구리시 경춘로 260 (수택동, LIG손해보험)"/>
    <s v="유지"/>
    <n v="46200.000000000007"/>
    <n v="554400.00000000012"/>
    <n v="46200.000000000007"/>
    <n v="554400.00000000012"/>
    <n v="46200.000000000007"/>
  </r>
  <r>
    <x v="1"/>
    <s v="대외계"/>
    <x v="4"/>
    <s v="하남센터"/>
    <s v="경기도 하남시 미사강변한강로 177 (망월동, KDB Digital Square) 전산동 4층"/>
    <s v="KDB생명"/>
    <s v="서울시 강서구 오쇠동 47번지 아시아나타운 A동 4층 KDB생명 전산센터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삼성생명"/>
    <s v="서울 마포구 월드컵북로60길 24, 삼성SDS 상암IT센터 서버동 4층  (설변) (상암동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MG손해보험"/>
    <s v="서울 금천구 가산디지털1로 189, LGCNS 5층 (설변) (가산"/>
    <s v="유지"/>
    <n v="39050"/>
    <n v="468600"/>
    <n v="39050"/>
    <n v="468600"/>
    <n v="39050"/>
  </r>
  <r>
    <x v="1"/>
    <s v="대외계"/>
    <x v="3"/>
    <s v="하남센터"/>
    <s v="경기도 하남시 미사강변한강로 177 (망월동, KDB Digital Square) 전산동 4층"/>
    <s v="NH손해보험"/>
    <s v="경기 의왕시 성고개로 59, NH통합IT센터 전산동10층 (포일동)"/>
    <s v="유지"/>
    <n v="55000.000000000007"/>
    <n v="660000.00000000012"/>
    <n v="55000.000000000007"/>
    <n v="660000.00000000012"/>
    <n v="55000.000000000007"/>
  </r>
  <r>
    <x v="1"/>
    <s v="대외계"/>
    <x v="4"/>
    <s v="하남센터"/>
    <s v="경기도 하남시 미사강변한강로 177 (망월동, KDB Digital Square) 전산동 4층"/>
    <s v="흥국생명"/>
    <s v="서울 영등포구 버드나루로2길 7, 흥국생명 (영등포동2가, 흥국생명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흥국화재"/>
    <s v="서울 영등포구 버드나루로2길 7 3층 (영등포동2가, 흥국생명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롯데손해보험"/>
    <s v="서울 금천구 가산디지털2로 179 롯데센터 2층 (가산동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메리츠화재"/>
    <s v="서울 영등포구 국제금융로2길 11 (여의도동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한화손해보험"/>
    <s v="서울 영등포구 여의대로 56, 25층 (여의도동, 한화손해보험빌딩)"/>
    <s v="유지"/>
    <n v="39050"/>
    <n v="468600"/>
    <n v="39050"/>
    <n v="468600"/>
    <n v="39050"/>
  </r>
  <r>
    <x v="1"/>
    <s v="대외계"/>
    <x v="6"/>
    <s v="하남센터"/>
    <s v="경기도 하남시 미사강변한강로 177 (망월동, KDB Digital Square) 전산동 4층"/>
    <s v="삼성화재(방카)"/>
    <s v="경기 과천시 별양상가3로 8 8층 (별양동, 삼성SDS)"/>
    <s v="유지"/>
    <n v="49500.000000000007"/>
    <n v="594000.00000000012"/>
    <n v="49500.000000000007"/>
    <n v="594000.00000000012"/>
    <n v="49500.000000000007"/>
  </r>
  <r>
    <x v="1"/>
    <s v="대외계"/>
    <x v="4"/>
    <s v="하남센터"/>
    <s v="경기도 하남시 미사강변한강로 177 (망월동, KDB Digital Square) 전산동 4층"/>
    <s v="에이비엘생명"/>
    <s v="인천 연수구 벤처로 14 (송도동, IBP빌딩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한화생명"/>
    <s v="서울 영등포구 63로 50 23층 구내설변 (여의도동, 63한화생명빌딩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교보생명"/>
    <s v="인천 연수구 벤처로 14 교보생명전산실 (송도동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동양생명"/>
    <s v="서울 양천구 목동동로 233-5 KT목동ICC 5층 동양생명보험 (목동)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DB손해보험"/>
    <s v="경기 용인시 수지구 죽전동 산25-13번지 동부데이터센터 6층"/>
    <s v="유지"/>
    <n v="39050"/>
    <n v="468600"/>
    <n v="39050"/>
    <n v="468600"/>
    <n v="39050"/>
  </r>
  <r>
    <x v="1"/>
    <s v="대외계"/>
    <x v="3"/>
    <s v="하남센터"/>
    <s v="경기도 하남시 미사강변한강로 177 (망월동, KDB Digital Square) 전산동 4층"/>
    <s v="은행연합회(일반)_백업"/>
    <s v="서울 중구 명동11길 19, 13층 (명동1가)"/>
    <s v="유지"/>
    <n v="55000.000000000007"/>
    <n v="660000.00000000012"/>
    <n v="55000.000000000007"/>
    <n v="660000.00000000012"/>
    <n v="55000.000000000007"/>
  </r>
  <r>
    <x v="1"/>
    <s v="대외계"/>
    <x v="3"/>
    <s v="하남센터"/>
    <s v="경기도 하남시 미사강변한강로 177 (망월동, KDB Digital Square) 전산동 4층"/>
    <s v="은행연합회(일반)_메인"/>
    <s v="경기 용인시 기흥구 마북로240번길 17-9, 2층 (마북동)"/>
    <s v="유지"/>
    <n v="55000.000000000007"/>
    <n v="660000.00000000012"/>
    <n v="55000.000000000007"/>
    <n v="660000.00000000012"/>
    <n v="55000.000000000007"/>
  </r>
  <r>
    <x v="1"/>
    <s v="대외계"/>
    <x v="7"/>
    <s v="하남센터"/>
    <s v="경기도 하남시 미사강변한강로 177 (망월동, KDB Digital Square) 전산동 4층"/>
    <s v="신용정보원_메인"/>
    <s v="(주센터)경기도 안양시 동안구 엘에스로 115번길 26 코스콤 안양BCP센터 B동 2층"/>
    <s v="증속"/>
    <n v="39050"/>
    <n v="468600"/>
    <n v="77000"/>
    <n v="924000"/>
    <n v="308000"/>
  </r>
  <r>
    <x v="1"/>
    <s v="대외계"/>
    <x v="6"/>
    <s v="하남센터"/>
    <s v="경기도 하남시 미사강변한강로 177 (망월동, KDB Digital Square) 전산동 4층"/>
    <s v="신용정보원_백업"/>
    <s v="(DR센터)서울 중구 명동11길 19 전국은행연합회 13층"/>
    <s v="증속"/>
    <n v="39050"/>
    <n v="468600"/>
    <n v="49500"/>
    <n v="594000"/>
    <n v="182600"/>
  </r>
  <r>
    <x v="1"/>
    <s v="대외계"/>
    <x v="1"/>
    <s v="하남센터"/>
    <s v="경기도 하남시 미사강변한강로 177 (망월동, KDB Digital Square) 전산동 4층"/>
    <s v="신용정보원(기술신용)"/>
    <s v="경기 안양시 동안구 엘에스로115번길 26, 코스콤 B동 2층 신용정보원 (호계동)"/>
    <s v="유지"/>
    <n v="82500"/>
    <n v="990000"/>
    <n v="82500"/>
    <n v="990000"/>
    <n v="82500"/>
  </r>
  <r>
    <x v="1"/>
    <s v="대외계"/>
    <x v="6"/>
    <s v="하남센터"/>
    <s v="경기도 하남시 미사강변한강로 177 (망월동, KDB Digital Square) 전산동 4층"/>
    <s v="서울외국환중개"/>
    <s v="서울 중구 삼일대로 358, 13층 (을지로2가)"/>
    <s v="유지"/>
    <n v="49500.000000000007"/>
    <n v="594000.00000000012"/>
    <n v="49500.000000000007"/>
    <n v="594000.00000000012"/>
    <n v="49500.000000000007"/>
  </r>
  <r>
    <x v="1"/>
    <s v="대외계"/>
    <x v="6"/>
    <s v="하남센터"/>
    <s v="경기도 하남시 미사강변한강로 177 (망월동, KDB Digital Square) 전산동 4층"/>
    <s v="한국자금중개"/>
    <s v="서울 영등포구 여의대로 14, 20층 (여의도동, KT빌딩)"/>
    <s v="유지"/>
    <n v="49500.000000000007"/>
    <n v="594000.00000000012"/>
    <n v="49500.000000000007"/>
    <n v="594000.00000000012"/>
    <n v="49500.000000000007"/>
  </r>
  <r>
    <x v="1"/>
    <s v="대외계"/>
    <x v="5"/>
    <s v="하남센터"/>
    <s v="경기도 하남시 미사강변한강로 177 (망월동, KDB Digital Square) 전산동 4층"/>
    <s v="주택금융공사"/>
    <s v="서울 마포구 월드컵북로54길 17, 오피스동 7층 (상암동, 사보이시티DMC)"/>
    <s v="유지"/>
    <n v="46200.000000000007"/>
    <n v="554400.00000000012"/>
    <n v="46200.000000000007"/>
    <n v="554400.00000000012"/>
    <n v="46200.000000000007"/>
  </r>
  <r>
    <x v="1"/>
    <s v="대외계"/>
    <x v="6"/>
    <s v="하남센터"/>
    <s v="경기도 하남시 미사강변한강로 177 (망월동, KDB Digital Square) 전산동 4층"/>
    <s v="신용보증재단중앙회"/>
    <s v="대전 서구 한밭대로 713, 나리키움 대전센터 1 14층 (월평동)"/>
    <s v="유지"/>
    <n v="49500.000000000007"/>
    <n v="594000.00000000012"/>
    <n v="49500.000000000007"/>
    <n v="594000.00000000012"/>
    <n v="49500.000000000007"/>
  </r>
  <r>
    <x v="1"/>
    <s v="대외계"/>
    <x v="4"/>
    <s v="하남센터"/>
    <s v="경기도 하남시 미사강변한강로 177 (망월동, KDB Digital Square) 전산동 4층"/>
    <s v="경기신용보증재단"/>
    <s v="경기 수원시 영통구 광교로 107 본관 2층 (이의동, 경기도중소기업지원센터)"/>
    <s v="유지"/>
    <n v="39050"/>
    <n v="468600"/>
    <n v="39050"/>
    <n v="468600"/>
    <n v="39050"/>
  </r>
  <r>
    <x v="1"/>
    <s v="대외계"/>
    <x v="5"/>
    <s v="하남센터"/>
    <s v="경기도 하남시 미사강변한강로 177 (망월동, KDB Digital Square) 전산동 4층"/>
    <s v="씽크에이티(2채널인증)"/>
    <s v="서울시 금천구 가산동 459-9 LGU+ IDC센터"/>
    <s v="유지"/>
    <n v="46200.000000000007"/>
    <n v="554400.00000000012"/>
    <n v="46200.000000000007"/>
    <n v="554400.00000000012"/>
    <n v="46200.000000000007"/>
  </r>
  <r>
    <x v="1"/>
    <s v="대외계"/>
    <x v="6"/>
    <s v="하남센터"/>
    <s v="경기도 하남시 미사강변한강로 177 (망월동, KDB Digital Square) 전산동 4층"/>
    <s v="씽크에이티(2채널인증)"/>
    <s v="서울 마포구 월드컵북로 416 상암 9층 하위국 이전 (상암동, (주)엘지유플러스)"/>
    <s v="유지"/>
    <n v="49500.000000000007"/>
    <n v="594000.00000000012"/>
    <n v="49500.000000000007"/>
    <n v="594000.00000000012"/>
    <n v="49500.000000000007"/>
  </r>
  <r>
    <x v="1"/>
    <s v="대외계"/>
    <x v="6"/>
    <s v="하남센터"/>
    <s v="경기도 하남시 미사강변한강로 177 (망월동, KDB Digital Square) 전산동 4층"/>
    <s v="세틀뱅크"/>
    <s v="서울시 강남구 역삼동 646-1 세종텔레콤"/>
    <s v="유지"/>
    <n v="49500.000000000007"/>
    <n v="594000.00000000012"/>
    <n v="49500.000000000007"/>
    <n v="594000.00000000012"/>
    <n v="49500.000000000007"/>
  </r>
  <r>
    <x v="1"/>
    <s v="대외계"/>
    <x v="4"/>
    <s v="하남센터"/>
    <s v="경기도 하남시 미사강변한강로 177 (망월동, KDB Digital Square) 전산동 4층"/>
    <s v="롯데카드"/>
    <s v="경기 용인시 기흥구 마북로240번길 17-9, 현대정보기술연구소 3층 롯데카드DR (설변) (마북동)"/>
    <s v="유지"/>
    <n v="39050"/>
    <n v="468600"/>
    <n v="39050"/>
    <n v="468600"/>
    <n v="39050"/>
  </r>
  <r>
    <x v="1"/>
    <s v="대외계"/>
    <x v="5"/>
    <s v="하남센터"/>
    <s v="경기도 하남시 미사강변한강로 177 (망월동, KDB Digital Square) 전산동 4층"/>
    <s v="효성FMS(펌뱅킹)"/>
    <s v="경기도 성남시 분당구 야탑동 331-1번지 호스트웨이 IDC5층"/>
    <s v="유지"/>
    <n v="46200.000000000007"/>
    <n v="554400.00000000012"/>
    <n v="46200.000000000007"/>
    <n v="554400.00000000012"/>
    <n v="46200.000000000007"/>
  </r>
  <r>
    <x v="1"/>
    <s v="대외계"/>
    <x v="4"/>
    <s v="하남센터"/>
    <s v="경기도 하남시 미사강변한강로 177 (망월동, KDB Digital Square) 전산동 4층"/>
    <s v="삼성화재(펌뱅킹)"/>
    <s v="경기 과천시 별양상가3로 8, 8층 (설변) (별양동, 삼성데이타)"/>
    <s v="유지"/>
    <n v="39050"/>
    <n v="468600"/>
    <n v="39050"/>
    <n v="468600"/>
    <n v="39050"/>
  </r>
  <r>
    <x v="1"/>
    <s v="대외계"/>
    <x v="6"/>
    <s v="하남센터"/>
    <s v="경기도 하남시 미사강변한강로 177 (망월동, KDB Digital Square) 전산동 4층"/>
    <s v="서울신용보증재단"/>
    <s v="서울시 마포구 공덕동 168번지"/>
    <s v="유지"/>
    <n v="49500.000000000007"/>
    <n v="594000.00000000012"/>
    <n v="49500.000000000007"/>
    <n v="594000.00000000012"/>
    <n v="49500.000000000007"/>
  </r>
  <r>
    <x v="1"/>
    <s v="대외계"/>
    <x v="6"/>
    <s v="하남센터"/>
    <s v="경기도 하남시 미사강변한강로 177 (망월동, KDB Digital Square) 전산동 4층"/>
    <s v="서울신용보증재단"/>
    <s v="서울특별시 영등포구 여의도동 25-6 [D]강남여의국사"/>
    <s v="유지"/>
    <n v="49500.000000000007"/>
    <n v="594000.00000000012"/>
    <n v="49500.000000000007"/>
    <n v="594000.00000000012"/>
    <n v="49500.000000000007"/>
  </r>
  <r>
    <x v="1"/>
    <s v="대외계"/>
    <x v="4"/>
    <s v="하남센터"/>
    <s v="경기도 하남시 미사강변한강로 177 (망월동, KDB Digital Square) 전산동 4층"/>
    <s v="SGI서울보증보험"/>
    <s v="서울 종로구 김상옥로 29 서울보증보험 6층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우체국(금융)"/>
    <s v="서울 중구 충무로1가 21번지 서울지방우정청 5층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우체국(금융)"/>
    <s v="서울 중구 충무로1가 21번지 서울지방우정청 5층"/>
    <s v="유지"/>
    <n v="39050"/>
    <n v="468600"/>
    <n v="39050"/>
    <n v="468600"/>
    <n v="39050"/>
  </r>
  <r>
    <x v="1"/>
    <s v="대외계"/>
    <x v="4"/>
    <s v="하남센터"/>
    <s v="경기도 하남시 미사강변한강로 177 (망월동, KDB Digital Square) 전산동 4층"/>
    <s v="LG유플러스"/>
    <s v="경기 안양시 만안구 덕천로48번길 37 안양사옥 (안양동)"/>
    <s v="유지"/>
    <n v="39050"/>
    <n v="468600"/>
    <n v="39050"/>
    <n v="468600"/>
    <n v="39050"/>
  </r>
  <r>
    <x v="1"/>
    <s v="대외계"/>
    <x v="5"/>
    <s v="하남센터"/>
    <s v="경기도 하남시 미사강변한강로 177 (망월동, KDB Digital Square) 전산동 4층"/>
    <s v="KIBNET, 쿠콘"/>
    <s v="서울 양천구 목1동924-4 목동인터넷컴퓨팅센터 KT ICC센터 3층 웹케시"/>
    <s v="유지"/>
    <n v="46200.000000000007"/>
    <n v="554400.00000000012"/>
    <n v="46200.000000000007"/>
    <n v="554400.00000000012"/>
    <n v="46200.000000000007"/>
  </r>
  <r>
    <x v="1"/>
    <s v="대외계"/>
    <x v="5"/>
    <s v="하남센터"/>
    <s v="경기도 하남시 미사강변한강로 177 (망월동, KDB Digital Square) 전산동 4층"/>
    <s v="LG CNS"/>
    <s v="서울 마포구 월드컵북로 424 3층 (상암동, LGCNS상암IT센터)"/>
    <s v="유지"/>
    <n v="46200.000000000007"/>
    <n v="554400.00000000012"/>
    <n v="46200.000000000007"/>
    <n v="554400.00000000012"/>
    <n v="46200.000000000007"/>
  </r>
  <r>
    <x v="1"/>
    <s v="대외계"/>
    <x v="4"/>
    <s v="하남센터"/>
    <s v="경기도 하남시 미사강변한강로 177 (망월동, KDB Digital Square) 전산동 4층"/>
    <s v="EC뱅크"/>
    <s v="서울 영등포구 선유로 70, 801호 (문래동3가, 우리벤처타운2)"/>
    <s v="유지"/>
    <n v="39050"/>
    <n v="468600"/>
    <n v="39050"/>
    <n v="468600"/>
    <n v="39050"/>
  </r>
  <r>
    <x v="1"/>
    <s v="대외계"/>
    <x v="5"/>
    <s v="하남센터"/>
    <s v="경기도 하남시 미사강변한강로 177 (망월동, KDB Digital Square) 전산동 4층"/>
    <s v="한국정보통신진흥협회(KAIT)"/>
    <s v="서울 강남구 역삼로 111, 10층 (역삼동, 대세빌딩)"/>
    <s v="유지"/>
    <n v="46200.000000000007"/>
    <n v="554400.00000000012"/>
    <n v="46200.000000000007"/>
    <n v="554400.00000000012"/>
    <n v="46200.000000000007"/>
  </r>
  <r>
    <x v="1"/>
    <s v="대외계"/>
    <x v="6"/>
    <s v="하남센터"/>
    <s v="경기도 하남시 미사강변한강로 177 (망월동, KDB Digital Square) 전산동 4층"/>
    <s v="금융투자협회"/>
    <s v="서울 영등포구 의사당대로 143, 2층 (여의도동) 금융투자협회"/>
    <s v="유지"/>
    <n v="49500.000000000007"/>
    <n v="594000.00000000012"/>
    <n v="49500.000000000007"/>
    <n v="594000.00000000012"/>
    <n v="49500.000000000007"/>
  </r>
  <r>
    <x v="1"/>
    <s v="대외계"/>
    <x v="6"/>
    <s v="하남센터"/>
    <s v="경기도 하남시 미사강변한강로 177 (망월동, KDB Digital Square) 전산동 4층"/>
    <s v="금융투자협회"/>
    <s v="서울 영등포구 의사당대로 143, 2층 (여의도동) 금융투자협회"/>
    <s v="유지"/>
    <n v="49500.000000000007"/>
    <n v="594000.00000000012"/>
    <n v="49500.000000000007"/>
    <n v="594000.00000000012"/>
    <n v="49500.000000000007"/>
  </r>
  <r>
    <x v="1"/>
    <s v="대외계"/>
    <x v="8"/>
    <s v="하남센터"/>
    <s v="경기도 하남시 미사강변한강로 177 (망월동, KDB Digital Square) 전산동 4층"/>
    <s v="국가정보망"/>
    <s v="서울 종로구 사직로 8길 60 별관 4층 전산실"/>
    <s v="유지"/>
    <n v="220000.00000000003"/>
    <n v="2640000.0000000005"/>
    <n v="220000.00000000003"/>
    <n v="2640000.0000000005"/>
    <n v="220000.00000000003"/>
  </r>
  <r>
    <x v="1"/>
    <s v="대외계"/>
    <x v="8"/>
    <s v="하남센터"/>
    <s v="경기도 하남시 미사강변한강로 177 (망월동, KDB Digital Square) 전산동 4층"/>
    <s v="국가정보망"/>
    <s v="서울 종로구 사직로 8길 60 별관 4층 전산실"/>
    <s v="유지"/>
    <n v="220000.00000000003"/>
    <n v="2640000.0000000005"/>
    <n v="220000.00000000003"/>
    <n v="2640000.0000000005"/>
    <n v="220000.00000000003"/>
  </r>
  <r>
    <x v="1"/>
    <s v="대외계"/>
    <x v="9"/>
    <s v="하남센터"/>
    <s v="경기도 하남시 미사강변한강로 177 (망월동, KDB Digital Square) 전산동 4층"/>
    <s v="KDB캐피탈"/>
    <s v="서울 영등포구 은행로 30, 9층 IT지원실. (여의도동, 중소기업중앙회)"/>
    <s v="유지"/>
    <n v="110000.00000000001"/>
    <n v="1320000.0000000002"/>
    <n v="110000.00000000001"/>
    <n v="1320000.0000000002"/>
    <n v="110000.00000000001"/>
  </r>
  <r>
    <x v="1"/>
    <s v="대외계"/>
    <x v="3"/>
    <s v="하남센터"/>
    <s v="경기도 하남시 미사강변한강로 177 (망월동, KDB Digital Square) 전산동 4층"/>
    <s v="행정자치부"/>
    <s v="서울 종로구 세종대로 209 본관 지하1층 (세종로)"/>
    <s v="유지"/>
    <n v="55000.000000000007"/>
    <n v="660000.00000000012"/>
    <n v="55000.000000000007"/>
    <n v="660000.00000000012"/>
    <n v="55000.000000000007"/>
  </r>
  <r>
    <x v="1"/>
    <s v="대외계"/>
    <x v="5"/>
    <s v="하남센터"/>
    <s v="경기도 하남시 미사강변한강로 177 (망월동, KDB Digital Square) 전산동 4층"/>
    <s v="더존"/>
    <s v="서울시 강남구 언주로30길 13 대림아크로텔 5층, KINX 도곡IDC"/>
    <s v="유지"/>
    <n v="46200.000000000007"/>
    <n v="554400.00000000012"/>
    <n v="46200.000000000007"/>
    <n v="554400.00000000012"/>
    <n v="46200.000000000007"/>
  </r>
  <r>
    <x v="1"/>
    <s v="대외계"/>
    <x v="6"/>
    <s v="하남센터"/>
    <s v="경기도 하남시 미사강변한강로 177 (망월동, KDB Digital Square) 전산동 4층"/>
    <s v="한국은행"/>
    <s v="서울시 강남구 테헤란로 202, 금융결제원통신실 6층. (역삼동,한국은행강남본부)"/>
    <s v="유지"/>
    <n v="49500.000000000007"/>
    <n v="594000.00000000012"/>
    <n v="49500.000000000007"/>
    <n v="594000.00000000012"/>
    <n v="49500.000000000007"/>
  </r>
  <r>
    <x v="1"/>
    <s v="대외계"/>
    <x v="6"/>
    <s v="하남센터"/>
    <s v="경기도 하남시 미사강변한강로 177 (망월동, KDB Digital Square) 전산동 4층"/>
    <s v="금융결제원 역삼"/>
    <s v="서울 강남구 테헤란로 202 금융결제원 통신실"/>
    <s v="유지"/>
    <n v="49500.000000000007"/>
    <n v="594000.00000000012"/>
    <n v="49500.000000000007"/>
    <n v="594000.00000000012"/>
    <n v="49500.000000000007"/>
  </r>
  <r>
    <x v="1"/>
    <s v="대외계"/>
    <x v="6"/>
    <s v="하남센터"/>
    <s v="경기도 하남시 미사강변한강로 177 (망월동, KDB Digital Square) 전산동 4층"/>
    <s v="금융결제원 분당"/>
    <s v="경기 성남시 분당구 정자일로213번길 9 금융결제원 분당센터 7층 (정자동)"/>
    <s v="유지"/>
    <n v="49500.000000000007"/>
    <n v="594000.00000000012"/>
    <n v="49500.000000000007"/>
    <n v="594000.00000000012"/>
    <n v="49500.000000000007"/>
  </r>
  <r>
    <x v="1"/>
    <s v="대외계"/>
    <x v="2"/>
    <s v="하남센터"/>
    <s v="경기도 하남시 미사강변한강로 177 (망월동, KDB Digital Square) 전산동 4층"/>
    <s v="네이버"/>
    <s v="경기도 안양시 동안구 시민대로327번길 29, 평촌메가센터4층 B-B03-R19-3 네이버클라우드 플랫폼내"/>
    <s v="유지"/>
    <n v="154000"/>
    <n v="1848000"/>
    <n v="154000"/>
    <n v="1848000"/>
    <n v="154000"/>
  </r>
  <r>
    <x v="1"/>
    <s v="대외계"/>
    <x v="5"/>
    <s v="하남센터"/>
    <s v="경기도 하남시 미사강변한강로 177 (망월동, KDB Digital Square) 전산동 4층"/>
    <s v="이지스엔터프라이즈"/>
    <s v="서울시 강남구 언주로 517, KT IDC7층 이지스 엔터프라이즈 (역삼동,KT영동지사, 신라 스테이호텔)"/>
    <s v="유지"/>
    <n v="200200.00000000003"/>
    <n v="2402400.0000000005"/>
    <n v="200200.00000000003"/>
    <n v="2402400.0000000005"/>
    <n v="200200.00000000003"/>
  </r>
  <r>
    <x v="1"/>
    <s v="대외계"/>
    <x v="5"/>
    <s v="하남센터"/>
    <s v="경기도 하남시 미사강변한강로 177 (망월동, KDB Digital Square) 전산동 4층"/>
    <s v="Toss증권"/>
    <s v="서울시 강남구 언주로 616, KIDC빌딩 10층 (논현동,엘지유플러스논현IDC)"/>
    <s v="유지"/>
    <n v="46200.000000000007"/>
    <n v="554400.00000000012"/>
    <n v="46200.000000000007"/>
    <n v="554400.00000000012"/>
    <n v="46200.000000000007"/>
  </r>
  <r>
    <x v="1"/>
    <s v="대외계"/>
    <x v="10"/>
    <s v="하남센터"/>
    <s v="경기도 하남시 미사강변한강로 177 (망월동, KDB Digital Square) 전산동 4층"/>
    <s v="예탁결제원"/>
    <s v="부산시 남구 문현금융로 40 부산국제금융센터 5층"/>
    <s v="유지"/>
    <n v="220000"/>
    <n v="2640000"/>
    <n v="220000"/>
    <n v="2640000"/>
    <n v="220000.00000000003"/>
  </r>
  <r>
    <x v="1"/>
    <s v="대외계"/>
    <x v="1"/>
    <s v="하남센터"/>
    <s v="경기도 하남시 미사강변한강로 177 (망월동, KDB Digital Square) 전산동 4층"/>
    <s v="엠엔와이즈"/>
    <s v="서울시 금천구 가산동 459-9 LGU+ IDC센터"/>
    <s v="유지"/>
    <n v="82500"/>
    <n v="990000"/>
    <n v="82500"/>
    <n v="990000"/>
    <n v="82500"/>
  </r>
  <r>
    <x v="1"/>
    <s v="대외계"/>
    <x v="1"/>
    <s v="하남센터"/>
    <s v="경기도 하남시 미사강변한강로 177 (망월동, KDB Digital Square) 전산동 4층"/>
    <s v="엠엔와이즈"/>
    <s v="서울시 금천구 가산동 459-9 LGU+ IDC센터"/>
    <s v="유지"/>
    <n v="82500"/>
    <n v="990000"/>
    <n v="82500"/>
    <n v="990000"/>
    <n v="82500"/>
  </r>
  <r>
    <x v="1"/>
    <s v="대외계"/>
    <x v="6"/>
    <s v="하남센터"/>
    <s v="경기도 하남시 미사강변한강로 177 (망월동, KDB Digital Square) 전산동 4층"/>
    <s v="KEB하나은행"/>
    <s v="인천 서구 에코로 167 하나금융그룹 통합데이터센터 6층"/>
    <s v="유지"/>
    <n v="49500"/>
    <n v="594000"/>
    <n v="49500"/>
    <n v="594000"/>
    <n v="49500.000000000007"/>
  </r>
  <r>
    <x v="1"/>
    <s v="대외계"/>
    <x v="3"/>
    <s v="하남센터"/>
    <s v="경기도 하남시 미사강변한강로 177 (망월동, KDB Digital Square) 전산동 4층"/>
    <s v="카카오페이"/>
    <s v="서울 금천구 가산디지털1로 189 LG CNS IDC 5F"/>
    <s v="해지"/>
    <n v="55000"/>
    <n v="660000"/>
    <n v="55000"/>
    <n v="660000"/>
    <n v="0"/>
  </r>
  <r>
    <x v="1"/>
    <s v="대외계"/>
    <x v="5"/>
    <s v="하남센터"/>
    <s v="경기도 하남시 미사강변한강로 177 (망월동, KDB Digital Square) 전산동 4층"/>
    <s v="하나카드_(청라)"/>
    <s v="인천 서구 에코로 167 하나금융그룹 통합데이터센터 3층 하나카드"/>
    <s v="유지"/>
    <n v="46200"/>
    <n v="554400"/>
    <n v="46200"/>
    <n v="554400"/>
    <n v="46200.000000000007"/>
  </r>
  <r>
    <x v="1"/>
    <s v="대외계"/>
    <x v="5"/>
    <s v="하남센터"/>
    <s v="경기도 하남시 미사강변한강로 177 (망월동, KDB Digital Square) 전산동 4층"/>
    <s v="하나카드_(송도)"/>
    <s v="인천 연수구 송도동 11-90번지 CJ IDC 4층"/>
    <s v="유지"/>
    <n v="46200"/>
    <n v="554400"/>
    <n v="46200"/>
    <n v="554400"/>
    <n v="46200.000000000007"/>
  </r>
  <r>
    <x v="1"/>
    <s v="대외계"/>
    <x v="6"/>
    <s v="여의도센터"/>
    <s v="서울 영등포구 은행로 22 별관 5층"/>
    <s v="KEB하나은행"/>
    <s v="인천 서구 에코로 167 하나금융그룹 통합데이터센터 6층"/>
    <s v="유지"/>
    <n v="49500"/>
    <n v="594000"/>
    <n v="49500"/>
    <n v="594000"/>
    <n v="49500"/>
  </r>
  <r>
    <x v="1"/>
    <s v="대외계"/>
    <x v="6"/>
    <s v="하남센터"/>
    <s v="경기도 하남시 미사강변한강로 177 (망월동, KDB Digital Square) 전산동 4층"/>
    <s v="한국전자인증"/>
    <s v="경기 수원시 영통구 광교로 145 차세대융합기술연구원 A동 6층"/>
    <s v="유지"/>
    <n v="49500"/>
    <n v="594000"/>
    <n v="49500"/>
    <n v="594000"/>
    <n v="49500.000000000007"/>
  </r>
  <r>
    <x v="1"/>
    <s v="대외계"/>
    <x v="1"/>
    <s v="하남센터"/>
    <s v="경기도 하남시 미사강변한강로 177 (망월동, KDB Digital Square) 전산동 4층"/>
    <s v="한국평가데이터(KoDATA)"/>
    <s v="경기도 용인시 기흥구 마북동1번지8호 롯데정보기술 DATA센터"/>
    <s v="유지"/>
    <m/>
    <m/>
    <n v="82500"/>
    <n v="990000"/>
    <n v="82500"/>
  </r>
  <r>
    <x v="1"/>
    <s v="대외계"/>
    <x v="3"/>
    <s v="하남센터"/>
    <s v="경기도 하남시 미사강변한강로 177 (망월동, KDB Digital Square) 전산동 4층"/>
    <s v="금융투자협회(동부IDC)"/>
    <s v="경기도 용인시 수지구 죽전 1동 산 25-13 (동부화재데이터센터)"/>
    <s v="해지"/>
    <m/>
    <m/>
    <n v="55000"/>
    <n v="66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17" firstHeaderRow="0" firstDataRow="1" firstDataCol="1"/>
  <pivotFields count="13"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12">
        <item x="0"/>
        <item x="10"/>
        <item x="8"/>
        <item x="6"/>
        <item x="9"/>
        <item x="3"/>
        <item x="2"/>
        <item x="1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dataField="1" showAll="0"/>
  </pivotFields>
  <rowFields count="2">
    <field x="0"/>
    <field x="2"/>
  </rowFields>
  <rowItems count="14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개수 : 용도" fld="1" subtotal="count" baseField="0" baseItem="0"/>
    <dataField name="합계 : (24년) 월 회선비_x000a_(VAT 포함)" fld="12" baseField="0" baseItem="0" numFmtId="41"/>
  </dataFields>
  <formats count="8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fieldPosition="0">
        <references count="1">
          <reference field="2" count="1">
            <x v="9"/>
          </reference>
        </references>
      </pivotArea>
    </format>
    <format dxfId="5">
      <pivotArea collapsedLevelsAreSubtotals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4">
      <pivotArea collapsedLevelsAreSubtotals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2">
          <reference field="0" count="1" selected="0">
            <x v="1"/>
          </reference>
          <reference field="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dataOnly="0" labelOnly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0">
      <pivotArea dataOnly="0" labelOnly="1" fieldPosition="0">
        <references count="2">
          <reference field="0" count="1" selected="0">
            <x v="1"/>
          </reference>
          <reference field="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47"/>
  <sheetViews>
    <sheetView tabSelected="1" topLeftCell="A10" zoomScaleNormal="100" workbookViewId="0">
      <selection activeCell="J56" sqref="J56"/>
    </sheetView>
  </sheetViews>
  <sheetFormatPr defaultRowHeight="17"/>
  <cols>
    <col min="1" max="1" width="2.5" customWidth="1"/>
    <col min="2" max="2" width="3.58203125" customWidth="1"/>
    <col min="3" max="3" width="10.08203125" customWidth="1"/>
    <col min="4" max="4" width="14.83203125" customWidth="1"/>
    <col min="5" max="5" width="16.58203125" bestFit="1" customWidth="1"/>
    <col min="6" max="7" width="11.33203125" customWidth="1"/>
    <col min="8" max="8" width="29.5" customWidth="1"/>
    <col min="9" max="9" width="12.83203125" bestFit="1" customWidth="1"/>
    <col min="10" max="10" width="13.83203125" customWidth="1"/>
    <col min="11" max="11" width="13" bestFit="1" customWidth="1"/>
    <col min="12" max="12" width="13" customWidth="1"/>
    <col min="13" max="13" width="14.75" bestFit="1" customWidth="1"/>
    <col min="14" max="14" width="4.33203125" customWidth="1"/>
    <col min="15" max="15" width="2.5" customWidth="1"/>
    <col min="16" max="16" width="16" hidden="1" customWidth="1"/>
    <col min="18" max="18" width="16" bestFit="1" customWidth="1"/>
    <col min="19" max="19" width="14.08203125" style="81" bestFit="1" customWidth="1"/>
    <col min="20" max="20" width="10.83203125" bestFit="1" customWidth="1"/>
    <col min="22" max="22" width="9.33203125" bestFit="1" customWidth="1"/>
  </cols>
  <sheetData>
    <row r="1" spans="2:19" s="34" customFormat="1" ht="15.5" thickBot="1">
      <c r="S1" s="35"/>
    </row>
    <row r="2" spans="2:19" s="34" customFormat="1" ht="25.5"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 t="s">
        <v>219</v>
      </c>
      <c r="S2" s="35"/>
    </row>
    <row r="3" spans="2:19" s="34" customFormat="1" ht="17.5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 t="s">
        <v>220</v>
      </c>
      <c r="S3" s="35"/>
    </row>
    <row r="4" spans="2:19" s="34" customFormat="1" ht="17.5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2" t="s">
        <v>326</v>
      </c>
      <c r="S4" s="35"/>
    </row>
    <row r="5" spans="2:19" s="34" customFormat="1" ht="39.5">
      <c r="B5" s="156" t="s">
        <v>221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43"/>
      <c r="S5" s="35"/>
    </row>
    <row r="6" spans="2:19" s="34" customFormat="1" ht="17.5">
      <c r="B6" s="39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4"/>
      <c r="S6" s="35"/>
    </row>
    <row r="7" spans="2:19" s="34" customFormat="1" ht="17.25" customHeight="1">
      <c r="B7" s="45" t="s">
        <v>222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S7" s="35"/>
    </row>
    <row r="8" spans="2:19" s="34" customFormat="1" ht="17.25" customHeight="1"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S8" s="35"/>
    </row>
    <row r="9" spans="2:19" s="48" customFormat="1" ht="26.25" customHeight="1">
      <c r="B9" s="158" t="s">
        <v>223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60"/>
      <c r="S9" s="49"/>
    </row>
    <row r="10" spans="2:19" s="48" customFormat="1" ht="17.25" customHeight="1"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  <c r="S10" s="49"/>
    </row>
    <row r="11" spans="2:19" s="48" customFormat="1" ht="17.25" customHeight="1">
      <c r="B11" s="50"/>
      <c r="C11" s="53" t="s">
        <v>224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  <c r="S11" s="49"/>
    </row>
    <row r="12" spans="2:19" s="48" customFormat="1" ht="17.25" customHeight="1">
      <c r="B12" s="50"/>
      <c r="C12" s="54"/>
      <c r="E12" s="51"/>
      <c r="F12" s="51"/>
      <c r="G12" s="51"/>
      <c r="H12" s="51"/>
      <c r="I12" s="51"/>
      <c r="J12" s="51"/>
      <c r="K12" s="51"/>
      <c r="L12" s="51"/>
      <c r="M12" s="51"/>
      <c r="N12" s="52"/>
      <c r="P12" s="49"/>
      <c r="S12" s="49"/>
    </row>
    <row r="13" spans="2:19" s="48" customFormat="1" ht="17.25" customHeight="1">
      <c r="B13" s="55"/>
      <c r="C13" s="53" t="s">
        <v>331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  <c r="S13" s="49"/>
    </row>
    <row r="14" spans="2:19" s="48" customFormat="1" ht="17.25" customHeight="1">
      <c r="B14" s="55"/>
      <c r="C14" s="56" t="s">
        <v>225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7"/>
      <c r="S14" s="49"/>
    </row>
    <row r="15" spans="2:19" s="48" customFormat="1" ht="17.25" customHeight="1">
      <c r="B15" s="55"/>
      <c r="C15" s="53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  <c r="S15" s="49"/>
    </row>
    <row r="16" spans="2:19" s="48" customFormat="1" ht="17.25" customHeight="1">
      <c r="B16" s="55"/>
      <c r="C16" s="53" t="s">
        <v>226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S16" s="49"/>
    </row>
    <row r="17" spans="2:23" s="48" customFormat="1" ht="20.5">
      <c r="B17" s="55"/>
      <c r="C17" s="46"/>
      <c r="D17" s="46" t="s">
        <v>227</v>
      </c>
      <c r="E17" s="46"/>
      <c r="F17" s="57"/>
      <c r="G17" s="58"/>
      <c r="H17" s="58" t="str">
        <f>"일금 "&amp;NUMBERSTRING(M33,1)&amp;" 원정"</f>
        <v>일금 이억팔백칠십만일천삼백오십 원정</v>
      </c>
      <c r="I17" s="59" t="s">
        <v>329</v>
      </c>
      <c r="K17" s="46"/>
      <c r="L17" s="46"/>
      <c r="M17" s="46"/>
      <c r="N17" s="47"/>
      <c r="P17" s="60"/>
      <c r="S17" s="49"/>
    </row>
    <row r="18" spans="2:23" s="48" customFormat="1" ht="20.5">
      <c r="B18" s="55"/>
      <c r="C18" s="46"/>
      <c r="D18" s="46" t="s">
        <v>228</v>
      </c>
      <c r="E18" s="46"/>
      <c r="F18" s="46"/>
      <c r="G18" s="46"/>
      <c r="H18" s="61"/>
      <c r="I18" s="46"/>
      <c r="J18" s="46"/>
      <c r="K18" s="46"/>
      <c r="L18" s="46"/>
      <c r="M18" s="46"/>
      <c r="N18" s="47"/>
      <c r="S18" s="49"/>
    </row>
    <row r="19" spans="2:23" s="48" customFormat="1" ht="20.5">
      <c r="B19" s="62"/>
      <c r="C19" s="63"/>
      <c r="D19" s="63"/>
      <c r="E19" s="63"/>
      <c r="F19" s="63"/>
      <c r="G19" s="63"/>
      <c r="H19" s="64"/>
      <c r="I19" s="63"/>
      <c r="J19" s="63"/>
      <c r="K19" s="63"/>
      <c r="L19" s="63"/>
      <c r="M19" s="63"/>
      <c r="N19" s="65"/>
      <c r="P19" s="66"/>
      <c r="S19" s="49"/>
    </row>
    <row r="20" spans="2:23" s="48" customFormat="1">
      <c r="B20" s="62"/>
      <c r="C20" s="67" t="s">
        <v>229</v>
      </c>
      <c r="D20" s="63"/>
      <c r="E20" s="63"/>
      <c r="F20" s="63"/>
      <c r="G20" s="63"/>
      <c r="H20" s="63"/>
      <c r="I20" s="68"/>
      <c r="J20" s="63"/>
      <c r="K20" s="68"/>
      <c r="L20" s="68"/>
      <c r="M20" s="68" t="s">
        <v>230</v>
      </c>
      <c r="N20" s="69"/>
      <c r="S20" s="49"/>
    </row>
    <row r="21" spans="2:23" s="48" customFormat="1">
      <c r="B21" s="62"/>
      <c r="C21" s="161" t="s">
        <v>231</v>
      </c>
      <c r="D21" s="161"/>
      <c r="E21" s="161"/>
      <c r="F21" s="70" t="s">
        <v>4</v>
      </c>
      <c r="G21" s="70" t="s">
        <v>232</v>
      </c>
      <c r="H21" s="70" t="s">
        <v>233</v>
      </c>
      <c r="I21" s="71" t="s">
        <v>234</v>
      </c>
      <c r="J21" s="71" t="s">
        <v>235</v>
      </c>
      <c r="K21" s="71" t="s">
        <v>236</v>
      </c>
      <c r="L21" s="71" t="s">
        <v>237</v>
      </c>
      <c r="M21" s="71" t="s">
        <v>238</v>
      </c>
      <c r="N21" s="65"/>
      <c r="O21" s="68"/>
      <c r="S21" s="49"/>
    </row>
    <row r="22" spans="2:23" s="48" customFormat="1" ht="18" customHeight="1">
      <c r="B22" s="62"/>
      <c r="C22" s="72" t="s">
        <v>9</v>
      </c>
      <c r="D22" s="73" t="s">
        <v>239</v>
      </c>
      <c r="E22" s="73" t="s">
        <v>240</v>
      </c>
      <c r="F22" s="139" t="s">
        <v>11</v>
      </c>
      <c r="G22" s="143">
        <v>2</v>
      </c>
      <c r="H22" s="139" t="s">
        <v>241</v>
      </c>
      <c r="I22" s="140" t="s">
        <v>242</v>
      </c>
      <c r="J22" s="141">
        <v>36</v>
      </c>
      <c r="K22" s="142">
        <v>228800.00000000003</v>
      </c>
      <c r="L22" s="75">
        <f>K22*12</f>
        <v>2745600.0000000005</v>
      </c>
      <c r="M22" s="76">
        <f t="shared" ref="M22:M31" si="0">J22*K22</f>
        <v>8236800.0000000009</v>
      </c>
      <c r="N22" s="65"/>
      <c r="P22" s="49">
        <v>208000</v>
      </c>
      <c r="S22" s="49"/>
    </row>
    <row r="23" spans="2:23" s="34" customFormat="1" ht="18" customHeight="1">
      <c r="B23" s="62"/>
      <c r="C23" s="77" t="s">
        <v>18</v>
      </c>
      <c r="D23" s="78" t="s">
        <v>18</v>
      </c>
      <c r="E23" s="73" t="s">
        <v>243</v>
      </c>
      <c r="F23" s="137" t="s">
        <v>28</v>
      </c>
      <c r="G23" s="138">
        <v>42</v>
      </c>
      <c r="H23" s="139" t="s">
        <v>244</v>
      </c>
      <c r="I23" s="140" t="s">
        <v>242</v>
      </c>
      <c r="J23" s="141">
        <v>36</v>
      </c>
      <c r="K23" s="142">
        <v>1640100</v>
      </c>
      <c r="L23" s="75">
        <f t="shared" ref="L23:L32" si="1">K23*12</f>
        <v>19681200</v>
      </c>
      <c r="M23" s="76">
        <f t="shared" si="0"/>
        <v>59043600</v>
      </c>
      <c r="N23" s="44"/>
      <c r="P23" s="35">
        <v>1562000</v>
      </c>
      <c r="S23" s="35"/>
    </row>
    <row r="24" spans="2:23" ht="18" customHeight="1">
      <c r="B24" s="79"/>
      <c r="C24" s="77"/>
      <c r="D24" s="78"/>
      <c r="E24" s="73"/>
      <c r="F24" s="137" t="s">
        <v>35</v>
      </c>
      <c r="G24" s="138">
        <v>17</v>
      </c>
      <c r="H24" s="139" t="s">
        <v>244</v>
      </c>
      <c r="I24" s="140" t="s">
        <v>242</v>
      </c>
      <c r="J24" s="141">
        <v>36</v>
      </c>
      <c r="K24" s="142">
        <v>939400.00000000012</v>
      </c>
      <c r="L24" s="75">
        <f t="shared" si="1"/>
        <v>11272800.000000002</v>
      </c>
      <c r="M24" s="76">
        <f t="shared" si="0"/>
        <v>33818400.000000007</v>
      </c>
      <c r="N24" s="80"/>
      <c r="P24" s="81">
        <v>770000</v>
      </c>
      <c r="Q24" s="34"/>
      <c r="R24" s="34"/>
      <c r="S24" s="35"/>
      <c r="T24" s="34"/>
      <c r="U24" s="34"/>
      <c r="V24" s="34"/>
      <c r="W24" s="34"/>
    </row>
    <row r="25" spans="2:23" ht="18" customHeight="1">
      <c r="B25" s="79"/>
      <c r="C25" s="77"/>
      <c r="D25" s="78"/>
      <c r="E25" s="73"/>
      <c r="F25" s="139" t="s">
        <v>245</v>
      </c>
      <c r="G25" s="143">
        <v>18</v>
      </c>
      <c r="H25" s="139" t="s">
        <v>244</v>
      </c>
      <c r="I25" s="140" t="s">
        <v>242</v>
      </c>
      <c r="J25" s="141">
        <v>36</v>
      </c>
      <c r="K25" s="142">
        <v>1024100</v>
      </c>
      <c r="L25" s="75">
        <f t="shared" si="1"/>
        <v>12289200</v>
      </c>
      <c r="M25" s="74">
        <f t="shared" si="0"/>
        <v>36867600</v>
      </c>
      <c r="N25" s="80"/>
      <c r="P25" s="81">
        <v>720000</v>
      </c>
      <c r="Q25" s="34"/>
      <c r="R25" s="34"/>
      <c r="S25" s="35"/>
      <c r="T25" s="34"/>
      <c r="U25" s="34"/>
      <c r="V25" s="34"/>
      <c r="W25" s="34"/>
    </row>
    <row r="26" spans="2:23" ht="18" customHeight="1">
      <c r="B26" s="79"/>
      <c r="C26" s="77"/>
      <c r="D26" s="78"/>
      <c r="E26" s="73"/>
      <c r="F26" s="139" t="s">
        <v>246</v>
      </c>
      <c r="G26" s="143">
        <v>8</v>
      </c>
      <c r="H26" s="139" t="s">
        <v>244</v>
      </c>
      <c r="I26" s="140" t="s">
        <v>242</v>
      </c>
      <c r="J26" s="141">
        <v>36</v>
      </c>
      <c r="K26" s="142">
        <v>330000</v>
      </c>
      <c r="L26" s="75">
        <f t="shared" si="1"/>
        <v>3960000</v>
      </c>
      <c r="M26" s="74">
        <f t="shared" si="0"/>
        <v>11880000</v>
      </c>
      <c r="N26" s="80"/>
      <c r="P26" s="81">
        <v>300000</v>
      </c>
      <c r="Q26" s="34"/>
      <c r="R26" s="34"/>
      <c r="S26" s="35"/>
      <c r="T26" s="34"/>
      <c r="U26" s="34"/>
      <c r="V26" s="34"/>
      <c r="W26" s="34"/>
    </row>
    <row r="27" spans="2:23" ht="18" customHeight="1">
      <c r="B27" s="79"/>
      <c r="C27" s="77"/>
      <c r="D27" s="78"/>
      <c r="E27" s="73"/>
      <c r="F27" s="137" t="s">
        <v>247</v>
      </c>
      <c r="G27" s="138">
        <v>5</v>
      </c>
      <c r="H27" s="139" t="s">
        <v>244</v>
      </c>
      <c r="I27" s="140" t="s">
        <v>242</v>
      </c>
      <c r="J27" s="141">
        <v>36</v>
      </c>
      <c r="K27" s="142">
        <v>412500</v>
      </c>
      <c r="L27" s="75">
        <f t="shared" si="1"/>
        <v>4950000</v>
      </c>
      <c r="M27" s="74">
        <f t="shared" si="0"/>
        <v>14850000</v>
      </c>
      <c r="N27" s="80"/>
      <c r="P27" s="81">
        <v>300000</v>
      </c>
      <c r="Q27" s="34"/>
      <c r="R27" s="34"/>
      <c r="S27" s="35"/>
      <c r="T27" s="34"/>
      <c r="U27" s="34"/>
      <c r="V27" s="34"/>
      <c r="W27" s="34"/>
    </row>
    <row r="28" spans="2:23" ht="18" customHeight="1">
      <c r="B28" s="79"/>
      <c r="C28" s="77"/>
      <c r="D28" s="78"/>
      <c r="E28" s="73"/>
      <c r="F28" s="137" t="s">
        <v>327</v>
      </c>
      <c r="G28" s="138">
        <v>1</v>
      </c>
      <c r="H28" s="139" t="s">
        <v>244</v>
      </c>
      <c r="I28" s="140" t="s">
        <v>242</v>
      </c>
      <c r="J28" s="141">
        <v>36</v>
      </c>
      <c r="K28" s="142">
        <f>220000-140861-22779-(10/36)</f>
        <v>56359.722222222219</v>
      </c>
      <c r="L28" s="142">
        <f t="shared" ref="L28" si="2">K28*12</f>
        <v>676316.66666666663</v>
      </c>
      <c r="M28" s="143">
        <f>J28*K28</f>
        <v>2028950</v>
      </c>
      <c r="N28" s="80"/>
      <c r="P28" s="144"/>
      <c r="Q28" s="34"/>
      <c r="R28" s="34"/>
      <c r="S28" s="35"/>
      <c r="T28" s="34"/>
      <c r="U28" s="34"/>
      <c r="V28" s="34"/>
      <c r="W28" s="34"/>
    </row>
    <row r="29" spans="2:23" ht="18" customHeight="1">
      <c r="B29" s="79"/>
      <c r="C29" s="77"/>
      <c r="D29" s="78"/>
      <c r="E29" s="73"/>
      <c r="F29" s="137" t="s">
        <v>248</v>
      </c>
      <c r="G29" s="138">
        <v>1</v>
      </c>
      <c r="H29" s="139" t="s">
        <v>244</v>
      </c>
      <c r="I29" s="140" t="s">
        <v>242</v>
      </c>
      <c r="J29" s="141">
        <v>36</v>
      </c>
      <c r="K29" s="142">
        <v>110000</v>
      </c>
      <c r="L29" s="75">
        <f t="shared" si="1"/>
        <v>1320000</v>
      </c>
      <c r="M29" s="76">
        <f t="shared" si="0"/>
        <v>3960000</v>
      </c>
      <c r="N29" s="80"/>
      <c r="P29" s="81">
        <v>100000</v>
      </c>
      <c r="Q29" s="34"/>
      <c r="R29" s="34"/>
      <c r="S29" s="35"/>
      <c r="T29" s="34"/>
      <c r="U29" s="34"/>
      <c r="V29" s="34"/>
      <c r="W29" s="34"/>
    </row>
    <row r="30" spans="2:23" ht="18" customHeight="1">
      <c r="B30" s="79"/>
      <c r="C30" s="77"/>
      <c r="D30" s="78"/>
      <c r="E30" s="73"/>
      <c r="F30" s="137" t="s">
        <v>192</v>
      </c>
      <c r="G30" s="138">
        <v>2</v>
      </c>
      <c r="H30" s="139" t="s">
        <v>244</v>
      </c>
      <c r="I30" s="140" t="s">
        <v>242</v>
      </c>
      <c r="J30" s="141">
        <v>36</v>
      </c>
      <c r="K30" s="142">
        <v>308000</v>
      </c>
      <c r="L30" s="75">
        <f t="shared" si="1"/>
        <v>3696000</v>
      </c>
      <c r="M30" s="76">
        <f t="shared" si="0"/>
        <v>11088000</v>
      </c>
      <c r="N30" s="80"/>
      <c r="P30" s="81">
        <v>280000</v>
      </c>
      <c r="Q30" s="34"/>
      <c r="R30" s="34"/>
      <c r="S30" s="35"/>
      <c r="T30" s="34"/>
      <c r="U30" s="34"/>
      <c r="V30" s="34"/>
      <c r="W30" s="34"/>
    </row>
    <row r="31" spans="2:23" ht="18" customHeight="1">
      <c r="B31" s="79"/>
      <c r="C31" s="77"/>
      <c r="D31" s="78"/>
      <c r="E31" s="73"/>
      <c r="F31" s="137" t="s">
        <v>308</v>
      </c>
      <c r="G31" s="138">
        <v>1</v>
      </c>
      <c r="H31" s="139" t="s">
        <v>244</v>
      </c>
      <c r="I31" s="140" t="s">
        <v>242</v>
      </c>
      <c r="J31" s="141">
        <v>36</v>
      </c>
      <c r="K31" s="142">
        <v>308000</v>
      </c>
      <c r="L31" s="142">
        <f t="shared" si="1"/>
        <v>3696000</v>
      </c>
      <c r="M31" s="143">
        <f t="shared" si="0"/>
        <v>11088000</v>
      </c>
      <c r="N31" s="80"/>
      <c r="P31" s="144"/>
      <c r="Q31" s="34"/>
      <c r="R31" s="34"/>
      <c r="S31" s="35"/>
      <c r="T31" s="34"/>
      <c r="U31" s="34"/>
      <c r="V31" s="34"/>
      <c r="W31" s="34"/>
    </row>
    <row r="32" spans="2:23" ht="18" customHeight="1">
      <c r="B32" s="79"/>
      <c r="C32" s="77"/>
      <c r="D32" s="78"/>
      <c r="E32" s="73"/>
      <c r="F32" s="137" t="s">
        <v>249</v>
      </c>
      <c r="G32" s="138">
        <v>2</v>
      </c>
      <c r="H32" s="139" t="s">
        <v>244</v>
      </c>
      <c r="I32" s="140" t="s">
        <v>242</v>
      </c>
      <c r="J32" s="141">
        <v>36</v>
      </c>
      <c r="K32" s="142">
        <v>440000.00000000006</v>
      </c>
      <c r="L32" s="75">
        <f t="shared" si="1"/>
        <v>5280000.0000000009</v>
      </c>
      <c r="M32" s="76">
        <f>J32*K32</f>
        <v>15840000.000000002</v>
      </c>
      <c r="N32" s="80"/>
      <c r="P32" s="81">
        <v>400000</v>
      </c>
      <c r="Q32" s="34"/>
      <c r="R32" s="34"/>
      <c r="S32" s="35"/>
      <c r="T32" s="34"/>
      <c r="U32" s="34"/>
      <c r="V32" s="34"/>
      <c r="W32" s="34"/>
    </row>
    <row r="33" spans="2:23">
      <c r="B33" s="79"/>
      <c r="C33" s="25"/>
      <c r="D33" s="25"/>
      <c r="E33" s="25"/>
      <c r="F33" s="25"/>
      <c r="G33" s="82">
        <f>SUM(G22:G32)</f>
        <v>99</v>
      </c>
      <c r="H33" s="25"/>
      <c r="I33" s="25"/>
      <c r="J33" s="25"/>
      <c r="K33" s="83">
        <f>SUM(K22:K32)</f>
        <v>5797259.722222222</v>
      </c>
      <c r="L33" s="83">
        <f>SUM(L22:L32)</f>
        <v>69567116.666666672</v>
      </c>
      <c r="M33" s="83">
        <f>SUM(M22:M32)</f>
        <v>208701350</v>
      </c>
      <c r="N33" s="80"/>
      <c r="P33" s="81">
        <f>SUM(P22:P32)</f>
        <v>4640000</v>
      </c>
      <c r="Q33" s="34"/>
      <c r="R33" s="34"/>
      <c r="S33" s="35"/>
      <c r="T33" s="34"/>
      <c r="U33" s="34"/>
      <c r="V33" s="34"/>
      <c r="W33" s="34"/>
    </row>
    <row r="34" spans="2:23">
      <c r="B34" s="79"/>
      <c r="C34" s="25"/>
      <c r="D34" s="25"/>
      <c r="E34" s="25"/>
      <c r="F34" s="25"/>
      <c r="G34" s="25"/>
      <c r="H34" s="25"/>
      <c r="I34" s="25"/>
      <c r="J34" s="25"/>
      <c r="K34" s="83"/>
      <c r="L34" s="83"/>
      <c r="M34" s="83"/>
      <c r="N34" s="80"/>
      <c r="P34" s="84"/>
      <c r="Q34" s="34"/>
      <c r="R34" s="34"/>
      <c r="S34" s="35"/>
      <c r="T34" s="34"/>
      <c r="U34" s="34"/>
      <c r="V34" s="34"/>
      <c r="W34" s="34"/>
    </row>
    <row r="35" spans="2:23">
      <c r="B35" s="79"/>
      <c r="C35" s="25"/>
      <c r="D35" s="25"/>
      <c r="E35" s="25"/>
      <c r="F35" s="25"/>
      <c r="G35" s="25"/>
      <c r="H35" s="25"/>
      <c r="I35" s="25"/>
      <c r="J35" s="25"/>
      <c r="K35" s="83"/>
      <c r="L35" s="83"/>
      <c r="M35" s="83"/>
      <c r="N35" s="80"/>
      <c r="P35" s="84"/>
      <c r="Q35" s="34"/>
      <c r="R35" s="34"/>
      <c r="S35" s="35"/>
      <c r="T35" s="34"/>
      <c r="U35" s="34"/>
      <c r="V35" s="34"/>
      <c r="W35" s="34"/>
    </row>
    <row r="36" spans="2:23">
      <c r="B36" s="79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83"/>
      <c r="N36" s="80"/>
      <c r="P36" s="84"/>
      <c r="Q36" s="34"/>
      <c r="R36" s="34"/>
      <c r="S36" s="35"/>
      <c r="T36" s="34"/>
      <c r="U36" s="34"/>
      <c r="V36" s="34"/>
      <c r="W36" s="34"/>
    </row>
    <row r="37" spans="2:23" ht="21">
      <c r="B37" s="79"/>
      <c r="C37" s="25"/>
      <c r="D37" s="25"/>
      <c r="E37" s="25"/>
      <c r="F37" s="25"/>
      <c r="G37" s="25"/>
      <c r="H37" s="25"/>
      <c r="I37" s="85" t="s">
        <v>250</v>
      </c>
      <c r="J37" s="63"/>
      <c r="K37" s="25"/>
      <c r="L37" s="25"/>
      <c r="M37" s="86"/>
      <c r="N37" s="80"/>
      <c r="Q37" s="34"/>
      <c r="R37" s="34"/>
      <c r="S37" s="35"/>
      <c r="T37" s="34"/>
      <c r="U37" s="34"/>
      <c r="V37" s="34"/>
      <c r="W37" s="34"/>
    </row>
    <row r="38" spans="2:23" ht="21">
      <c r="B38" s="79"/>
      <c r="C38" s="25"/>
      <c r="D38" s="25"/>
      <c r="E38" s="25"/>
      <c r="F38" s="25"/>
      <c r="G38" s="25"/>
      <c r="H38" s="25"/>
      <c r="I38" s="85" t="s">
        <v>251</v>
      </c>
      <c r="J38" s="63"/>
      <c r="K38" s="25"/>
      <c r="L38" s="25"/>
      <c r="M38" s="25"/>
      <c r="N38" s="80"/>
      <c r="Q38" s="34"/>
      <c r="R38" s="34"/>
      <c r="S38" s="35"/>
      <c r="T38" s="34"/>
      <c r="U38" s="34"/>
      <c r="V38" s="34"/>
      <c r="W38" s="34"/>
    </row>
    <row r="39" spans="2:23" s="48" customFormat="1" ht="21.5" thickBot="1">
      <c r="B39" s="87"/>
      <c r="C39" s="88"/>
      <c r="D39" s="89"/>
      <c r="E39" s="89"/>
      <c r="F39" s="89"/>
      <c r="G39" s="89"/>
      <c r="H39" s="88"/>
      <c r="I39" s="90" t="s">
        <v>330</v>
      </c>
      <c r="J39" s="91"/>
      <c r="K39" s="89"/>
      <c r="L39" s="89"/>
      <c r="M39" s="89"/>
      <c r="N39" s="92"/>
      <c r="O39"/>
      <c r="P39" s="68"/>
      <c r="Q39" s="34"/>
      <c r="R39" s="34"/>
      <c r="S39" s="35"/>
      <c r="T39" s="34"/>
      <c r="U39" s="34"/>
      <c r="V39" s="34"/>
      <c r="W39" s="34"/>
    </row>
    <row r="40" spans="2:23">
      <c r="Q40" s="34"/>
      <c r="R40" s="34"/>
      <c r="S40" s="35"/>
      <c r="T40" s="34"/>
      <c r="U40" s="34"/>
      <c r="V40" s="34"/>
      <c r="W40" s="34"/>
    </row>
    <row r="41" spans="2:23">
      <c r="Q41" s="34"/>
      <c r="R41" s="34"/>
      <c r="S41" s="35"/>
      <c r="T41" s="34"/>
      <c r="U41" s="34"/>
      <c r="V41" s="34"/>
      <c r="W41" s="34"/>
    </row>
    <row r="42" spans="2:23">
      <c r="Q42" s="34"/>
      <c r="R42" s="34"/>
      <c r="S42" s="35"/>
      <c r="T42" s="34"/>
      <c r="U42" s="34"/>
      <c r="V42" s="34"/>
      <c r="W42" s="34"/>
    </row>
    <row r="43" spans="2:23">
      <c r="Q43" s="34"/>
      <c r="R43" s="34"/>
      <c r="S43" s="35"/>
      <c r="T43" s="34"/>
      <c r="U43" s="34"/>
      <c r="V43" s="34"/>
      <c r="W43" s="34"/>
    </row>
    <row r="44" spans="2:23">
      <c r="Q44" s="34"/>
      <c r="R44" s="34"/>
      <c r="S44" s="35"/>
      <c r="T44" s="34"/>
      <c r="U44" s="34"/>
      <c r="V44" s="34"/>
      <c r="W44" s="34"/>
    </row>
    <row r="45" spans="2:23">
      <c r="Q45" s="34"/>
      <c r="R45" s="34"/>
      <c r="S45" s="35"/>
      <c r="T45" s="34"/>
      <c r="U45" s="34"/>
      <c r="V45" s="34"/>
      <c r="W45" s="34"/>
    </row>
    <row r="46" spans="2:23">
      <c r="M46" s="81"/>
      <c r="Q46" s="34"/>
      <c r="R46" s="34"/>
      <c r="S46" s="35"/>
      <c r="T46" s="34"/>
      <c r="U46" s="34"/>
      <c r="V46" s="34"/>
      <c r="W46" s="34"/>
    </row>
    <row r="47" spans="2:23">
      <c r="Q47" s="34"/>
      <c r="R47" s="34"/>
      <c r="S47" s="35"/>
      <c r="T47" s="34"/>
      <c r="U47" s="34"/>
      <c r="V47" s="34"/>
      <c r="W47" s="34"/>
    </row>
  </sheetData>
  <mergeCells count="3">
    <mergeCell ref="B5:M5"/>
    <mergeCell ref="B9:N9"/>
    <mergeCell ref="C21:E21"/>
  </mergeCells>
  <phoneticPr fontId="2" type="noConversion"/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E25" sqref="E25"/>
    </sheetView>
  </sheetViews>
  <sheetFormatPr defaultRowHeight="17"/>
  <cols>
    <col min="1" max="1" width="11.83203125" bestFit="1" customWidth="1"/>
    <col min="2" max="2" width="11.08203125" bestFit="1" customWidth="1"/>
    <col min="3" max="3" width="33" bestFit="1" customWidth="1"/>
    <col min="4" max="8" width="7.33203125" bestFit="1" customWidth="1"/>
    <col min="9" max="15" width="8.5" bestFit="1" customWidth="1"/>
    <col min="16" max="16" width="11.25" bestFit="1" customWidth="1"/>
    <col min="17" max="17" width="7.33203125" bestFit="1" customWidth="1"/>
  </cols>
  <sheetData>
    <row r="3" spans="1:3">
      <c r="A3" s="99" t="s">
        <v>324</v>
      </c>
      <c r="B3" t="s">
        <v>294</v>
      </c>
      <c r="C3" t="s">
        <v>325</v>
      </c>
    </row>
    <row r="4" spans="1:3">
      <c r="A4" s="135" t="s">
        <v>291</v>
      </c>
      <c r="B4" s="151">
        <v>2</v>
      </c>
      <c r="C4" s="84">
        <v>228800.00000000003</v>
      </c>
    </row>
    <row r="5" spans="1:3">
      <c r="A5" s="155" t="s">
        <v>293</v>
      </c>
      <c r="B5" s="152">
        <v>2</v>
      </c>
      <c r="C5" s="153">
        <v>228800.00000000003</v>
      </c>
    </row>
    <row r="6" spans="1:3">
      <c r="A6" s="154" t="s">
        <v>77</v>
      </c>
      <c r="B6" s="152">
        <v>97</v>
      </c>
      <c r="C6" s="153">
        <v>5693050</v>
      </c>
    </row>
    <row r="7" spans="1:3">
      <c r="A7" s="155" t="s">
        <v>313</v>
      </c>
      <c r="B7" s="152">
        <v>1</v>
      </c>
      <c r="C7" s="153">
        <v>220000.00000000003</v>
      </c>
    </row>
    <row r="8" spans="1:3">
      <c r="A8" s="155" t="s">
        <v>249</v>
      </c>
      <c r="B8" s="152">
        <v>2</v>
      </c>
      <c r="C8" s="153">
        <v>440000.00000000006</v>
      </c>
    </row>
    <row r="9" spans="1:3">
      <c r="A9" s="155" t="s">
        <v>245</v>
      </c>
      <c r="B9" s="152">
        <v>18</v>
      </c>
      <c r="C9" s="153">
        <v>1024100</v>
      </c>
    </row>
    <row r="10" spans="1:3">
      <c r="A10" s="155" t="s">
        <v>248</v>
      </c>
      <c r="B10" s="152">
        <v>1</v>
      </c>
      <c r="C10" s="153">
        <v>110000.00000000001</v>
      </c>
    </row>
    <row r="11" spans="1:3">
      <c r="A11" s="155" t="s">
        <v>81</v>
      </c>
      <c r="B11" s="152">
        <v>8</v>
      </c>
      <c r="C11" s="153">
        <v>330000.00000000006</v>
      </c>
    </row>
    <row r="12" spans="1:3">
      <c r="A12" s="155" t="s">
        <v>192</v>
      </c>
      <c r="B12" s="152">
        <v>2</v>
      </c>
      <c r="C12" s="153">
        <v>308000</v>
      </c>
    </row>
    <row r="13" spans="1:3">
      <c r="A13" s="155" t="s">
        <v>247</v>
      </c>
      <c r="B13" s="152">
        <v>5</v>
      </c>
      <c r="C13" s="153">
        <v>412500</v>
      </c>
    </row>
    <row r="14" spans="1:3">
      <c r="A14" s="155" t="s">
        <v>28</v>
      </c>
      <c r="B14" s="152">
        <v>42</v>
      </c>
      <c r="C14" s="153">
        <v>1601050</v>
      </c>
    </row>
    <row r="15" spans="1:3">
      <c r="A15" s="155" t="s">
        <v>35</v>
      </c>
      <c r="B15" s="152">
        <v>17</v>
      </c>
      <c r="C15" s="153">
        <v>939400.00000000012</v>
      </c>
    </row>
    <row r="16" spans="1:3">
      <c r="A16" s="136" t="s">
        <v>323</v>
      </c>
      <c r="B16" s="151">
        <v>1</v>
      </c>
      <c r="C16" s="84">
        <v>308000</v>
      </c>
    </row>
    <row r="17" spans="1:3">
      <c r="A17" s="135" t="s">
        <v>292</v>
      </c>
      <c r="B17" s="151">
        <v>99</v>
      </c>
      <c r="C17" s="84">
        <v>5921850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101"/>
  <sheetViews>
    <sheetView zoomScale="85" zoomScaleNormal="85" workbookViewId="0">
      <pane ySplit="1" topLeftCell="A76" activePane="bottomLeft" state="frozen"/>
      <selection activeCell="R17" sqref="R17"/>
      <selection pane="bottomLeft" activeCell="D108" sqref="D108"/>
    </sheetView>
  </sheetViews>
  <sheetFormatPr defaultColWidth="9" defaultRowHeight="16"/>
  <cols>
    <col min="1" max="1" width="14.08203125" style="23" bestFit="1" customWidth="1"/>
    <col min="2" max="2" width="6.83203125" style="24" customWidth="1"/>
    <col min="3" max="3" width="9" style="23"/>
    <col min="4" max="4" width="13.5" style="23" customWidth="1"/>
    <col min="5" max="5" width="10.25" style="24" customWidth="1"/>
    <col min="6" max="6" width="21.33203125" style="23" customWidth="1"/>
    <col min="7" max="7" width="21" style="23" hidden="1" customWidth="1"/>
    <col min="8" max="8" width="23.75" style="23" bestFit="1" customWidth="1"/>
    <col min="9" max="9" width="42.25" style="15" hidden="1" customWidth="1"/>
    <col min="10" max="10" width="8.5" style="4" customWidth="1"/>
    <col min="11" max="16" width="13.25" style="4" customWidth="1"/>
    <col min="17" max="17" width="9" style="134"/>
    <col min="18" max="18" width="9" style="4"/>
    <col min="19" max="19" width="10.75" style="4" customWidth="1"/>
    <col min="20" max="20" width="46.33203125" style="4" customWidth="1"/>
    <col min="21" max="16384" width="9" style="4"/>
  </cols>
  <sheetData>
    <row r="1" spans="1:20" ht="2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6" t="s">
        <v>8</v>
      </c>
      <c r="J1" s="3" t="s">
        <v>295</v>
      </c>
      <c r="K1" s="3" t="s">
        <v>296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210</v>
      </c>
      <c r="R1" s="3" t="s">
        <v>302</v>
      </c>
      <c r="S1" s="3" t="s">
        <v>303</v>
      </c>
      <c r="T1" s="3" t="s">
        <v>233</v>
      </c>
    </row>
    <row r="2" spans="1:20" ht="17.149999999999999" customHeight="1">
      <c r="A2" s="5" t="s">
        <v>304</v>
      </c>
      <c r="B2" s="6">
        <f>ROW()-1</f>
        <v>1</v>
      </c>
      <c r="C2" s="7" t="s">
        <v>9</v>
      </c>
      <c r="D2" s="7" t="s">
        <v>10</v>
      </c>
      <c r="E2" s="6" t="s">
        <v>11</v>
      </c>
      <c r="F2" s="6" t="s">
        <v>12</v>
      </c>
      <c r="G2" s="8" t="s">
        <v>13</v>
      </c>
      <c r="H2" s="6" t="s">
        <v>14</v>
      </c>
      <c r="I2" s="8" t="s">
        <v>13</v>
      </c>
      <c r="J2" s="100" t="s">
        <v>305</v>
      </c>
      <c r="K2" s="100">
        <v>114400.00000000001</v>
      </c>
      <c r="L2" s="100">
        <f>K2*12</f>
        <v>1372800.0000000002</v>
      </c>
      <c r="M2" s="101">
        <v>114400.00000000001</v>
      </c>
      <c r="N2" s="101">
        <f>M2*12</f>
        <v>1372800.0000000002</v>
      </c>
      <c r="O2" s="102">
        <v>114400.00000000001</v>
      </c>
      <c r="P2" s="103">
        <f t="shared" ref="P2:P65" si="0">O2*12</f>
        <v>1372800.0000000002</v>
      </c>
      <c r="Q2" s="104" t="s">
        <v>209</v>
      </c>
      <c r="R2" s="105">
        <f>O2-M2</f>
        <v>0</v>
      </c>
      <c r="S2" s="105">
        <f>P2-N2</f>
        <v>0</v>
      </c>
      <c r="T2" s="106"/>
    </row>
    <row r="3" spans="1:20" ht="17.149999999999999" customHeight="1">
      <c r="A3" s="5" t="s">
        <v>304</v>
      </c>
      <c r="B3" s="6">
        <f t="shared" ref="B3:B66" si="1">ROW()-1</f>
        <v>2</v>
      </c>
      <c r="C3" s="7" t="s">
        <v>9</v>
      </c>
      <c r="D3" s="7" t="s">
        <v>10</v>
      </c>
      <c r="E3" s="6" t="s">
        <v>11</v>
      </c>
      <c r="F3" s="7" t="s">
        <v>15</v>
      </c>
      <c r="G3" s="9" t="s">
        <v>16</v>
      </c>
      <c r="H3" s="7" t="s">
        <v>17</v>
      </c>
      <c r="I3" s="9" t="s">
        <v>16</v>
      </c>
      <c r="J3" s="100" t="s">
        <v>306</v>
      </c>
      <c r="K3" s="100">
        <v>114400.00000000001</v>
      </c>
      <c r="L3" s="100">
        <f t="shared" ref="L3:L66" si="2">K3*12</f>
        <v>1372800.0000000002</v>
      </c>
      <c r="M3" s="101">
        <v>114400.00000000001</v>
      </c>
      <c r="N3" s="101">
        <f t="shared" ref="N3:N66" si="3">M3*12</f>
        <v>1372800.0000000002</v>
      </c>
      <c r="O3" s="102">
        <v>114400.00000000001</v>
      </c>
      <c r="P3" s="103">
        <f t="shared" si="0"/>
        <v>1372800.0000000002</v>
      </c>
      <c r="Q3" s="104" t="s">
        <v>209</v>
      </c>
      <c r="R3" s="105">
        <f t="shared" ref="R3:S66" si="4">O3-M3</f>
        <v>0</v>
      </c>
      <c r="S3" s="105">
        <f t="shared" si="4"/>
        <v>0</v>
      </c>
      <c r="T3" s="106"/>
    </row>
    <row r="4" spans="1:20" ht="17.149999999999999" customHeight="1">
      <c r="A4" s="5" t="s">
        <v>304</v>
      </c>
      <c r="B4" s="6">
        <f t="shared" si="1"/>
        <v>3</v>
      </c>
      <c r="C4" s="7" t="s">
        <v>18</v>
      </c>
      <c r="D4" s="7" t="s">
        <v>19</v>
      </c>
      <c r="E4" s="10" t="s">
        <v>20</v>
      </c>
      <c r="F4" s="7" t="s">
        <v>21</v>
      </c>
      <c r="G4" s="8" t="s">
        <v>22</v>
      </c>
      <c r="H4" s="11" t="s">
        <v>23</v>
      </c>
      <c r="I4" s="8" t="s">
        <v>24</v>
      </c>
      <c r="J4" s="100" t="s">
        <v>306</v>
      </c>
      <c r="K4" s="100">
        <v>82500</v>
      </c>
      <c r="L4" s="100">
        <f t="shared" si="2"/>
        <v>990000</v>
      </c>
      <c r="M4" s="101">
        <v>82500</v>
      </c>
      <c r="N4" s="101">
        <f t="shared" si="3"/>
        <v>990000</v>
      </c>
      <c r="O4" s="102">
        <v>82500</v>
      </c>
      <c r="P4" s="103">
        <f t="shared" si="0"/>
        <v>990000</v>
      </c>
      <c r="Q4" s="104" t="s">
        <v>209</v>
      </c>
      <c r="R4" s="105">
        <f t="shared" si="4"/>
        <v>0</v>
      </c>
      <c r="S4" s="105">
        <f t="shared" si="4"/>
        <v>0</v>
      </c>
      <c r="T4" s="106"/>
    </row>
    <row r="5" spans="1:20" ht="17.149999999999999" customHeight="1">
      <c r="A5" s="5" t="s">
        <v>304</v>
      </c>
      <c r="B5" s="6">
        <f t="shared" si="1"/>
        <v>4</v>
      </c>
      <c r="C5" s="7" t="s">
        <v>18</v>
      </c>
      <c r="D5" s="7" t="s">
        <v>19</v>
      </c>
      <c r="E5" s="7" t="s">
        <v>25</v>
      </c>
      <c r="F5" s="7" t="s">
        <v>21</v>
      </c>
      <c r="G5" s="8" t="s">
        <v>22</v>
      </c>
      <c r="H5" s="7" t="s">
        <v>26</v>
      </c>
      <c r="I5" s="8" t="s">
        <v>27</v>
      </c>
      <c r="J5" s="100" t="s">
        <v>306</v>
      </c>
      <c r="K5" s="100">
        <v>154000</v>
      </c>
      <c r="L5" s="100">
        <f t="shared" si="2"/>
        <v>1848000</v>
      </c>
      <c r="M5" s="101">
        <v>154000</v>
      </c>
      <c r="N5" s="101">
        <f t="shared" si="3"/>
        <v>1848000</v>
      </c>
      <c r="O5" s="102">
        <v>154000</v>
      </c>
      <c r="P5" s="103">
        <f t="shared" si="0"/>
        <v>1848000</v>
      </c>
      <c r="Q5" s="104" t="s">
        <v>209</v>
      </c>
      <c r="R5" s="105">
        <f t="shared" si="4"/>
        <v>0</v>
      </c>
      <c r="S5" s="105">
        <f t="shared" si="4"/>
        <v>0</v>
      </c>
      <c r="T5" s="106"/>
    </row>
    <row r="6" spans="1:20" ht="17.149999999999999" customHeight="1">
      <c r="A6" s="5" t="s">
        <v>304</v>
      </c>
      <c r="B6" s="6">
        <f t="shared" si="1"/>
        <v>5</v>
      </c>
      <c r="C6" s="10" t="s">
        <v>18</v>
      </c>
      <c r="D6" s="10" t="s">
        <v>19</v>
      </c>
      <c r="E6" s="12" t="s">
        <v>81</v>
      </c>
      <c r="F6" s="12" t="s">
        <v>15</v>
      </c>
      <c r="G6" s="13" t="s">
        <v>16</v>
      </c>
      <c r="H6" s="10" t="s">
        <v>82</v>
      </c>
      <c r="I6" s="27" t="s">
        <v>83</v>
      </c>
      <c r="J6" s="100" t="s">
        <v>306</v>
      </c>
      <c r="K6" s="100">
        <v>55000.000000000007</v>
      </c>
      <c r="L6" s="100">
        <f>K6*12</f>
        <v>660000.00000000012</v>
      </c>
      <c r="M6" s="101">
        <v>55000.000000000007</v>
      </c>
      <c r="N6" s="101">
        <f>M6*12</f>
        <v>660000.00000000012</v>
      </c>
      <c r="O6" s="102">
        <v>55000.000000000007</v>
      </c>
      <c r="P6" s="103">
        <f>O6*12</f>
        <v>660000.00000000012</v>
      </c>
      <c r="Q6" s="104" t="s">
        <v>209</v>
      </c>
      <c r="R6" s="105">
        <f t="shared" si="4"/>
        <v>0</v>
      </c>
      <c r="S6" s="105">
        <f t="shared" si="4"/>
        <v>0</v>
      </c>
      <c r="T6" s="106"/>
    </row>
    <row r="7" spans="1:20" ht="17.149999999999999" customHeight="1">
      <c r="A7" s="5" t="s">
        <v>304</v>
      </c>
      <c r="B7" s="6">
        <f t="shared" si="1"/>
        <v>6</v>
      </c>
      <c r="C7" s="10" t="s">
        <v>18</v>
      </c>
      <c r="D7" s="10" t="s">
        <v>19</v>
      </c>
      <c r="E7" s="12" t="s">
        <v>28</v>
      </c>
      <c r="F7" s="12" t="s">
        <v>12</v>
      </c>
      <c r="G7" s="13" t="s">
        <v>13</v>
      </c>
      <c r="H7" s="12" t="s">
        <v>29</v>
      </c>
      <c r="I7" s="27" t="s">
        <v>30</v>
      </c>
      <c r="J7" s="100" t="s">
        <v>306</v>
      </c>
      <c r="K7" s="100">
        <v>39050</v>
      </c>
      <c r="L7" s="100">
        <f t="shared" si="2"/>
        <v>468600</v>
      </c>
      <c r="M7" s="101">
        <v>39050</v>
      </c>
      <c r="N7" s="101">
        <f t="shared" si="3"/>
        <v>468600</v>
      </c>
      <c r="O7" s="102">
        <v>39050</v>
      </c>
      <c r="P7" s="103">
        <f t="shared" si="0"/>
        <v>468600</v>
      </c>
      <c r="Q7" s="104" t="s">
        <v>209</v>
      </c>
      <c r="R7" s="105">
        <f t="shared" si="4"/>
        <v>0</v>
      </c>
      <c r="S7" s="105">
        <f t="shared" si="4"/>
        <v>0</v>
      </c>
      <c r="T7" s="106"/>
    </row>
    <row r="8" spans="1:20" ht="17.149999999999999" customHeight="1">
      <c r="A8" s="5" t="s">
        <v>304</v>
      </c>
      <c r="B8" s="6">
        <f t="shared" si="1"/>
        <v>7</v>
      </c>
      <c r="C8" s="10" t="s">
        <v>18</v>
      </c>
      <c r="D8" s="10" t="s">
        <v>19</v>
      </c>
      <c r="E8" s="12" t="s">
        <v>28</v>
      </c>
      <c r="F8" s="12" t="s">
        <v>12</v>
      </c>
      <c r="G8" s="13" t="s">
        <v>13</v>
      </c>
      <c r="H8" s="12" t="s">
        <v>31</v>
      </c>
      <c r="I8" s="27" t="s">
        <v>32</v>
      </c>
      <c r="J8" s="100" t="s">
        <v>306</v>
      </c>
      <c r="K8" s="100">
        <v>39050</v>
      </c>
      <c r="L8" s="100">
        <f t="shared" si="2"/>
        <v>468600</v>
      </c>
      <c r="M8" s="101">
        <v>39050</v>
      </c>
      <c r="N8" s="101">
        <f t="shared" si="3"/>
        <v>468600</v>
      </c>
      <c r="O8" s="102">
        <v>39050</v>
      </c>
      <c r="P8" s="103">
        <f t="shared" si="0"/>
        <v>468600</v>
      </c>
      <c r="Q8" s="104" t="s">
        <v>209</v>
      </c>
      <c r="R8" s="105">
        <f t="shared" si="4"/>
        <v>0</v>
      </c>
      <c r="S8" s="105">
        <f t="shared" si="4"/>
        <v>0</v>
      </c>
      <c r="T8" s="106"/>
    </row>
    <row r="9" spans="1:20" ht="17.149999999999999" customHeight="1">
      <c r="A9" s="5" t="s">
        <v>304</v>
      </c>
      <c r="B9" s="6">
        <f t="shared" si="1"/>
        <v>8</v>
      </c>
      <c r="C9" s="10" t="s">
        <v>18</v>
      </c>
      <c r="D9" s="10" t="s">
        <v>19</v>
      </c>
      <c r="E9" s="12" t="s">
        <v>28</v>
      </c>
      <c r="F9" s="12" t="s">
        <v>12</v>
      </c>
      <c r="G9" s="13" t="s">
        <v>13</v>
      </c>
      <c r="H9" s="12" t="s">
        <v>33</v>
      </c>
      <c r="I9" s="27" t="s">
        <v>34</v>
      </c>
      <c r="J9" s="100" t="s">
        <v>306</v>
      </c>
      <c r="K9" s="100">
        <v>39050</v>
      </c>
      <c r="L9" s="100">
        <f t="shared" si="2"/>
        <v>468600</v>
      </c>
      <c r="M9" s="101">
        <v>39050</v>
      </c>
      <c r="N9" s="101">
        <f t="shared" si="3"/>
        <v>468600</v>
      </c>
      <c r="O9" s="102">
        <v>39050</v>
      </c>
      <c r="P9" s="103">
        <f t="shared" si="0"/>
        <v>468600</v>
      </c>
      <c r="Q9" s="104" t="s">
        <v>209</v>
      </c>
      <c r="R9" s="105">
        <f t="shared" si="4"/>
        <v>0</v>
      </c>
      <c r="S9" s="105">
        <f t="shared" si="4"/>
        <v>0</v>
      </c>
      <c r="T9" s="106"/>
    </row>
    <row r="10" spans="1:20" s="21" customFormat="1" ht="17.149999999999999" customHeight="1">
      <c r="A10" s="17" t="s">
        <v>304</v>
      </c>
      <c r="B10" s="18">
        <f t="shared" si="1"/>
        <v>9</v>
      </c>
      <c r="C10" s="22" t="s">
        <v>18</v>
      </c>
      <c r="D10" s="22" t="s">
        <v>19</v>
      </c>
      <c r="E10" s="107" t="s">
        <v>35</v>
      </c>
      <c r="F10" s="107" t="s">
        <v>12</v>
      </c>
      <c r="G10" s="108" t="s">
        <v>13</v>
      </c>
      <c r="H10" s="107" t="s">
        <v>36</v>
      </c>
      <c r="I10" s="109" t="s">
        <v>37</v>
      </c>
      <c r="J10" s="110" t="s">
        <v>306</v>
      </c>
      <c r="K10" s="110">
        <v>46200.000000000007</v>
      </c>
      <c r="L10" s="110">
        <f t="shared" si="2"/>
        <v>554400.00000000012</v>
      </c>
      <c r="M10" s="111">
        <v>46200.000000000007</v>
      </c>
      <c r="N10" s="111">
        <f t="shared" si="3"/>
        <v>554400.00000000012</v>
      </c>
      <c r="O10" s="112">
        <v>46200.000000000007</v>
      </c>
      <c r="P10" s="113">
        <f t="shared" si="0"/>
        <v>554400.00000000012</v>
      </c>
      <c r="Q10" s="114" t="s">
        <v>209</v>
      </c>
      <c r="R10" s="115">
        <f t="shared" si="4"/>
        <v>0</v>
      </c>
      <c r="S10" s="115">
        <f t="shared" si="4"/>
        <v>0</v>
      </c>
      <c r="T10" s="116" t="s">
        <v>307</v>
      </c>
    </row>
    <row r="11" spans="1:20" ht="17.149999999999999" customHeight="1">
      <c r="A11" s="5" t="s">
        <v>304</v>
      </c>
      <c r="B11" s="6">
        <f t="shared" si="1"/>
        <v>10</v>
      </c>
      <c r="C11" s="10" t="s">
        <v>18</v>
      </c>
      <c r="D11" s="10" t="s">
        <v>19</v>
      </c>
      <c r="E11" s="12" t="s">
        <v>35</v>
      </c>
      <c r="F11" s="12" t="s">
        <v>12</v>
      </c>
      <c r="G11" s="13" t="s">
        <v>13</v>
      </c>
      <c r="H11" s="12" t="s">
        <v>38</v>
      </c>
      <c r="I11" s="27" t="s">
        <v>39</v>
      </c>
      <c r="J11" s="100" t="s">
        <v>306</v>
      </c>
      <c r="K11" s="100">
        <v>46200.000000000007</v>
      </c>
      <c r="L11" s="100">
        <f t="shared" si="2"/>
        <v>554400.00000000012</v>
      </c>
      <c r="M11" s="101">
        <v>46200.000000000007</v>
      </c>
      <c r="N11" s="101">
        <f t="shared" si="3"/>
        <v>554400.00000000012</v>
      </c>
      <c r="O11" s="102">
        <v>46200.000000000007</v>
      </c>
      <c r="P11" s="103">
        <f t="shared" si="0"/>
        <v>554400.00000000012</v>
      </c>
      <c r="Q11" s="104" t="s">
        <v>209</v>
      </c>
      <c r="R11" s="105">
        <f t="shared" si="4"/>
        <v>0</v>
      </c>
      <c r="S11" s="105">
        <f t="shared" si="4"/>
        <v>0</v>
      </c>
      <c r="T11" s="106"/>
    </row>
    <row r="12" spans="1:20" ht="17.149999999999999" customHeight="1">
      <c r="A12" s="5" t="s">
        <v>304</v>
      </c>
      <c r="B12" s="6">
        <f t="shared" si="1"/>
        <v>11</v>
      </c>
      <c r="C12" s="10" t="s">
        <v>18</v>
      </c>
      <c r="D12" s="10" t="s">
        <v>19</v>
      </c>
      <c r="E12" s="12" t="s">
        <v>28</v>
      </c>
      <c r="F12" s="12" t="s">
        <v>12</v>
      </c>
      <c r="G12" s="13" t="s">
        <v>13</v>
      </c>
      <c r="H12" s="12" t="s">
        <v>40</v>
      </c>
      <c r="I12" s="27" t="s">
        <v>41</v>
      </c>
      <c r="J12" s="100" t="s">
        <v>306</v>
      </c>
      <c r="K12" s="100">
        <v>39050</v>
      </c>
      <c r="L12" s="100">
        <f t="shared" si="2"/>
        <v>468600</v>
      </c>
      <c r="M12" s="101">
        <v>39050</v>
      </c>
      <c r="N12" s="101">
        <f t="shared" si="3"/>
        <v>468600</v>
      </c>
      <c r="O12" s="102">
        <v>39050</v>
      </c>
      <c r="P12" s="103">
        <f t="shared" si="0"/>
        <v>468600</v>
      </c>
      <c r="Q12" s="104" t="s">
        <v>209</v>
      </c>
      <c r="R12" s="105">
        <f t="shared" si="4"/>
        <v>0</v>
      </c>
      <c r="S12" s="105">
        <f t="shared" si="4"/>
        <v>0</v>
      </c>
      <c r="T12" s="106"/>
    </row>
    <row r="13" spans="1:20" ht="17.149999999999999" customHeight="1">
      <c r="A13" s="5" t="s">
        <v>304</v>
      </c>
      <c r="B13" s="6">
        <f t="shared" si="1"/>
        <v>12</v>
      </c>
      <c r="C13" s="10" t="s">
        <v>18</v>
      </c>
      <c r="D13" s="10" t="s">
        <v>19</v>
      </c>
      <c r="E13" s="12" t="s">
        <v>35</v>
      </c>
      <c r="F13" s="12" t="s">
        <v>12</v>
      </c>
      <c r="G13" s="13" t="s">
        <v>13</v>
      </c>
      <c r="H13" s="12" t="s">
        <v>42</v>
      </c>
      <c r="I13" s="27" t="s">
        <v>43</v>
      </c>
      <c r="J13" s="100" t="s">
        <v>306</v>
      </c>
      <c r="K13" s="100">
        <v>46200.000000000007</v>
      </c>
      <c r="L13" s="100">
        <f t="shared" si="2"/>
        <v>554400.00000000012</v>
      </c>
      <c r="M13" s="101">
        <v>46200.000000000007</v>
      </c>
      <c r="N13" s="101">
        <f t="shared" si="3"/>
        <v>554400.00000000012</v>
      </c>
      <c r="O13" s="102">
        <v>46200.000000000007</v>
      </c>
      <c r="P13" s="103">
        <f t="shared" si="0"/>
        <v>554400.00000000012</v>
      </c>
      <c r="Q13" s="104" t="s">
        <v>209</v>
      </c>
      <c r="R13" s="105">
        <f t="shared" si="4"/>
        <v>0</v>
      </c>
      <c r="S13" s="105">
        <f t="shared" si="4"/>
        <v>0</v>
      </c>
      <c r="T13" s="106"/>
    </row>
    <row r="14" spans="1:20" ht="17.149999999999999" customHeight="1">
      <c r="A14" s="5" t="s">
        <v>304</v>
      </c>
      <c r="B14" s="6">
        <f t="shared" si="1"/>
        <v>13</v>
      </c>
      <c r="C14" s="10" t="s">
        <v>18</v>
      </c>
      <c r="D14" s="10" t="s">
        <v>19</v>
      </c>
      <c r="E14" s="12" t="s">
        <v>28</v>
      </c>
      <c r="F14" s="12" t="s">
        <v>12</v>
      </c>
      <c r="G14" s="13" t="s">
        <v>13</v>
      </c>
      <c r="H14" s="12" t="s">
        <v>44</v>
      </c>
      <c r="I14" s="27" t="s">
        <v>45</v>
      </c>
      <c r="J14" s="100" t="s">
        <v>306</v>
      </c>
      <c r="K14" s="100">
        <v>39050</v>
      </c>
      <c r="L14" s="100">
        <f t="shared" si="2"/>
        <v>468600</v>
      </c>
      <c r="M14" s="101">
        <v>39050</v>
      </c>
      <c r="N14" s="101">
        <f t="shared" si="3"/>
        <v>468600</v>
      </c>
      <c r="O14" s="102">
        <v>39050</v>
      </c>
      <c r="P14" s="103">
        <f t="shared" si="0"/>
        <v>468600</v>
      </c>
      <c r="Q14" s="104" t="s">
        <v>209</v>
      </c>
      <c r="R14" s="105">
        <f t="shared" si="4"/>
        <v>0</v>
      </c>
      <c r="S14" s="105">
        <f t="shared" si="4"/>
        <v>0</v>
      </c>
      <c r="T14" s="106"/>
    </row>
    <row r="15" spans="1:20" ht="17.149999999999999" customHeight="1">
      <c r="A15" s="5" t="s">
        <v>304</v>
      </c>
      <c r="B15" s="6">
        <f t="shared" si="1"/>
        <v>14</v>
      </c>
      <c r="C15" s="10" t="s">
        <v>18</v>
      </c>
      <c r="D15" s="10" t="s">
        <v>19</v>
      </c>
      <c r="E15" s="12" t="s">
        <v>28</v>
      </c>
      <c r="F15" s="12" t="s">
        <v>12</v>
      </c>
      <c r="G15" s="13" t="s">
        <v>13</v>
      </c>
      <c r="H15" s="12" t="s">
        <v>46</v>
      </c>
      <c r="I15" s="27" t="s">
        <v>47</v>
      </c>
      <c r="J15" s="100" t="s">
        <v>306</v>
      </c>
      <c r="K15" s="100">
        <v>39050</v>
      </c>
      <c r="L15" s="100">
        <f t="shared" si="2"/>
        <v>468600</v>
      </c>
      <c r="M15" s="101">
        <v>39050</v>
      </c>
      <c r="N15" s="101">
        <f t="shared" si="3"/>
        <v>468600</v>
      </c>
      <c r="O15" s="102">
        <v>39050</v>
      </c>
      <c r="P15" s="103">
        <f t="shared" si="0"/>
        <v>468600</v>
      </c>
      <c r="Q15" s="104" t="s">
        <v>209</v>
      </c>
      <c r="R15" s="105">
        <f t="shared" si="4"/>
        <v>0</v>
      </c>
      <c r="S15" s="105">
        <f t="shared" si="4"/>
        <v>0</v>
      </c>
      <c r="T15" s="106"/>
    </row>
    <row r="16" spans="1:20" ht="17.149999999999999" customHeight="1">
      <c r="A16" s="5" t="s">
        <v>304</v>
      </c>
      <c r="B16" s="6">
        <f t="shared" si="1"/>
        <v>15</v>
      </c>
      <c r="C16" s="10" t="s">
        <v>18</v>
      </c>
      <c r="D16" s="10" t="s">
        <v>19</v>
      </c>
      <c r="E16" s="12" t="s">
        <v>28</v>
      </c>
      <c r="F16" s="12" t="s">
        <v>12</v>
      </c>
      <c r="G16" s="13" t="s">
        <v>13</v>
      </c>
      <c r="H16" s="12" t="s">
        <v>48</v>
      </c>
      <c r="I16" s="27" t="s">
        <v>49</v>
      </c>
      <c r="J16" s="100" t="s">
        <v>306</v>
      </c>
      <c r="K16" s="100">
        <v>39050</v>
      </c>
      <c r="L16" s="100">
        <f t="shared" si="2"/>
        <v>468600</v>
      </c>
      <c r="M16" s="101">
        <v>39050</v>
      </c>
      <c r="N16" s="101">
        <f t="shared" si="3"/>
        <v>468600</v>
      </c>
      <c r="O16" s="102">
        <v>39050</v>
      </c>
      <c r="P16" s="103">
        <f t="shared" si="0"/>
        <v>468600</v>
      </c>
      <c r="Q16" s="104" t="s">
        <v>209</v>
      </c>
      <c r="R16" s="105">
        <f t="shared" si="4"/>
        <v>0</v>
      </c>
      <c r="S16" s="105">
        <f t="shared" si="4"/>
        <v>0</v>
      </c>
      <c r="T16" s="106"/>
    </row>
    <row r="17" spans="1:20" ht="17.149999999999999" customHeight="1">
      <c r="A17" s="5" t="s">
        <v>304</v>
      </c>
      <c r="B17" s="6">
        <f t="shared" si="1"/>
        <v>16</v>
      </c>
      <c r="C17" s="10" t="s">
        <v>18</v>
      </c>
      <c r="D17" s="10" t="s">
        <v>19</v>
      </c>
      <c r="E17" s="12" t="s">
        <v>28</v>
      </c>
      <c r="F17" s="12" t="s">
        <v>12</v>
      </c>
      <c r="G17" s="13" t="s">
        <v>13</v>
      </c>
      <c r="H17" s="12" t="s">
        <v>50</v>
      </c>
      <c r="I17" s="27" t="s">
        <v>51</v>
      </c>
      <c r="J17" s="100" t="s">
        <v>306</v>
      </c>
      <c r="K17" s="100">
        <v>39050</v>
      </c>
      <c r="L17" s="100">
        <f t="shared" si="2"/>
        <v>468600</v>
      </c>
      <c r="M17" s="101">
        <v>39050</v>
      </c>
      <c r="N17" s="101">
        <f t="shared" si="3"/>
        <v>468600</v>
      </c>
      <c r="O17" s="102">
        <v>39050</v>
      </c>
      <c r="P17" s="103">
        <f t="shared" si="0"/>
        <v>468600</v>
      </c>
      <c r="Q17" s="104" t="s">
        <v>209</v>
      </c>
      <c r="R17" s="105">
        <f t="shared" si="4"/>
        <v>0</v>
      </c>
      <c r="S17" s="105">
        <f t="shared" si="4"/>
        <v>0</v>
      </c>
      <c r="T17" s="106"/>
    </row>
    <row r="18" spans="1:20" ht="17.149999999999999" customHeight="1">
      <c r="A18" s="5" t="s">
        <v>304</v>
      </c>
      <c r="B18" s="6">
        <f t="shared" si="1"/>
        <v>17</v>
      </c>
      <c r="C18" s="10" t="s">
        <v>18</v>
      </c>
      <c r="D18" s="10" t="s">
        <v>19</v>
      </c>
      <c r="E18" s="12" t="s">
        <v>28</v>
      </c>
      <c r="F18" s="12" t="s">
        <v>12</v>
      </c>
      <c r="G18" s="13" t="s">
        <v>13</v>
      </c>
      <c r="H18" s="12" t="s">
        <v>52</v>
      </c>
      <c r="I18" s="27" t="s">
        <v>53</v>
      </c>
      <c r="J18" s="100" t="s">
        <v>306</v>
      </c>
      <c r="K18" s="100">
        <v>39050</v>
      </c>
      <c r="L18" s="100">
        <f t="shared" si="2"/>
        <v>468600</v>
      </c>
      <c r="M18" s="101">
        <v>39050</v>
      </c>
      <c r="N18" s="101">
        <f t="shared" si="3"/>
        <v>468600</v>
      </c>
      <c r="O18" s="102">
        <v>39050</v>
      </c>
      <c r="P18" s="103">
        <f t="shared" si="0"/>
        <v>468600</v>
      </c>
      <c r="Q18" s="104" t="s">
        <v>209</v>
      </c>
      <c r="R18" s="105">
        <f t="shared" si="4"/>
        <v>0</v>
      </c>
      <c r="S18" s="105">
        <f t="shared" si="4"/>
        <v>0</v>
      </c>
      <c r="T18" s="106"/>
    </row>
    <row r="19" spans="1:20" ht="17.149999999999999" customHeight="1">
      <c r="A19" s="5" t="s">
        <v>304</v>
      </c>
      <c r="B19" s="6">
        <f t="shared" si="1"/>
        <v>18</v>
      </c>
      <c r="C19" s="10" t="s">
        <v>18</v>
      </c>
      <c r="D19" s="10" t="s">
        <v>19</v>
      </c>
      <c r="E19" s="12" t="s">
        <v>28</v>
      </c>
      <c r="F19" s="12" t="s">
        <v>12</v>
      </c>
      <c r="G19" s="13" t="s">
        <v>13</v>
      </c>
      <c r="H19" s="12" t="s">
        <v>54</v>
      </c>
      <c r="I19" s="27" t="s">
        <v>55</v>
      </c>
      <c r="J19" s="100" t="s">
        <v>306</v>
      </c>
      <c r="K19" s="100">
        <v>39050</v>
      </c>
      <c r="L19" s="100">
        <f t="shared" si="2"/>
        <v>468600</v>
      </c>
      <c r="M19" s="101">
        <v>39050</v>
      </c>
      <c r="N19" s="101">
        <f t="shared" si="3"/>
        <v>468600</v>
      </c>
      <c r="O19" s="102">
        <v>39050</v>
      </c>
      <c r="P19" s="103">
        <f t="shared" si="0"/>
        <v>468600</v>
      </c>
      <c r="Q19" s="104" t="s">
        <v>209</v>
      </c>
      <c r="R19" s="105">
        <f t="shared" si="4"/>
        <v>0</v>
      </c>
      <c r="S19" s="105">
        <f t="shared" si="4"/>
        <v>0</v>
      </c>
      <c r="T19" s="106"/>
    </row>
    <row r="20" spans="1:20" ht="17.149999999999999" customHeight="1">
      <c r="A20" s="5" t="s">
        <v>304</v>
      </c>
      <c r="B20" s="6">
        <f t="shared" si="1"/>
        <v>19</v>
      </c>
      <c r="C20" s="10" t="s">
        <v>18</v>
      </c>
      <c r="D20" s="10" t="s">
        <v>19</v>
      </c>
      <c r="E20" s="12" t="s">
        <v>28</v>
      </c>
      <c r="F20" s="12" t="s">
        <v>12</v>
      </c>
      <c r="G20" s="13" t="s">
        <v>13</v>
      </c>
      <c r="H20" s="12" t="s">
        <v>56</v>
      </c>
      <c r="I20" s="27" t="s">
        <v>57</v>
      </c>
      <c r="J20" s="100" t="s">
        <v>306</v>
      </c>
      <c r="K20" s="100">
        <v>39050</v>
      </c>
      <c r="L20" s="100">
        <f t="shared" si="2"/>
        <v>468600</v>
      </c>
      <c r="M20" s="101">
        <v>39050</v>
      </c>
      <c r="N20" s="101">
        <f t="shared" si="3"/>
        <v>468600</v>
      </c>
      <c r="O20" s="102">
        <v>39050</v>
      </c>
      <c r="P20" s="103">
        <f t="shared" si="0"/>
        <v>468600</v>
      </c>
      <c r="Q20" s="104" t="s">
        <v>209</v>
      </c>
      <c r="R20" s="105">
        <f t="shared" si="4"/>
        <v>0</v>
      </c>
      <c r="S20" s="105">
        <f t="shared" si="4"/>
        <v>0</v>
      </c>
      <c r="T20" s="106"/>
    </row>
    <row r="21" spans="1:20" ht="17.149999999999999" customHeight="1">
      <c r="A21" s="5" t="s">
        <v>304</v>
      </c>
      <c r="B21" s="6">
        <f t="shared" si="1"/>
        <v>20</v>
      </c>
      <c r="C21" s="10" t="s">
        <v>18</v>
      </c>
      <c r="D21" s="10" t="s">
        <v>19</v>
      </c>
      <c r="E21" s="12" t="s">
        <v>35</v>
      </c>
      <c r="F21" s="12" t="s">
        <v>12</v>
      </c>
      <c r="G21" s="13" t="s">
        <v>13</v>
      </c>
      <c r="H21" s="12" t="s">
        <v>58</v>
      </c>
      <c r="I21" s="27" t="s">
        <v>59</v>
      </c>
      <c r="J21" s="100" t="s">
        <v>306</v>
      </c>
      <c r="K21" s="100">
        <v>46200.000000000007</v>
      </c>
      <c r="L21" s="100">
        <f t="shared" si="2"/>
        <v>554400.00000000012</v>
      </c>
      <c r="M21" s="101">
        <v>46200.000000000007</v>
      </c>
      <c r="N21" s="101">
        <f t="shared" si="3"/>
        <v>554400.00000000012</v>
      </c>
      <c r="O21" s="102">
        <v>46200.000000000007</v>
      </c>
      <c r="P21" s="103">
        <f t="shared" si="0"/>
        <v>554400.00000000012</v>
      </c>
      <c r="Q21" s="104" t="s">
        <v>209</v>
      </c>
      <c r="R21" s="105">
        <f t="shared" si="4"/>
        <v>0</v>
      </c>
      <c r="S21" s="105">
        <f t="shared" si="4"/>
        <v>0</v>
      </c>
      <c r="T21" s="106"/>
    </row>
    <row r="22" spans="1:20" ht="17.149999999999999" customHeight="1">
      <c r="A22" s="5" t="s">
        <v>304</v>
      </c>
      <c r="B22" s="6">
        <f t="shared" si="1"/>
        <v>21</v>
      </c>
      <c r="C22" s="10" t="s">
        <v>18</v>
      </c>
      <c r="D22" s="10" t="s">
        <v>19</v>
      </c>
      <c r="E22" s="12" t="s">
        <v>28</v>
      </c>
      <c r="F22" s="12" t="s">
        <v>12</v>
      </c>
      <c r="G22" s="13" t="s">
        <v>13</v>
      </c>
      <c r="H22" s="12" t="s">
        <v>60</v>
      </c>
      <c r="I22" s="27" t="s">
        <v>61</v>
      </c>
      <c r="J22" s="100" t="s">
        <v>306</v>
      </c>
      <c r="K22" s="100">
        <v>39050</v>
      </c>
      <c r="L22" s="100">
        <f t="shared" si="2"/>
        <v>468600</v>
      </c>
      <c r="M22" s="101">
        <v>39050</v>
      </c>
      <c r="N22" s="101">
        <f t="shared" si="3"/>
        <v>468600</v>
      </c>
      <c r="O22" s="102">
        <v>39050</v>
      </c>
      <c r="P22" s="103">
        <f t="shared" si="0"/>
        <v>468600</v>
      </c>
      <c r="Q22" s="104" t="s">
        <v>209</v>
      </c>
      <c r="R22" s="105">
        <f t="shared" si="4"/>
        <v>0</v>
      </c>
      <c r="S22" s="105">
        <f t="shared" si="4"/>
        <v>0</v>
      </c>
      <c r="T22" s="106"/>
    </row>
    <row r="23" spans="1:20" ht="17.149999999999999" customHeight="1">
      <c r="A23" s="5" t="s">
        <v>304</v>
      </c>
      <c r="B23" s="6">
        <f t="shared" si="1"/>
        <v>22</v>
      </c>
      <c r="C23" s="10" t="s">
        <v>18</v>
      </c>
      <c r="D23" s="10" t="s">
        <v>19</v>
      </c>
      <c r="E23" s="12" t="s">
        <v>28</v>
      </c>
      <c r="F23" s="12" t="s">
        <v>12</v>
      </c>
      <c r="G23" s="13" t="s">
        <v>13</v>
      </c>
      <c r="H23" s="12" t="s">
        <v>62</v>
      </c>
      <c r="I23" s="27" t="s">
        <v>63</v>
      </c>
      <c r="J23" s="100" t="s">
        <v>306</v>
      </c>
      <c r="K23" s="100">
        <v>39050</v>
      </c>
      <c r="L23" s="100">
        <f t="shared" si="2"/>
        <v>468600</v>
      </c>
      <c r="M23" s="101">
        <v>39050</v>
      </c>
      <c r="N23" s="101">
        <f t="shared" si="3"/>
        <v>468600</v>
      </c>
      <c r="O23" s="102">
        <v>39050</v>
      </c>
      <c r="P23" s="103">
        <f t="shared" si="0"/>
        <v>468600</v>
      </c>
      <c r="Q23" s="104" t="s">
        <v>209</v>
      </c>
      <c r="R23" s="105">
        <f t="shared" si="4"/>
        <v>0</v>
      </c>
      <c r="S23" s="105">
        <f t="shared" si="4"/>
        <v>0</v>
      </c>
      <c r="T23" s="106"/>
    </row>
    <row r="24" spans="1:20" ht="17.149999999999999" customHeight="1">
      <c r="A24" s="5" t="s">
        <v>304</v>
      </c>
      <c r="B24" s="6">
        <f t="shared" si="1"/>
        <v>23</v>
      </c>
      <c r="C24" s="10" t="s">
        <v>18</v>
      </c>
      <c r="D24" s="10" t="s">
        <v>19</v>
      </c>
      <c r="E24" s="12" t="s">
        <v>28</v>
      </c>
      <c r="F24" s="12" t="s">
        <v>12</v>
      </c>
      <c r="G24" s="13" t="s">
        <v>13</v>
      </c>
      <c r="H24" s="12" t="s">
        <v>64</v>
      </c>
      <c r="I24" s="27" t="s">
        <v>65</v>
      </c>
      <c r="J24" s="100" t="s">
        <v>306</v>
      </c>
      <c r="K24" s="100">
        <v>39050</v>
      </c>
      <c r="L24" s="100">
        <f t="shared" si="2"/>
        <v>468600</v>
      </c>
      <c r="M24" s="101">
        <v>39050</v>
      </c>
      <c r="N24" s="101">
        <f t="shared" si="3"/>
        <v>468600</v>
      </c>
      <c r="O24" s="102">
        <v>39050</v>
      </c>
      <c r="P24" s="103">
        <f t="shared" si="0"/>
        <v>468600</v>
      </c>
      <c r="Q24" s="104" t="s">
        <v>209</v>
      </c>
      <c r="R24" s="105">
        <f t="shared" si="4"/>
        <v>0</v>
      </c>
      <c r="S24" s="105">
        <f t="shared" si="4"/>
        <v>0</v>
      </c>
      <c r="T24" s="106"/>
    </row>
    <row r="25" spans="1:20" ht="17.149999999999999" customHeight="1">
      <c r="A25" s="5" t="s">
        <v>304</v>
      </c>
      <c r="B25" s="6">
        <f t="shared" si="1"/>
        <v>24</v>
      </c>
      <c r="C25" s="10" t="s">
        <v>18</v>
      </c>
      <c r="D25" s="10" t="s">
        <v>19</v>
      </c>
      <c r="E25" s="10" t="s">
        <v>66</v>
      </c>
      <c r="F25" s="12" t="s">
        <v>12</v>
      </c>
      <c r="G25" s="13" t="s">
        <v>13</v>
      </c>
      <c r="H25" s="12" t="s">
        <v>67</v>
      </c>
      <c r="I25" s="27" t="s">
        <v>68</v>
      </c>
      <c r="J25" s="100" t="s">
        <v>306</v>
      </c>
      <c r="K25" s="100">
        <v>49500.000000000007</v>
      </c>
      <c r="L25" s="100">
        <f t="shared" si="2"/>
        <v>594000.00000000012</v>
      </c>
      <c r="M25" s="101">
        <v>49500.000000000007</v>
      </c>
      <c r="N25" s="101">
        <f t="shared" si="3"/>
        <v>594000.00000000012</v>
      </c>
      <c r="O25" s="102">
        <v>49500.000000000007</v>
      </c>
      <c r="P25" s="103">
        <f t="shared" si="0"/>
        <v>594000.00000000012</v>
      </c>
      <c r="Q25" s="104" t="s">
        <v>209</v>
      </c>
      <c r="R25" s="105">
        <f t="shared" si="4"/>
        <v>0</v>
      </c>
      <c r="S25" s="105">
        <f t="shared" si="4"/>
        <v>0</v>
      </c>
      <c r="T25" s="106"/>
    </row>
    <row r="26" spans="1:20" ht="17.149999999999999" customHeight="1">
      <c r="A26" s="5" t="s">
        <v>304</v>
      </c>
      <c r="B26" s="6">
        <f t="shared" si="1"/>
        <v>25</v>
      </c>
      <c r="C26" s="10" t="s">
        <v>18</v>
      </c>
      <c r="D26" s="10" t="s">
        <v>19</v>
      </c>
      <c r="E26" s="12" t="s">
        <v>28</v>
      </c>
      <c r="F26" s="12" t="s">
        <v>12</v>
      </c>
      <c r="G26" s="13" t="s">
        <v>13</v>
      </c>
      <c r="H26" s="12" t="s">
        <v>69</v>
      </c>
      <c r="I26" s="27" t="s">
        <v>70</v>
      </c>
      <c r="J26" s="100" t="s">
        <v>306</v>
      </c>
      <c r="K26" s="100">
        <v>39050</v>
      </c>
      <c r="L26" s="100">
        <f t="shared" si="2"/>
        <v>468600</v>
      </c>
      <c r="M26" s="101">
        <v>39050</v>
      </c>
      <c r="N26" s="101">
        <f t="shared" si="3"/>
        <v>468600</v>
      </c>
      <c r="O26" s="102">
        <v>39050</v>
      </c>
      <c r="P26" s="103">
        <f t="shared" si="0"/>
        <v>468600</v>
      </c>
      <c r="Q26" s="104" t="s">
        <v>209</v>
      </c>
      <c r="R26" s="105">
        <f t="shared" si="4"/>
        <v>0</v>
      </c>
      <c r="S26" s="105">
        <f t="shared" si="4"/>
        <v>0</v>
      </c>
      <c r="T26" s="106"/>
    </row>
    <row r="27" spans="1:20" ht="17.149999999999999" customHeight="1">
      <c r="A27" s="5" t="s">
        <v>304</v>
      </c>
      <c r="B27" s="6">
        <f t="shared" si="1"/>
        <v>26</v>
      </c>
      <c r="C27" s="10" t="s">
        <v>18</v>
      </c>
      <c r="D27" s="10" t="s">
        <v>19</v>
      </c>
      <c r="E27" s="12" t="s">
        <v>28</v>
      </c>
      <c r="F27" s="12" t="s">
        <v>12</v>
      </c>
      <c r="G27" s="13" t="s">
        <v>13</v>
      </c>
      <c r="H27" s="12" t="s">
        <v>71</v>
      </c>
      <c r="I27" s="27" t="s">
        <v>72</v>
      </c>
      <c r="J27" s="100" t="s">
        <v>306</v>
      </c>
      <c r="K27" s="100">
        <v>39050</v>
      </c>
      <c r="L27" s="100">
        <f t="shared" si="2"/>
        <v>468600</v>
      </c>
      <c r="M27" s="101">
        <v>39050</v>
      </c>
      <c r="N27" s="101">
        <f t="shared" si="3"/>
        <v>468600</v>
      </c>
      <c r="O27" s="102">
        <v>39050</v>
      </c>
      <c r="P27" s="103">
        <f t="shared" si="0"/>
        <v>468600</v>
      </c>
      <c r="Q27" s="104" t="s">
        <v>209</v>
      </c>
      <c r="R27" s="105">
        <f t="shared" si="4"/>
        <v>0</v>
      </c>
      <c r="S27" s="105">
        <f t="shared" si="4"/>
        <v>0</v>
      </c>
      <c r="T27" s="106"/>
    </row>
    <row r="28" spans="1:20" ht="17.149999999999999" customHeight="1">
      <c r="A28" s="5" t="s">
        <v>304</v>
      </c>
      <c r="B28" s="6">
        <f t="shared" si="1"/>
        <v>27</v>
      </c>
      <c r="C28" s="10" t="s">
        <v>18</v>
      </c>
      <c r="D28" s="10" t="s">
        <v>19</v>
      </c>
      <c r="E28" s="12" t="s">
        <v>28</v>
      </c>
      <c r="F28" s="12" t="s">
        <v>12</v>
      </c>
      <c r="G28" s="13" t="s">
        <v>13</v>
      </c>
      <c r="H28" s="12" t="s">
        <v>73</v>
      </c>
      <c r="I28" s="27" t="s">
        <v>74</v>
      </c>
      <c r="J28" s="100" t="s">
        <v>306</v>
      </c>
      <c r="K28" s="100">
        <v>39050</v>
      </c>
      <c r="L28" s="100">
        <f t="shared" si="2"/>
        <v>468600</v>
      </c>
      <c r="M28" s="101">
        <v>39050</v>
      </c>
      <c r="N28" s="101">
        <f t="shared" si="3"/>
        <v>468600</v>
      </c>
      <c r="O28" s="102">
        <v>39050</v>
      </c>
      <c r="P28" s="103">
        <f t="shared" si="0"/>
        <v>468600</v>
      </c>
      <c r="Q28" s="104" t="s">
        <v>209</v>
      </c>
      <c r="R28" s="105">
        <f t="shared" si="4"/>
        <v>0</v>
      </c>
      <c r="S28" s="105">
        <f t="shared" si="4"/>
        <v>0</v>
      </c>
      <c r="T28" s="106"/>
    </row>
    <row r="29" spans="1:20" ht="17.149999999999999" customHeight="1">
      <c r="A29" s="5" t="s">
        <v>304</v>
      </c>
      <c r="B29" s="6">
        <f t="shared" si="1"/>
        <v>28</v>
      </c>
      <c r="C29" s="10" t="s">
        <v>18</v>
      </c>
      <c r="D29" s="10" t="s">
        <v>19</v>
      </c>
      <c r="E29" s="12" t="s">
        <v>28</v>
      </c>
      <c r="F29" s="12" t="s">
        <v>12</v>
      </c>
      <c r="G29" s="13" t="s">
        <v>13</v>
      </c>
      <c r="H29" s="12" t="s">
        <v>75</v>
      </c>
      <c r="I29" s="27" t="s">
        <v>76</v>
      </c>
      <c r="J29" s="100" t="s">
        <v>306</v>
      </c>
      <c r="K29" s="100">
        <v>39050</v>
      </c>
      <c r="L29" s="100">
        <f t="shared" si="2"/>
        <v>468600</v>
      </c>
      <c r="M29" s="101">
        <v>39050</v>
      </c>
      <c r="N29" s="101">
        <f t="shared" si="3"/>
        <v>468600</v>
      </c>
      <c r="O29" s="102">
        <v>39050</v>
      </c>
      <c r="P29" s="103">
        <f t="shared" si="0"/>
        <v>468600</v>
      </c>
      <c r="Q29" s="104" t="s">
        <v>209</v>
      </c>
      <c r="R29" s="105">
        <f t="shared" si="4"/>
        <v>0</v>
      </c>
      <c r="S29" s="105">
        <f t="shared" si="4"/>
        <v>0</v>
      </c>
      <c r="T29" s="106"/>
    </row>
    <row r="30" spans="1:20" ht="17.149999999999999" customHeight="1">
      <c r="A30" s="5" t="s">
        <v>304</v>
      </c>
      <c r="B30" s="6">
        <f t="shared" si="1"/>
        <v>29</v>
      </c>
      <c r="C30" s="10" t="s">
        <v>77</v>
      </c>
      <c r="D30" s="10" t="s">
        <v>78</v>
      </c>
      <c r="E30" s="12" t="s">
        <v>28</v>
      </c>
      <c r="F30" s="12" t="s">
        <v>12</v>
      </c>
      <c r="G30" s="13" t="s">
        <v>13</v>
      </c>
      <c r="H30" s="10" t="s">
        <v>79</v>
      </c>
      <c r="I30" s="27" t="s">
        <v>80</v>
      </c>
      <c r="J30" s="100" t="s">
        <v>306</v>
      </c>
      <c r="K30" s="100">
        <v>39050</v>
      </c>
      <c r="L30" s="100">
        <f t="shared" si="2"/>
        <v>468600</v>
      </c>
      <c r="M30" s="101">
        <v>39050</v>
      </c>
      <c r="N30" s="101">
        <f t="shared" si="3"/>
        <v>468600</v>
      </c>
      <c r="O30" s="102">
        <v>39050</v>
      </c>
      <c r="P30" s="103">
        <f t="shared" si="0"/>
        <v>468600</v>
      </c>
      <c r="Q30" s="104" t="s">
        <v>209</v>
      </c>
      <c r="R30" s="105">
        <f t="shared" si="4"/>
        <v>0</v>
      </c>
      <c r="S30" s="105">
        <f t="shared" si="4"/>
        <v>0</v>
      </c>
      <c r="T30" s="106"/>
    </row>
    <row r="31" spans="1:20" ht="16.899999999999999" customHeight="1">
      <c r="A31" s="5" t="s">
        <v>304</v>
      </c>
      <c r="B31" s="6">
        <f t="shared" si="1"/>
        <v>30</v>
      </c>
      <c r="C31" s="10" t="s">
        <v>18</v>
      </c>
      <c r="D31" s="10" t="s">
        <v>78</v>
      </c>
      <c r="E31" s="12" t="s">
        <v>81</v>
      </c>
      <c r="F31" s="12" t="s">
        <v>12</v>
      </c>
      <c r="G31" s="13" t="s">
        <v>13</v>
      </c>
      <c r="H31" s="10" t="s">
        <v>84</v>
      </c>
      <c r="I31" s="27" t="s">
        <v>85</v>
      </c>
      <c r="J31" s="100" t="s">
        <v>306</v>
      </c>
      <c r="K31" s="100">
        <v>55000.000000000007</v>
      </c>
      <c r="L31" s="100">
        <f t="shared" si="2"/>
        <v>660000.00000000012</v>
      </c>
      <c r="M31" s="101">
        <v>55000.000000000007</v>
      </c>
      <c r="N31" s="101">
        <f t="shared" si="3"/>
        <v>660000.00000000012</v>
      </c>
      <c r="O31" s="102">
        <v>55000.000000000007</v>
      </c>
      <c r="P31" s="103">
        <f t="shared" si="0"/>
        <v>660000.00000000012</v>
      </c>
      <c r="Q31" s="104" t="s">
        <v>209</v>
      </c>
      <c r="R31" s="105">
        <f t="shared" si="4"/>
        <v>0</v>
      </c>
      <c r="S31" s="105">
        <f t="shared" si="4"/>
        <v>0</v>
      </c>
      <c r="T31" s="106"/>
    </row>
    <row r="32" spans="1:20" s="15" customFormat="1" ht="17.149999999999999" customHeight="1">
      <c r="A32" s="5" t="s">
        <v>304</v>
      </c>
      <c r="B32" s="6">
        <f t="shared" si="1"/>
        <v>31</v>
      </c>
      <c r="C32" s="10" t="s">
        <v>18</v>
      </c>
      <c r="D32" s="10" t="s">
        <v>19</v>
      </c>
      <c r="E32" s="10" t="s">
        <v>35</v>
      </c>
      <c r="F32" s="10" t="s">
        <v>86</v>
      </c>
      <c r="G32" s="8" t="s">
        <v>87</v>
      </c>
      <c r="H32" s="10" t="s">
        <v>88</v>
      </c>
      <c r="I32" s="13" t="s">
        <v>89</v>
      </c>
      <c r="J32" s="100" t="s">
        <v>306</v>
      </c>
      <c r="K32" s="100">
        <v>46200.000000000007</v>
      </c>
      <c r="L32" s="100">
        <f t="shared" si="2"/>
        <v>554400.00000000012</v>
      </c>
      <c r="M32" s="117">
        <v>46200.000000000007</v>
      </c>
      <c r="N32" s="101">
        <f t="shared" si="3"/>
        <v>554400.00000000012</v>
      </c>
      <c r="O32" s="102">
        <v>46200.000000000007</v>
      </c>
      <c r="P32" s="103">
        <f t="shared" si="0"/>
        <v>554400.00000000012</v>
      </c>
      <c r="Q32" s="104" t="s">
        <v>209</v>
      </c>
      <c r="R32" s="105">
        <f t="shared" si="4"/>
        <v>0</v>
      </c>
      <c r="S32" s="105">
        <f t="shared" si="4"/>
        <v>0</v>
      </c>
      <c r="T32" s="14"/>
    </row>
    <row r="33" spans="1:20" ht="17.149999999999999" customHeight="1">
      <c r="A33" s="17" t="s">
        <v>304</v>
      </c>
      <c r="B33" s="33">
        <f t="shared" si="1"/>
        <v>32</v>
      </c>
      <c r="C33" s="145" t="s">
        <v>18</v>
      </c>
      <c r="D33" s="145" t="s">
        <v>19</v>
      </c>
      <c r="E33" s="33" t="s">
        <v>28</v>
      </c>
      <c r="F33" s="145" t="s">
        <v>86</v>
      </c>
      <c r="G33" s="146" t="s">
        <v>87</v>
      </c>
      <c r="H33" s="145" t="s">
        <v>90</v>
      </c>
      <c r="I33" s="146" t="s">
        <v>91</v>
      </c>
      <c r="J33" s="118" t="s">
        <v>306</v>
      </c>
      <c r="K33" s="118">
        <v>39050</v>
      </c>
      <c r="L33" s="118">
        <f t="shared" si="2"/>
        <v>468600</v>
      </c>
      <c r="M33" s="118">
        <v>39050</v>
      </c>
      <c r="N33" s="118">
        <f t="shared" si="3"/>
        <v>468600</v>
      </c>
      <c r="O33" s="118">
        <v>0</v>
      </c>
      <c r="P33" s="147">
        <f t="shared" si="0"/>
        <v>0</v>
      </c>
      <c r="Q33" s="148" t="s">
        <v>209</v>
      </c>
      <c r="R33" s="149">
        <f>O33-M33</f>
        <v>-39050</v>
      </c>
      <c r="S33" s="149">
        <f t="shared" si="4"/>
        <v>-468600</v>
      </c>
      <c r="T33" s="150" t="s">
        <v>328</v>
      </c>
    </row>
    <row r="34" spans="1:20" ht="17.149999999999999" customHeight="1">
      <c r="A34" s="5" t="s">
        <v>304</v>
      </c>
      <c r="B34" s="6">
        <f t="shared" si="1"/>
        <v>33</v>
      </c>
      <c r="C34" s="10" t="s">
        <v>18</v>
      </c>
      <c r="D34" s="10" t="s">
        <v>19</v>
      </c>
      <c r="E34" s="6" t="s">
        <v>28</v>
      </c>
      <c r="F34" s="10" t="s">
        <v>92</v>
      </c>
      <c r="G34" s="8" t="s">
        <v>87</v>
      </c>
      <c r="H34" s="7" t="s">
        <v>93</v>
      </c>
      <c r="I34" s="8" t="s">
        <v>94</v>
      </c>
      <c r="J34" s="100" t="s">
        <v>306</v>
      </c>
      <c r="K34" s="100">
        <v>39050</v>
      </c>
      <c r="L34" s="100">
        <f t="shared" si="2"/>
        <v>468600</v>
      </c>
      <c r="M34" s="101">
        <v>39050</v>
      </c>
      <c r="N34" s="101">
        <f t="shared" si="3"/>
        <v>468600</v>
      </c>
      <c r="O34" s="102">
        <v>39050</v>
      </c>
      <c r="P34" s="103">
        <f t="shared" si="0"/>
        <v>468600</v>
      </c>
      <c r="Q34" s="104" t="s">
        <v>209</v>
      </c>
      <c r="R34" s="105">
        <f t="shared" si="4"/>
        <v>0</v>
      </c>
      <c r="S34" s="105">
        <f t="shared" si="4"/>
        <v>0</v>
      </c>
      <c r="T34" s="106"/>
    </row>
    <row r="35" spans="1:20" ht="17.149999999999999" customHeight="1">
      <c r="A35" s="5" t="s">
        <v>304</v>
      </c>
      <c r="B35" s="6">
        <f t="shared" si="1"/>
        <v>34</v>
      </c>
      <c r="C35" s="7" t="s">
        <v>18</v>
      </c>
      <c r="D35" s="7" t="s">
        <v>19</v>
      </c>
      <c r="E35" s="7" t="s">
        <v>35</v>
      </c>
      <c r="F35" s="7" t="s">
        <v>92</v>
      </c>
      <c r="G35" s="8" t="s">
        <v>87</v>
      </c>
      <c r="H35" s="7" t="s">
        <v>95</v>
      </c>
      <c r="I35" s="8" t="s">
        <v>96</v>
      </c>
      <c r="J35" s="100" t="s">
        <v>306</v>
      </c>
      <c r="K35" s="100">
        <v>46200.000000000007</v>
      </c>
      <c r="L35" s="100">
        <f t="shared" si="2"/>
        <v>554400.00000000012</v>
      </c>
      <c r="M35" s="101">
        <v>46200.000000000007</v>
      </c>
      <c r="N35" s="101">
        <f t="shared" si="3"/>
        <v>554400.00000000012</v>
      </c>
      <c r="O35" s="102">
        <v>46200.000000000007</v>
      </c>
      <c r="P35" s="103">
        <f t="shared" si="0"/>
        <v>554400.00000000012</v>
      </c>
      <c r="Q35" s="104" t="s">
        <v>209</v>
      </c>
      <c r="R35" s="105">
        <f t="shared" si="4"/>
        <v>0</v>
      </c>
      <c r="S35" s="105">
        <f t="shared" si="4"/>
        <v>0</v>
      </c>
      <c r="T35" s="106"/>
    </row>
    <row r="36" spans="1:20" ht="17.149999999999999" customHeight="1">
      <c r="A36" s="5" t="s">
        <v>304</v>
      </c>
      <c r="B36" s="6">
        <f t="shared" si="1"/>
        <v>35</v>
      </c>
      <c r="C36" s="10" t="s">
        <v>18</v>
      </c>
      <c r="D36" s="10" t="s">
        <v>19</v>
      </c>
      <c r="E36" s="6" t="s">
        <v>28</v>
      </c>
      <c r="F36" s="10" t="s">
        <v>92</v>
      </c>
      <c r="G36" s="8" t="s">
        <v>87</v>
      </c>
      <c r="H36" s="10" t="s">
        <v>97</v>
      </c>
      <c r="I36" s="13" t="s">
        <v>98</v>
      </c>
      <c r="J36" s="100" t="s">
        <v>306</v>
      </c>
      <c r="K36" s="100">
        <v>39050</v>
      </c>
      <c r="L36" s="100">
        <f t="shared" si="2"/>
        <v>468600</v>
      </c>
      <c r="M36" s="101">
        <v>39050</v>
      </c>
      <c r="N36" s="101">
        <f t="shared" si="3"/>
        <v>468600</v>
      </c>
      <c r="O36" s="102">
        <v>39050</v>
      </c>
      <c r="P36" s="103">
        <f t="shared" si="0"/>
        <v>468600</v>
      </c>
      <c r="Q36" s="104" t="s">
        <v>209</v>
      </c>
      <c r="R36" s="105">
        <f t="shared" si="4"/>
        <v>0</v>
      </c>
      <c r="S36" s="105">
        <f t="shared" si="4"/>
        <v>0</v>
      </c>
      <c r="T36" s="106"/>
    </row>
    <row r="37" spans="1:20" ht="17.149999999999999" customHeight="1">
      <c r="A37" s="5" t="s">
        <v>304</v>
      </c>
      <c r="B37" s="6">
        <f t="shared" si="1"/>
        <v>36</v>
      </c>
      <c r="C37" s="10" t="s">
        <v>18</v>
      </c>
      <c r="D37" s="10" t="s">
        <v>19</v>
      </c>
      <c r="E37" s="6" t="s">
        <v>28</v>
      </c>
      <c r="F37" s="10" t="s">
        <v>92</v>
      </c>
      <c r="G37" s="8" t="s">
        <v>87</v>
      </c>
      <c r="H37" s="10" t="s">
        <v>99</v>
      </c>
      <c r="I37" s="13" t="s">
        <v>100</v>
      </c>
      <c r="J37" s="100" t="s">
        <v>306</v>
      </c>
      <c r="K37" s="100">
        <v>39050</v>
      </c>
      <c r="L37" s="100">
        <f t="shared" si="2"/>
        <v>468600</v>
      </c>
      <c r="M37" s="101">
        <v>39050</v>
      </c>
      <c r="N37" s="101">
        <f t="shared" si="3"/>
        <v>468600</v>
      </c>
      <c r="O37" s="102">
        <v>39050</v>
      </c>
      <c r="P37" s="103">
        <f t="shared" si="0"/>
        <v>468600</v>
      </c>
      <c r="Q37" s="104" t="s">
        <v>209</v>
      </c>
      <c r="R37" s="105">
        <f t="shared" si="4"/>
        <v>0</v>
      </c>
      <c r="S37" s="105">
        <f t="shared" si="4"/>
        <v>0</v>
      </c>
      <c r="T37" s="106"/>
    </row>
    <row r="38" spans="1:20" ht="17.149999999999999" customHeight="1">
      <c r="A38" s="5" t="s">
        <v>304</v>
      </c>
      <c r="B38" s="6">
        <f t="shared" si="1"/>
        <v>37</v>
      </c>
      <c r="C38" s="10" t="s">
        <v>18</v>
      </c>
      <c r="D38" s="10" t="s">
        <v>19</v>
      </c>
      <c r="E38" s="6" t="s">
        <v>28</v>
      </c>
      <c r="F38" s="10" t="s">
        <v>92</v>
      </c>
      <c r="G38" s="8" t="s">
        <v>87</v>
      </c>
      <c r="H38" s="10" t="s">
        <v>101</v>
      </c>
      <c r="I38" s="13" t="s">
        <v>102</v>
      </c>
      <c r="J38" s="100" t="s">
        <v>306</v>
      </c>
      <c r="K38" s="100">
        <v>39050</v>
      </c>
      <c r="L38" s="100">
        <f t="shared" si="2"/>
        <v>468600</v>
      </c>
      <c r="M38" s="101">
        <v>39050</v>
      </c>
      <c r="N38" s="101">
        <f t="shared" si="3"/>
        <v>468600</v>
      </c>
      <c r="O38" s="102">
        <v>39050</v>
      </c>
      <c r="P38" s="103">
        <f t="shared" si="0"/>
        <v>468600</v>
      </c>
      <c r="Q38" s="104" t="s">
        <v>209</v>
      </c>
      <c r="R38" s="105">
        <f t="shared" si="4"/>
        <v>0</v>
      </c>
      <c r="S38" s="105">
        <f t="shared" si="4"/>
        <v>0</v>
      </c>
      <c r="T38" s="106"/>
    </row>
    <row r="39" spans="1:20" ht="17.149999999999999" customHeight="1">
      <c r="A39" s="5" t="s">
        <v>304</v>
      </c>
      <c r="B39" s="6">
        <f t="shared" si="1"/>
        <v>38</v>
      </c>
      <c r="C39" s="10" t="s">
        <v>18</v>
      </c>
      <c r="D39" s="10" t="s">
        <v>19</v>
      </c>
      <c r="E39" s="10" t="s">
        <v>103</v>
      </c>
      <c r="F39" s="10" t="s">
        <v>92</v>
      </c>
      <c r="G39" s="8" t="s">
        <v>87</v>
      </c>
      <c r="H39" s="10" t="s">
        <v>104</v>
      </c>
      <c r="I39" s="13" t="s">
        <v>105</v>
      </c>
      <c r="J39" s="100" t="s">
        <v>306</v>
      </c>
      <c r="K39" s="100">
        <v>55000.000000000007</v>
      </c>
      <c r="L39" s="100">
        <f t="shared" si="2"/>
        <v>660000.00000000012</v>
      </c>
      <c r="M39" s="101">
        <v>55000.000000000007</v>
      </c>
      <c r="N39" s="101">
        <f t="shared" si="3"/>
        <v>660000.00000000012</v>
      </c>
      <c r="O39" s="102">
        <v>55000.000000000007</v>
      </c>
      <c r="P39" s="103">
        <f t="shared" si="0"/>
        <v>660000.00000000012</v>
      </c>
      <c r="Q39" s="104" t="s">
        <v>209</v>
      </c>
      <c r="R39" s="105">
        <f t="shared" si="4"/>
        <v>0</v>
      </c>
      <c r="S39" s="105">
        <f t="shared" si="4"/>
        <v>0</v>
      </c>
      <c r="T39" s="106"/>
    </row>
    <row r="40" spans="1:20" ht="17.149999999999999" customHeight="1">
      <c r="A40" s="5" t="s">
        <v>304</v>
      </c>
      <c r="B40" s="6">
        <f t="shared" si="1"/>
        <v>39</v>
      </c>
      <c r="C40" s="10" t="s">
        <v>18</v>
      </c>
      <c r="D40" s="10" t="s">
        <v>19</v>
      </c>
      <c r="E40" s="6" t="s">
        <v>28</v>
      </c>
      <c r="F40" s="10" t="s">
        <v>92</v>
      </c>
      <c r="G40" s="8" t="s">
        <v>87</v>
      </c>
      <c r="H40" s="10" t="s">
        <v>106</v>
      </c>
      <c r="I40" s="13" t="s">
        <v>107</v>
      </c>
      <c r="J40" s="100" t="s">
        <v>306</v>
      </c>
      <c r="K40" s="100">
        <v>39050</v>
      </c>
      <c r="L40" s="100">
        <f t="shared" si="2"/>
        <v>468600</v>
      </c>
      <c r="M40" s="101">
        <v>39050</v>
      </c>
      <c r="N40" s="101">
        <f t="shared" si="3"/>
        <v>468600</v>
      </c>
      <c r="O40" s="102">
        <v>39050</v>
      </c>
      <c r="P40" s="103">
        <f t="shared" si="0"/>
        <v>468600</v>
      </c>
      <c r="Q40" s="104" t="s">
        <v>209</v>
      </c>
      <c r="R40" s="105">
        <f t="shared" si="4"/>
        <v>0</v>
      </c>
      <c r="S40" s="105">
        <f t="shared" si="4"/>
        <v>0</v>
      </c>
      <c r="T40" s="106"/>
    </row>
    <row r="41" spans="1:20" ht="17.149999999999999" customHeight="1">
      <c r="A41" s="5" t="s">
        <v>304</v>
      </c>
      <c r="B41" s="6">
        <f t="shared" si="1"/>
        <v>40</v>
      </c>
      <c r="C41" s="10" t="s">
        <v>18</v>
      </c>
      <c r="D41" s="10" t="s">
        <v>19</v>
      </c>
      <c r="E41" s="6" t="s">
        <v>28</v>
      </c>
      <c r="F41" s="10" t="s">
        <v>92</v>
      </c>
      <c r="G41" s="8" t="s">
        <v>87</v>
      </c>
      <c r="H41" s="10" t="s">
        <v>108</v>
      </c>
      <c r="I41" s="13" t="s">
        <v>109</v>
      </c>
      <c r="J41" s="100" t="s">
        <v>306</v>
      </c>
      <c r="K41" s="100">
        <v>39050</v>
      </c>
      <c r="L41" s="100">
        <f t="shared" si="2"/>
        <v>468600</v>
      </c>
      <c r="M41" s="101">
        <v>39050</v>
      </c>
      <c r="N41" s="101">
        <f t="shared" si="3"/>
        <v>468600</v>
      </c>
      <c r="O41" s="102">
        <v>39050</v>
      </c>
      <c r="P41" s="103">
        <f t="shared" si="0"/>
        <v>468600</v>
      </c>
      <c r="Q41" s="104" t="s">
        <v>209</v>
      </c>
      <c r="R41" s="105">
        <f t="shared" si="4"/>
        <v>0</v>
      </c>
      <c r="S41" s="105">
        <f t="shared" si="4"/>
        <v>0</v>
      </c>
      <c r="T41" s="106"/>
    </row>
    <row r="42" spans="1:20" ht="17.149999999999999" customHeight="1">
      <c r="A42" s="5" t="s">
        <v>304</v>
      </c>
      <c r="B42" s="6">
        <f t="shared" si="1"/>
        <v>41</v>
      </c>
      <c r="C42" s="10" t="s">
        <v>18</v>
      </c>
      <c r="D42" s="10" t="s">
        <v>19</v>
      </c>
      <c r="E42" s="6" t="s">
        <v>28</v>
      </c>
      <c r="F42" s="10" t="s">
        <v>92</v>
      </c>
      <c r="G42" s="8" t="s">
        <v>87</v>
      </c>
      <c r="H42" s="10" t="s">
        <v>110</v>
      </c>
      <c r="I42" s="13" t="s">
        <v>111</v>
      </c>
      <c r="J42" s="100" t="s">
        <v>306</v>
      </c>
      <c r="K42" s="100">
        <v>39050</v>
      </c>
      <c r="L42" s="100">
        <f t="shared" si="2"/>
        <v>468600</v>
      </c>
      <c r="M42" s="101">
        <v>39050</v>
      </c>
      <c r="N42" s="101">
        <f t="shared" si="3"/>
        <v>468600</v>
      </c>
      <c r="O42" s="102">
        <v>39050</v>
      </c>
      <c r="P42" s="103">
        <f t="shared" si="0"/>
        <v>468600</v>
      </c>
      <c r="Q42" s="104" t="s">
        <v>209</v>
      </c>
      <c r="R42" s="105">
        <f t="shared" si="4"/>
        <v>0</v>
      </c>
      <c r="S42" s="105">
        <f t="shared" si="4"/>
        <v>0</v>
      </c>
      <c r="T42" s="106"/>
    </row>
    <row r="43" spans="1:20" ht="17.149999999999999" customHeight="1">
      <c r="A43" s="5" t="s">
        <v>304</v>
      </c>
      <c r="B43" s="6">
        <f t="shared" si="1"/>
        <v>42</v>
      </c>
      <c r="C43" s="10" t="s">
        <v>18</v>
      </c>
      <c r="D43" s="10" t="s">
        <v>19</v>
      </c>
      <c r="E43" s="6" t="s">
        <v>28</v>
      </c>
      <c r="F43" s="10" t="s">
        <v>92</v>
      </c>
      <c r="G43" s="8" t="s">
        <v>87</v>
      </c>
      <c r="H43" s="10" t="s">
        <v>112</v>
      </c>
      <c r="I43" s="13" t="s">
        <v>113</v>
      </c>
      <c r="J43" s="100" t="s">
        <v>306</v>
      </c>
      <c r="K43" s="100">
        <v>39050</v>
      </c>
      <c r="L43" s="100">
        <f t="shared" si="2"/>
        <v>468600</v>
      </c>
      <c r="M43" s="101">
        <v>39050</v>
      </c>
      <c r="N43" s="101">
        <f t="shared" si="3"/>
        <v>468600</v>
      </c>
      <c r="O43" s="102">
        <v>39050</v>
      </c>
      <c r="P43" s="103">
        <f t="shared" si="0"/>
        <v>468600</v>
      </c>
      <c r="Q43" s="104" t="s">
        <v>209</v>
      </c>
      <c r="R43" s="105">
        <f t="shared" si="4"/>
        <v>0</v>
      </c>
      <c r="S43" s="105">
        <f t="shared" si="4"/>
        <v>0</v>
      </c>
      <c r="T43" s="106"/>
    </row>
    <row r="44" spans="1:20" ht="17.149999999999999" customHeight="1">
      <c r="A44" s="5" t="s">
        <v>304</v>
      </c>
      <c r="B44" s="6">
        <f t="shared" si="1"/>
        <v>43</v>
      </c>
      <c r="C44" s="10" t="s">
        <v>18</v>
      </c>
      <c r="D44" s="10" t="s">
        <v>19</v>
      </c>
      <c r="E44" s="6" t="s">
        <v>28</v>
      </c>
      <c r="F44" s="10" t="s">
        <v>92</v>
      </c>
      <c r="G44" s="8" t="s">
        <v>87</v>
      </c>
      <c r="H44" s="10" t="s">
        <v>114</v>
      </c>
      <c r="I44" s="13" t="s">
        <v>115</v>
      </c>
      <c r="J44" s="100" t="s">
        <v>306</v>
      </c>
      <c r="K44" s="100">
        <v>39050</v>
      </c>
      <c r="L44" s="100">
        <f t="shared" si="2"/>
        <v>468600</v>
      </c>
      <c r="M44" s="101">
        <v>39050</v>
      </c>
      <c r="N44" s="101">
        <f t="shared" si="3"/>
        <v>468600</v>
      </c>
      <c r="O44" s="102">
        <v>39050</v>
      </c>
      <c r="P44" s="103">
        <f t="shared" si="0"/>
        <v>468600</v>
      </c>
      <c r="Q44" s="104" t="s">
        <v>209</v>
      </c>
      <c r="R44" s="105">
        <f t="shared" si="4"/>
        <v>0</v>
      </c>
      <c r="S44" s="105">
        <f t="shared" si="4"/>
        <v>0</v>
      </c>
      <c r="T44" s="106"/>
    </row>
    <row r="45" spans="1:20" ht="17.149999999999999" customHeight="1">
      <c r="A45" s="5" t="s">
        <v>304</v>
      </c>
      <c r="B45" s="6">
        <f t="shared" si="1"/>
        <v>44</v>
      </c>
      <c r="C45" s="10" t="s">
        <v>18</v>
      </c>
      <c r="D45" s="10" t="s">
        <v>19</v>
      </c>
      <c r="E45" s="10" t="s">
        <v>66</v>
      </c>
      <c r="F45" s="10" t="s">
        <v>92</v>
      </c>
      <c r="G45" s="8" t="s">
        <v>87</v>
      </c>
      <c r="H45" s="10" t="s">
        <v>116</v>
      </c>
      <c r="I45" s="13" t="s">
        <v>117</v>
      </c>
      <c r="J45" s="100" t="s">
        <v>306</v>
      </c>
      <c r="K45" s="100">
        <v>49500.000000000007</v>
      </c>
      <c r="L45" s="100">
        <f t="shared" si="2"/>
        <v>594000.00000000012</v>
      </c>
      <c r="M45" s="101">
        <v>49500.000000000007</v>
      </c>
      <c r="N45" s="101">
        <f t="shared" si="3"/>
        <v>594000.00000000012</v>
      </c>
      <c r="O45" s="102">
        <v>49500.000000000007</v>
      </c>
      <c r="P45" s="103">
        <f t="shared" si="0"/>
        <v>594000.00000000012</v>
      </c>
      <c r="Q45" s="104" t="s">
        <v>209</v>
      </c>
      <c r="R45" s="105">
        <f t="shared" si="4"/>
        <v>0</v>
      </c>
      <c r="S45" s="105">
        <f t="shared" si="4"/>
        <v>0</v>
      </c>
      <c r="T45" s="106"/>
    </row>
    <row r="46" spans="1:20" ht="17.149999999999999" customHeight="1">
      <c r="A46" s="5" t="s">
        <v>304</v>
      </c>
      <c r="B46" s="6">
        <f t="shared" si="1"/>
        <v>45</v>
      </c>
      <c r="C46" s="10" t="s">
        <v>18</v>
      </c>
      <c r="D46" s="10" t="s">
        <v>19</v>
      </c>
      <c r="E46" s="6" t="s">
        <v>28</v>
      </c>
      <c r="F46" s="10" t="s">
        <v>92</v>
      </c>
      <c r="G46" s="8" t="s">
        <v>87</v>
      </c>
      <c r="H46" s="10" t="s">
        <v>118</v>
      </c>
      <c r="I46" s="13" t="s">
        <v>119</v>
      </c>
      <c r="J46" s="100" t="s">
        <v>306</v>
      </c>
      <c r="K46" s="100">
        <v>39050</v>
      </c>
      <c r="L46" s="100">
        <f t="shared" si="2"/>
        <v>468600</v>
      </c>
      <c r="M46" s="101">
        <v>39050</v>
      </c>
      <c r="N46" s="101">
        <f t="shared" si="3"/>
        <v>468600</v>
      </c>
      <c r="O46" s="102">
        <v>39050</v>
      </c>
      <c r="P46" s="103">
        <f t="shared" si="0"/>
        <v>468600</v>
      </c>
      <c r="Q46" s="104" t="s">
        <v>209</v>
      </c>
      <c r="R46" s="105">
        <f t="shared" si="4"/>
        <v>0</v>
      </c>
      <c r="S46" s="105">
        <f t="shared" si="4"/>
        <v>0</v>
      </c>
      <c r="T46" s="106"/>
    </row>
    <row r="47" spans="1:20" ht="17.149999999999999" customHeight="1">
      <c r="A47" s="5" t="s">
        <v>304</v>
      </c>
      <c r="B47" s="6">
        <f t="shared" si="1"/>
        <v>46</v>
      </c>
      <c r="C47" s="10" t="s">
        <v>18</v>
      </c>
      <c r="D47" s="10" t="s">
        <v>19</v>
      </c>
      <c r="E47" s="6" t="s">
        <v>28</v>
      </c>
      <c r="F47" s="10" t="s">
        <v>92</v>
      </c>
      <c r="G47" s="8" t="s">
        <v>87</v>
      </c>
      <c r="H47" s="10" t="s">
        <v>120</v>
      </c>
      <c r="I47" s="13" t="s">
        <v>121</v>
      </c>
      <c r="J47" s="100" t="s">
        <v>306</v>
      </c>
      <c r="K47" s="100">
        <v>39050</v>
      </c>
      <c r="L47" s="100">
        <f t="shared" si="2"/>
        <v>468600</v>
      </c>
      <c r="M47" s="101">
        <v>39050</v>
      </c>
      <c r="N47" s="101">
        <f t="shared" si="3"/>
        <v>468600</v>
      </c>
      <c r="O47" s="102">
        <v>39050</v>
      </c>
      <c r="P47" s="103">
        <f t="shared" si="0"/>
        <v>468600</v>
      </c>
      <c r="Q47" s="104" t="s">
        <v>209</v>
      </c>
      <c r="R47" s="105">
        <f t="shared" si="4"/>
        <v>0</v>
      </c>
      <c r="S47" s="105">
        <f t="shared" si="4"/>
        <v>0</v>
      </c>
      <c r="T47" s="106"/>
    </row>
    <row r="48" spans="1:20" ht="17.149999999999999" customHeight="1">
      <c r="A48" s="5" t="s">
        <v>304</v>
      </c>
      <c r="B48" s="6">
        <f t="shared" si="1"/>
        <v>47</v>
      </c>
      <c r="C48" s="10" t="s">
        <v>18</v>
      </c>
      <c r="D48" s="10" t="s">
        <v>19</v>
      </c>
      <c r="E48" s="6" t="s">
        <v>28</v>
      </c>
      <c r="F48" s="10" t="s">
        <v>92</v>
      </c>
      <c r="G48" s="8" t="s">
        <v>87</v>
      </c>
      <c r="H48" s="10" t="s">
        <v>122</v>
      </c>
      <c r="I48" s="13" t="s">
        <v>123</v>
      </c>
      <c r="J48" s="100" t="s">
        <v>306</v>
      </c>
      <c r="K48" s="100">
        <v>39050</v>
      </c>
      <c r="L48" s="100">
        <f t="shared" si="2"/>
        <v>468600</v>
      </c>
      <c r="M48" s="101">
        <v>39050</v>
      </c>
      <c r="N48" s="101">
        <f t="shared" si="3"/>
        <v>468600</v>
      </c>
      <c r="O48" s="102">
        <v>39050</v>
      </c>
      <c r="P48" s="103">
        <f t="shared" si="0"/>
        <v>468600</v>
      </c>
      <c r="Q48" s="104" t="s">
        <v>209</v>
      </c>
      <c r="R48" s="105">
        <f t="shared" si="4"/>
        <v>0</v>
      </c>
      <c r="S48" s="105">
        <f t="shared" si="4"/>
        <v>0</v>
      </c>
      <c r="T48" s="106"/>
    </row>
    <row r="49" spans="1:20" ht="17.149999999999999" customHeight="1">
      <c r="A49" s="5" t="s">
        <v>304</v>
      </c>
      <c r="B49" s="6">
        <f t="shared" si="1"/>
        <v>48</v>
      </c>
      <c r="C49" s="10" t="s">
        <v>18</v>
      </c>
      <c r="D49" s="10" t="s">
        <v>19</v>
      </c>
      <c r="E49" s="6" t="s">
        <v>28</v>
      </c>
      <c r="F49" s="10" t="s">
        <v>92</v>
      </c>
      <c r="G49" s="8" t="s">
        <v>87</v>
      </c>
      <c r="H49" s="10" t="s">
        <v>124</v>
      </c>
      <c r="I49" s="13" t="s">
        <v>125</v>
      </c>
      <c r="J49" s="100" t="s">
        <v>306</v>
      </c>
      <c r="K49" s="100">
        <v>39050</v>
      </c>
      <c r="L49" s="100">
        <f t="shared" si="2"/>
        <v>468600</v>
      </c>
      <c r="M49" s="101">
        <v>39050</v>
      </c>
      <c r="N49" s="101">
        <f t="shared" si="3"/>
        <v>468600</v>
      </c>
      <c r="O49" s="102">
        <v>39050</v>
      </c>
      <c r="P49" s="103">
        <f t="shared" si="0"/>
        <v>468600</v>
      </c>
      <c r="Q49" s="104" t="s">
        <v>209</v>
      </c>
      <c r="R49" s="105">
        <f t="shared" si="4"/>
        <v>0</v>
      </c>
      <c r="S49" s="105">
        <f t="shared" si="4"/>
        <v>0</v>
      </c>
      <c r="T49" s="106"/>
    </row>
    <row r="50" spans="1:20" ht="17.149999999999999" customHeight="1">
      <c r="A50" s="5" t="s">
        <v>304</v>
      </c>
      <c r="B50" s="6">
        <f t="shared" si="1"/>
        <v>49</v>
      </c>
      <c r="C50" s="10" t="s">
        <v>18</v>
      </c>
      <c r="D50" s="10" t="s">
        <v>19</v>
      </c>
      <c r="E50" s="6" t="s">
        <v>28</v>
      </c>
      <c r="F50" s="10" t="s">
        <v>92</v>
      </c>
      <c r="G50" s="8" t="s">
        <v>87</v>
      </c>
      <c r="H50" s="10" t="s">
        <v>126</v>
      </c>
      <c r="I50" s="13" t="s">
        <v>127</v>
      </c>
      <c r="J50" s="100" t="s">
        <v>306</v>
      </c>
      <c r="K50" s="100">
        <v>39050</v>
      </c>
      <c r="L50" s="100">
        <f t="shared" si="2"/>
        <v>468600</v>
      </c>
      <c r="M50" s="101">
        <v>39050</v>
      </c>
      <c r="N50" s="101">
        <f t="shared" si="3"/>
        <v>468600</v>
      </c>
      <c r="O50" s="102">
        <v>39050</v>
      </c>
      <c r="P50" s="103">
        <f t="shared" si="0"/>
        <v>468600</v>
      </c>
      <c r="Q50" s="104" t="s">
        <v>209</v>
      </c>
      <c r="R50" s="105">
        <f t="shared" si="4"/>
        <v>0</v>
      </c>
      <c r="S50" s="105">
        <f t="shared" si="4"/>
        <v>0</v>
      </c>
      <c r="T50" s="106"/>
    </row>
    <row r="51" spans="1:20" ht="17.149999999999999" customHeight="1">
      <c r="A51" s="5" t="s">
        <v>304</v>
      </c>
      <c r="B51" s="6">
        <f t="shared" si="1"/>
        <v>50</v>
      </c>
      <c r="C51" s="7" t="s">
        <v>18</v>
      </c>
      <c r="D51" s="7" t="s">
        <v>19</v>
      </c>
      <c r="E51" s="7" t="s">
        <v>103</v>
      </c>
      <c r="F51" s="7" t="s">
        <v>92</v>
      </c>
      <c r="G51" s="8" t="s">
        <v>87</v>
      </c>
      <c r="H51" s="7" t="s">
        <v>128</v>
      </c>
      <c r="I51" s="8" t="s">
        <v>129</v>
      </c>
      <c r="J51" s="100" t="s">
        <v>306</v>
      </c>
      <c r="K51" s="100">
        <v>55000.000000000007</v>
      </c>
      <c r="L51" s="100">
        <f t="shared" si="2"/>
        <v>660000.00000000012</v>
      </c>
      <c r="M51" s="101">
        <v>55000.000000000007</v>
      </c>
      <c r="N51" s="101">
        <f t="shared" si="3"/>
        <v>660000.00000000012</v>
      </c>
      <c r="O51" s="102">
        <v>55000.000000000007</v>
      </c>
      <c r="P51" s="103">
        <f t="shared" si="0"/>
        <v>660000.00000000012</v>
      </c>
      <c r="Q51" s="104" t="s">
        <v>209</v>
      </c>
      <c r="R51" s="105">
        <f t="shared" si="4"/>
        <v>0</v>
      </c>
      <c r="S51" s="105">
        <f t="shared" si="4"/>
        <v>0</v>
      </c>
      <c r="T51" s="106"/>
    </row>
    <row r="52" spans="1:20" ht="17.149999999999999" customHeight="1">
      <c r="A52" s="5" t="s">
        <v>304</v>
      </c>
      <c r="B52" s="6">
        <f t="shared" si="1"/>
        <v>51</v>
      </c>
      <c r="C52" s="7" t="s">
        <v>18</v>
      </c>
      <c r="D52" s="7" t="s">
        <v>19</v>
      </c>
      <c r="E52" s="7" t="s">
        <v>103</v>
      </c>
      <c r="F52" s="7" t="s">
        <v>92</v>
      </c>
      <c r="G52" s="8" t="s">
        <v>87</v>
      </c>
      <c r="H52" s="7" t="s">
        <v>130</v>
      </c>
      <c r="I52" s="8" t="s">
        <v>131</v>
      </c>
      <c r="J52" s="100" t="s">
        <v>306</v>
      </c>
      <c r="K52" s="100">
        <v>55000.000000000007</v>
      </c>
      <c r="L52" s="100">
        <f t="shared" si="2"/>
        <v>660000.00000000012</v>
      </c>
      <c r="M52" s="101">
        <v>55000.000000000007</v>
      </c>
      <c r="N52" s="101">
        <f t="shared" si="3"/>
        <v>660000.00000000012</v>
      </c>
      <c r="O52" s="102">
        <v>55000.000000000007</v>
      </c>
      <c r="P52" s="103">
        <f t="shared" si="0"/>
        <v>660000.00000000012</v>
      </c>
      <c r="Q52" s="104" t="s">
        <v>209</v>
      </c>
      <c r="R52" s="105">
        <f t="shared" si="4"/>
        <v>0</v>
      </c>
      <c r="S52" s="105">
        <f t="shared" si="4"/>
        <v>0</v>
      </c>
      <c r="T52" s="106"/>
    </row>
    <row r="53" spans="1:20" s="21" customFormat="1" ht="17.149999999999999" customHeight="1">
      <c r="A53" s="17" t="s">
        <v>304</v>
      </c>
      <c r="B53" s="18">
        <f t="shared" si="1"/>
        <v>52</v>
      </c>
      <c r="C53" s="19" t="s">
        <v>18</v>
      </c>
      <c r="D53" s="19" t="s">
        <v>19</v>
      </c>
      <c r="E53" s="33" t="s">
        <v>308</v>
      </c>
      <c r="F53" s="19" t="s">
        <v>92</v>
      </c>
      <c r="G53" s="20" t="s">
        <v>87</v>
      </c>
      <c r="H53" s="19" t="s">
        <v>132</v>
      </c>
      <c r="I53" s="20" t="s">
        <v>217</v>
      </c>
      <c r="J53" s="110" t="s">
        <v>309</v>
      </c>
      <c r="K53" s="110">
        <v>39050</v>
      </c>
      <c r="L53" s="110">
        <f t="shared" si="2"/>
        <v>468600</v>
      </c>
      <c r="M53" s="111">
        <v>77000</v>
      </c>
      <c r="N53" s="111">
        <f t="shared" si="3"/>
        <v>924000</v>
      </c>
      <c r="O53" s="118">
        <v>308000</v>
      </c>
      <c r="P53" s="113">
        <f t="shared" si="0"/>
        <v>3696000</v>
      </c>
      <c r="Q53" s="114" t="s">
        <v>310</v>
      </c>
      <c r="R53" s="115">
        <f>O53-M53</f>
        <v>231000</v>
      </c>
      <c r="S53" s="115">
        <f t="shared" si="4"/>
        <v>2772000</v>
      </c>
      <c r="T53" s="119" t="s">
        <v>311</v>
      </c>
    </row>
    <row r="54" spans="1:20" s="21" customFormat="1" ht="17.149999999999999" customHeight="1">
      <c r="A54" s="17" t="s">
        <v>304</v>
      </c>
      <c r="B54" s="18">
        <f t="shared" si="1"/>
        <v>53</v>
      </c>
      <c r="C54" s="19" t="s">
        <v>18</v>
      </c>
      <c r="D54" s="19" t="s">
        <v>19</v>
      </c>
      <c r="E54" s="33" t="s">
        <v>66</v>
      </c>
      <c r="F54" s="19" t="s">
        <v>92</v>
      </c>
      <c r="G54" s="20" t="s">
        <v>87</v>
      </c>
      <c r="H54" s="19" t="s">
        <v>133</v>
      </c>
      <c r="I54" s="20" t="s">
        <v>218</v>
      </c>
      <c r="J54" s="110" t="s">
        <v>309</v>
      </c>
      <c r="K54" s="110">
        <v>39050</v>
      </c>
      <c r="L54" s="110">
        <f t="shared" si="2"/>
        <v>468600</v>
      </c>
      <c r="M54" s="111">
        <v>49500</v>
      </c>
      <c r="N54" s="111">
        <f t="shared" si="3"/>
        <v>594000</v>
      </c>
      <c r="O54" s="118">
        <v>182600</v>
      </c>
      <c r="P54" s="113">
        <f t="shared" si="0"/>
        <v>2191200</v>
      </c>
      <c r="Q54" s="114" t="s">
        <v>310</v>
      </c>
      <c r="R54" s="115">
        <f t="shared" si="4"/>
        <v>133100</v>
      </c>
      <c r="S54" s="115">
        <f t="shared" si="4"/>
        <v>1597200</v>
      </c>
      <c r="T54" s="119" t="s">
        <v>312</v>
      </c>
    </row>
    <row r="55" spans="1:20" ht="17.149999999999999" customHeight="1">
      <c r="A55" s="5" t="s">
        <v>304</v>
      </c>
      <c r="B55" s="6">
        <f t="shared" si="1"/>
        <v>54</v>
      </c>
      <c r="C55" s="7" t="s">
        <v>18</v>
      </c>
      <c r="D55" s="7" t="s">
        <v>19</v>
      </c>
      <c r="E55" s="7" t="s">
        <v>20</v>
      </c>
      <c r="F55" s="7" t="s">
        <v>92</v>
      </c>
      <c r="G55" s="8" t="s">
        <v>87</v>
      </c>
      <c r="H55" s="7" t="s">
        <v>134</v>
      </c>
      <c r="I55" s="8" t="s">
        <v>135</v>
      </c>
      <c r="J55" s="100" t="s">
        <v>306</v>
      </c>
      <c r="K55" s="100">
        <v>82500</v>
      </c>
      <c r="L55" s="100">
        <f t="shared" si="2"/>
        <v>990000</v>
      </c>
      <c r="M55" s="101">
        <v>82500</v>
      </c>
      <c r="N55" s="101">
        <f t="shared" si="3"/>
        <v>990000</v>
      </c>
      <c r="O55" s="102">
        <v>82500</v>
      </c>
      <c r="P55" s="103">
        <f t="shared" si="0"/>
        <v>990000</v>
      </c>
      <c r="Q55" s="104" t="s">
        <v>209</v>
      </c>
      <c r="R55" s="105">
        <f t="shared" si="4"/>
        <v>0</v>
      </c>
      <c r="S55" s="105">
        <f t="shared" si="4"/>
        <v>0</v>
      </c>
      <c r="T55" s="106"/>
    </row>
    <row r="56" spans="1:20" ht="17.149999999999999" customHeight="1">
      <c r="A56" s="5" t="s">
        <v>304</v>
      </c>
      <c r="B56" s="6">
        <f t="shared" si="1"/>
        <v>55</v>
      </c>
      <c r="C56" s="10" t="s">
        <v>18</v>
      </c>
      <c r="D56" s="10" t="s">
        <v>19</v>
      </c>
      <c r="E56" s="10" t="s">
        <v>66</v>
      </c>
      <c r="F56" s="10" t="s">
        <v>92</v>
      </c>
      <c r="G56" s="8" t="s">
        <v>87</v>
      </c>
      <c r="H56" s="10" t="s">
        <v>136</v>
      </c>
      <c r="I56" s="13" t="s">
        <v>137</v>
      </c>
      <c r="J56" s="100" t="s">
        <v>306</v>
      </c>
      <c r="K56" s="100">
        <v>49500.000000000007</v>
      </c>
      <c r="L56" s="100">
        <f t="shared" si="2"/>
        <v>594000.00000000012</v>
      </c>
      <c r="M56" s="101">
        <v>49500.000000000007</v>
      </c>
      <c r="N56" s="101">
        <f t="shared" si="3"/>
        <v>594000.00000000012</v>
      </c>
      <c r="O56" s="102">
        <v>49500.000000000007</v>
      </c>
      <c r="P56" s="103">
        <f t="shared" si="0"/>
        <v>594000.00000000012</v>
      </c>
      <c r="Q56" s="104" t="s">
        <v>209</v>
      </c>
      <c r="R56" s="105">
        <f t="shared" si="4"/>
        <v>0</v>
      </c>
      <c r="S56" s="105">
        <f t="shared" si="4"/>
        <v>0</v>
      </c>
      <c r="T56" s="106"/>
    </row>
    <row r="57" spans="1:20" ht="17.149999999999999" customHeight="1">
      <c r="A57" s="5" t="s">
        <v>304</v>
      </c>
      <c r="B57" s="6">
        <f t="shared" si="1"/>
        <v>56</v>
      </c>
      <c r="C57" s="10" t="s">
        <v>18</v>
      </c>
      <c r="D57" s="10" t="s">
        <v>19</v>
      </c>
      <c r="E57" s="10" t="s">
        <v>66</v>
      </c>
      <c r="F57" s="10" t="s">
        <v>92</v>
      </c>
      <c r="G57" s="8" t="s">
        <v>87</v>
      </c>
      <c r="H57" s="10" t="s">
        <v>138</v>
      </c>
      <c r="I57" s="13" t="s">
        <v>139</v>
      </c>
      <c r="J57" s="100" t="s">
        <v>306</v>
      </c>
      <c r="K57" s="100">
        <v>49500.000000000007</v>
      </c>
      <c r="L57" s="100">
        <f t="shared" si="2"/>
        <v>594000.00000000012</v>
      </c>
      <c r="M57" s="101">
        <v>49500.000000000007</v>
      </c>
      <c r="N57" s="101">
        <f t="shared" si="3"/>
        <v>594000.00000000012</v>
      </c>
      <c r="O57" s="102">
        <v>49500.000000000007</v>
      </c>
      <c r="P57" s="103">
        <f t="shared" si="0"/>
        <v>594000.00000000012</v>
      </c>
      <c r="Q57" s="104" t="s">
        <v>209</v>
      </c>
      <c r="R57" s="105">
        <f t="shared" si="4"/>
        <v>0</v>
      </c>
      <c r="S57" s="105">
        <f t="shared" si="4"/>
        <v>0</v>
      </c>
      <c r="T57" s="106"/>
    </row>
    <row r="58" spans="1:20" ht="17.149999999999999" customHeight="1">
      <c r="A58" s="5" t="s">
        <v>304</v>
      </c>
      <c r="B58" s="6">
        <f t="shared" si="1"/>
        <v>57</v>
      </c>
      <c r="C58" s="10" t="s">
        <v>18</v>
      </c>
      <c r="D58" s="10" t="s">
        <v>19</v>
      </c>
      <c r="E58" s="10" t="s">
        <v>35</v>
      </c>
      <c r="F58" s="10" t="s">
        <v>92</v>
      </c>
      <c r="G58" s="8" t="s">
        <v>87</v>
      </c>
      <c r="H58" s="10" t="s">
        <v>140</v>
      </c>
      <c r="I58" s="13" t="s">
        <v>141</v>
      </c>
      <c r="J58" s="100" t="s">
        <v>306</v>
      </c>
      <c r="K58" s="100">
        <v>46200.000000000007</v>
      </c>
      <c r="L58" s="100">
        <f t="shared" si="2"/>
        <v>554400.00000000012</v>
      </c>
      <c r="M58" s="101">
        <v>46200.000000000007</v>
      </c>
      <c r="N58" s="101">
        <f t="shared" si="3"/>
        <v>554400.00000000012</v>
      </c>
      <c r="O58" s="102">
        <v>46200.000000000007</v>
      </c>
      <c r="P58" s="103">
        <f t="shared" si="0"/>
        <v>554400.00000000012</v>
      </c>
      <c r="Q58" s="104" t="s">
        <v>209</v>
      </c>
      <c r="R58" s="105">
        <f t="shared" si="4"/>
        <v>0</v>
      </c>
      <c r="S58" s="105">
        <f t="shared" si="4"/>
        <v>0</v>
      </c>
      <c r="T58" s="106"/>
    </row>
    <row r="59" spans="1:20" ht="17.149999999999999" customHeight="1">
      <c r="A59" s="5" t="s">
        <v>304</v>
      </c>
      <c r="B59" s="6">
        <f t="shared" si="1"/>
        <v>58</v>
      </c>
      <c r="C59" s="10" t="s">
        <v>18</v>
      </c>
      <c r="D59" s="10" t="s">
        <v>19</v>
      </c>
      <c r="E59" s="10" t="s">
        <v>66</v>
      </c>
      <c r="F59" s="10" t="s">
        <v>92</v>
      </c>
      <c r="G59" s="8" t="s">
        <v>87</v>
      </c>
      <c r="H59" s="10" t="s">
        <v>142</v>
      </c>
      <c r="I59" s="13" t="s">
        <v>143</v>
      </c>
      <c r="J59" s="100" t="s">
        <v>306</v>
      </c>
      <c r="K59" s="100">
        <v>49500.000000000007</v>
      </c>
      <c r="L59" s="100">
        <f t="shared" si="2"/>
        <v>594000.00000000012</v>
      </c>
      <c r="M59" s="101">
        <v>49500.000000000007</v>
      </c>
      <c r="N59" s="101">
        <f t="shared" si="3"/>
        <v>594000.00000000012</v>
      </c>
      <c r="O59" s="102">
        <v>49500.000000000007</v>
      </c>
      <c r="P59" s="103">
        <f t="shared" si="0"/>
        <v>594000.00000000012</v>
      </c>
      <c r="Q59" s="104" t="s">
        <v>209</v>
      </c>
      <c r="R59" s="105">
        <f t="shared" si="4"/>
        <v>0</v>
      </c>
      <c r="S59" s="105">
        <f t="shared" si="4"/>
        <v>0</v>
      </c>
      <c r="T59" s="106"/>
    </row>
    <row r="60" spans="1:20" ht="17.149999999999999" customHeight="1">
      <c r="A60" s="5" t="s">
        <v>304</v>
      </c>
      <c r="B60" s="6">
        <f t="shared" si="1"/>
        <v>59</v>
      </c>
      <c r="C60" s="10" t="s">
        <v>18</v>
      </c>
      <c r="D60" s="10" t="s">
        <v>19</v>
      </c>
      <c r="E60" s="6" t="s">
        <v>28</v>
      </c>
      <c r="F60" s="10" t="s">
        <v>92</v>
      </c>
      <c r="G60" s="8" t="s">
        <v>87</v>
      </c>
      <c r="H60" s="10" t="s">
        <v>144</v>
      </c>
      <c r="I60" s="13" t="s">
        <v>145</v>
      </c>
      <c r="J60" s="100" t="s">
        <v>306</v>
      </c>
      <c r="K60" s="100">
        <v>39050</v>
      </c>
      <c r="L60" s="100">
        <f t="shared" si="2"/>
        <v>468600</v>
      </c>
      <c r="M60" s="101">
        <v>39050</v>
      </c>
      <c r="N60" s="101">
        <f t="shared" si="3"/>
        <v>468600</v>
      </c>
      <c r="O60" s="102">
        <v>39050</v>
      </c>
      <c r="P60" s="103">
        <f t="shared" si="0"/>
        <v>468600</v>
      </c>
      <c r="Q60" s="104" t="s">
        <v>209</v>
      </c>
      <c r="R60" s="105">
        <f t="shared" si="4"/>
        <v>0</v>
      </c>
      <c r="S60" s="105">
        <f t="shared" si="4"/>
        <v>0</v>
      </c>
      <c r="T60" s="106"/>
    </row>
    <row r="61" spans="1:20" ht="17.149999999999999" customHeight="1">
      <c r="A61" s="5" t="s">
        <v>304</v>
      </c>
      <c r="B61" s="6">
        <f t="shared" si="1"/>
        <v>60</v>
      </c>
      <c r="C61" s="10" t="s">
        <v>18</v>
      </c>
      <c r="D61" s="10" t="s">
        <v>19</v>
      </c>
      <c r="E61" s="7" t="s">
        <v>35</v>
      </c>
      <c r="F61" s="10" t="s">
        <v>92</v>
      </c>
      <c r="G61" s="8" t="s">
        <v>87</v>
      </c>
      <c r="H61" s="7" t="s">
        <v>146</v>
      </c>
      <c r="I61" s="8" t="s">
        <v>147</v>
      </c>
      <c r="J61" s="100" t="s">
        <v>306</v>
      </c>
      <c r="K61" s="100">
        <v>46200.000000000007</v>
      </c>
      <c r="L61" s="100">
        <f t="shared" si="2"/>
        <v>554400.00000000012</v>
      </c>
      <c r="M61" s="101">
        <v>46200.000000000007</v>
      </c>
      <c r="N61" s="101">
        <f t="shared" si="3"/>
        <v>554400.00000000012</v>
      </c>
      <c r="O61" s="102">
        <v>46200.000000000007</v>
      </c>
      <c r="P61" s="103">
        <f t="shared" si="0"/>
        <v>554400.00000000012</v>
      </c>
      <c r="Q61" s="104" t="s">
        <v>209</v>
      </c>
      <c r="R61" s="105">
        <f t="shared" si="4"/>
        <v>0</v>
      </c>
      <c r="S61" s="105">
        <f t="shared" si="4"/>
        <v>0</v>
      </c>
      <c r="T61" s="106"/>
    </row>
    <row r="62" spans="1:20" ht="17.149999999999999" customHeight="1">
      <c r="A62" s="5" t="s">
        <v>304</v>
      </c>
      <c r="B62" s="6">
        <f t="shared" si="1"/>
        <v>61</v>
      </c>
      <c r="C62" s="10" t="s">
        <v>18</v>
      </c>
      <c r="D62" s="10" t="s">
        <v>19</v>
      </c>
      <c r="E62" s="7" t="s">
        <v>66</v>
      </c>
      <c r="F62" s="10" t="s">
        <v>92</v>
      </c>
      <c r="G62" s="8" t="s">
        <v>87</v>
      </c>
      <c r="H62" s="7" t="s">
        <v>146</v>
      </c>
      <c r="I62" s="8" t="s">
        <v>148</v>
      </c>
      <c r="J62" s="100" t="s">
        <v>306</v>
      </c>
      <c r="K62" s="100">
        <v>49500.000000000007</v>
      </c>
      <c r="L62" s="100">
        <f t="shared" si="2"/>
        <v>594000.00000000012</v>
      </c>
      <c r="M62" s="101">
        <v>49500.000000000007</v>
      </c>
      <c r="N62" s="101">
        <f t="shared" si="3"/>
        <v>594000.00000000012</v>
      </c>
      <c r="O62" s="102">
        <v>49500.000000000007</v>
      </c>
      <c r="P62" s="103">
        <f t="shared" si="0"/>
        <v>594000.00000000012</v>
      </c>
      <c r="Q62" s="104" t="s">
        <v>209</v>
      </c>
      <c r="R62" s="105">
        <f t="shared" si="4"/>
        <v>0</v>
      </c>
      <c r="S62" s="105">
        <f t="shared" si="4"/>
        <v>0</v>
      </c>
      <c r="T62" s="106"/>
    </row>
    <row r="63" spans="1:20" ht="17.149999999999999" customHeight="1">
      <c r="A63" s="5" t="s">
        <v>304</v>
      </c>
      <c r="B63" s="6">
        <f t="shared" si="1"/>
        <v>62</v>
      </c>
      <c r="C63" s="10" t="s">
        <v>18</v>
      </c>
      <c r="D63" s="10" t="s">
        <v>19</v>
      </c>
      <c r="E63" s="7" t="s">
        <v>66</v>
      </c>
      <c r="F63" s="10" t="s">
        <v>92</v>
      </c>
      <c r="G63" s="8" t="s">
        <v>87</v>
      </c>
      <c r="H63" s="7" t="s">
        <v>149</v>
      </c>
      <c r="I63" s="8" t="s">
        <v>150</v>
      </c>
      <c r="J63" s="100" t="s">
        <v>306</v>
      </c>
      <c r="K63" s="100">
        <v>49500.000000000007</v>
      </c>
      <c r="L63" s="100">
        <f t="shared" si="2"/>
        <v>594000.00000000012</v>
      </c>
      <c r="M63" s="101">
        <v>49500.000000000007</v>
      </c>
      <c r="N63" s="101">
        <f t="shared" si="3"/>
        <v>594000.00000000012</v>
      </c>
      <c r="O63" s="102">
        <v>49500.000000000007</v>
      </c>
      <c r="P63" s="103">
        <f t="shared" si="0"/>
        <v>594000.00000000012</v>
      </c>
      <c r="Q63" s="104" t="s">
        <v>209</v>
      </c>
      <c r="R63" s="105">
        <f t="shared" si="4"/>
        <v>0</v>
      </c>
      <c r="S63" s="105">
        <f t="shared" si="4"/>
        <v>0</v>
      </c>
      <c r="T63" s="106"/>
    </row>
    <row r="64" spans="1:20" ht="17.149999999999999" customHeight="1">
      <c r="A64" s="5" t="s">
        <v>304</v>
      </c>
      <c r="B64" s="6">
        <f t="shared" si="1"/>
        <v>63</v>
      </c>
      <c r="C64" s="10" t="s">
        <v>18</v>
      </c>
      <c r="D64" s="10" t="s">
        <v>19</v>
      </c>
      <c r="E64" s="6" t="s">
        <v>28</v>
      </c>
      <c r="F64" s="10" t="s">
        <v>92</v>
      </c>
      <c r="G64" s="8" t="s">
        <v>87</v>
      </c>
      <c r="H64" s="7" t="s">
        <v>151</v>
      </c>
      <c r="I64" s="8" t="s">
        <v>152</v>
      </c>
      <c r="J64" s="100" t="s">
        <v>306</v>
      </c>
      <c r="K64" s="100">
        <v>39050</v>
      </c>
      <c r="L64" s="100">
        <f t="shared" si="2"/>
        <v>468600</v>
      </c>
      <c r="M64" s="101">
        <v>39050</v>
      </c>
      <c r="N64" s="101">
        <f t="shared" si="3"/>
        <v>468600</v>
      </c>
      <c r="O64" s="102">
        <v>39050</v>
      </c>
      <c r="P64" s="103">
        <f t="shared" si="0"/>
        <v>468600</v>
      </c>
      <c r="Q64" s="104" t="s">
        <v>209</v>
      </c>
      <c r="R64" s="105">
        <f t="shared" si="4"/>
        <v>0</v>
      </c>
      <c r="S64" s="105">
        <f t="shared" si="4"/>
        <v>0</v>
      </c>
      <c r="T64" s="106"/>
    </row>
    <row r="65" spans="1:20" ht="17.149999999999999" customHeight="1">
      <c r="A65" s="5" t="s">
        <v>304</v>
      </c>
      <c r="B65" s="6">
        <f t="shared" si="1"/>
        <v>64</v>
      </c>
      <c r="C65" s="10" t="s">
        <v>18</v>
      </c>
      <c r="D65" s="10" t="s">
        <v>19</v>
      </c>
      <c r="E65" s="7" t="s">
        <v>35</v>
      </c>
      <c r="F65" s="10" t="s">
        <v>92</v>
      </c>
      <c r="G65" s="8" t="s">
        <v>87</v>
      </c>
      <c r="H65" s="7" t="s">
        <v>153</v>
      </c>
      <c r="I65" s="8" t="s">
        <v>154</v>
      </c>
      <c r="J65" s="100" t="s">
        <v>306</v>
      </c>
      <c r="K65" s="100">
        <v>46200.000000000007</v>
      </c>
      <c r="L65" s="100">
        <f t="shared" si="2"/>
        <v>554400.00000000012</v>
      </c>
      <c r="M65" s="101">
        <v>46200.000000000007</v>
      </c>
      <c r="N65" s="101">
        <f t="shared" si="3"/>
        <v>554400.00000000012</v>
      </c>
      <c r="O65" s="102">
        <v>46200.000000000007</v>
      </c>
      <c r="P65" s="103">
        <f t="shared" si="0"/>
        <v>554400.00000000012</v>
      </c>
      <c r="Q65" s="104" t="s">
        <v>209</v>
      </c>
      <c r="R65" s="105">
        <f t="shared" si="4"/>
        <v>0</v>
      </c>
      <c r="S65" s="105">
        <f t="shared" si="4"/>
        <v>0</v>
      </c>
      <c r="T65" s="106"/>
    </row>
    <row r="66" spans="1:20" ht="17.149999999999999" customHeight="1">
      <c r="A66" s="5" t="s">
        <v>304</v>
      </c>
      <c r="B66" s="6">
        <f t="shared" si="1"/>
        <v>65</v>
      </c>
      <c r="C66" s="10" t="s">
        <v>18</v>
      </c>
      <c r="D66" s="10" t="s">
        <v>19</v>
      </c>
      <c r="E66" s="6" t="s">
        <v>28</v>
      </c>
      <c r="F66" s="10" t="s">
        <v>92</v>
      </c>
      <c r="G66" s="8" t="s">
        <v>87</v>
      </c>
      <c r="H66" s="7" t="s">
        <v>155</v>
      </c>
      <c r="I66" s="8" t="s">
        <v>156</v>
      </c>
      <c r="J66" s="100" t="s">
        <v>306</v>
      </c>
      <c r="K66" s="100">
        <v>39050</v>
      </c>
      <c r="L66" s="100">
        <f t="shared" si="2"/>
        <v>468600</v>
      </c>
      <c r="M66" s="101">
        <v>39050</v>
      </c>
      <c r="N66" s="101">
        <f t="shared" si="3"/>
        <v>468600</v>
      </c>
      <c r="O66" s="102">
        <v>39050</v>
      </c>
      <c r="P66" s="103">
        <f t="shared" ref="P66:P100" si="5">O66*12</f>
        <v>468600</v>
      </c>
      <c r="Q66" s="104" t="s">
        <v>209</v>
      </c>
      <c r="R66" s="105">
        <f t="shared" si="4"/>
        <v>0</v>
      </c>
      <c r="S66" s="105">
        <f t="shared" si="4"/>
        <v>0</v>
      </c>
      <c r="T66" s="106"/>
    </row>
    <row r="67" spans="1:20" ht="17.149999999999999" customHeight="1">
      <c r="A67" s="5" t="s">
        <v>304</v>
      </c>
      <c r="B67" s="6">
        <f t="shared" ref="B67:B100" si="6">ROW()-1</f>
        <v>66</v>
      </c>
      <c r="C67" s="10" t="s">
        <v>18</v>
      </c>
      <c r="D67" s="10" t="s">
        <v>19</v>
      </c>
      <c r="E67" s="7" t="s">
        <v>66</v>
      </c>
      <c r="F67" s="10" t="s">
        <v>92</v>
      </c>
      <c r="G67" s="8" t="s">
        <v>87</v>
      </c>
      <c r="H67" s="7" t="s">
        <v>157</v>
      </c>
      <c r="I67" s="8" t="s">
        <v>158</v>
      </c>
      <c r="J67" s="100" t="s">
        <v>306</v>
      </c>
      <c r="K67" s="100">
        <v>49500.000000000007</v>
      </c>
      <c r="L67" s="100">
        <f t="shared" ref="L67:L93" si="7">K67*12</f>
        <v>594000.00000000012</v>
      </c>
      <c r="M67" s="101">
        <v>49500.000000000007</v>
      </c>
      <c r="N67" s="101">
        <f t="shared" ref="N67:N82" si="8">M67*12</f>
        <v>594000.00000000012</v>
      </c>
      <c r="O67" s="102">
        <v>49500.000000000007</v>
      </c>
      <c r="P67" s="103">
        <f t="shared" si="5"/>
        <v>594000.00000000012</v>
      </c>
      <c r="Q67" s="104" t="s">
        <v>209</v>
      </c>
      <c r="R67" s="105">
        <f t="shared" ref="R67:S100" si="9">O67-M67</f>
        <v>0</v>
      </c>
      <c r="S67" s="105">
        <f t="shared" si="9"/>
        <v>0</v>
      </c>
      <c r="T67" s="106"/>
    </row>
    <row r="68" spans="1:20" ht="17.149999999999999" customHeight="1">
      <c r="A68" s="5" t="s">
        <v>304</v>
      </c>
      <c r="B68" s="6">
        <f t="shared" si="6"/>
        <v>67</v>
      </c>
      <c r="C68" s="10" t="s">
        <v>18</v>
      </c>
      <c r="D68" s="10" t="s">
        <v>19</v>
      </c>
      <c r="E68" s="7" t="s">
        <v>66</v>
      </c>
      <c r="F68" s="10" t="s">
        <v>92</v>
      </c>
      <c r="G68" s="8" t="s">
        <v>87</v>
      </c>
      <c r="H68" s="7" t="s">
        <v>157</v>
      </c>
      <c r="I68" s="8" t="s">
        <v>159</v>
      </c>
      <c r="J68" s="100" t="s">
        <v>306</v>
      </c>
      <c r="K68" s="100">
        <v>49500.000000000007</v>
      </c>
      <c r="L68" s="100">
        <f t="shared" si="7"/>
        <v>594000.00000000012</v>
      </c>
      <c r="M68" s="101">
        <v>49500.000000000007</v>
      </c>
      <c r="N68" s="101">
        <f t="shared" si="8"/>
        <v>594000.00000000012</v>
      </c>
      <c r="O68" s="102">
        <v>49500.000000000007</v>
      </c>
      <c r="P68" s="103">
        <f t="shared" si="5"/>
        <v>594000.00000000012</v>
      </c>
      <c r="Q68" s="104" t="s">
        <v>209</v>
      </c>
      <c r="R68" s="105">
        <f t="shared" si="9"/>
        <v>0</v>
      </c>
      <c r="S68" s="105">
        <f t="shared" si="9"/>
        <v>0</v>
      </c>
      <c r="T68" s="106"/>
    </row>
    <row r="69" spans="1:20" ht="17.149999999999999" customHeight="1">
      <c r="A69" s="5" t="s">
        <v>304</v>
      </c>
      <c r="B69" s="6">
        <f t="shared" si="6"/>
        <v>68</v>
      </c>
      <c r="C69" s="10" t="s">
        <v>18</v>
      </c>
      <c r="D69" s="10" t="s">
        <v>19</v>
      </c>
      <c r="E69" s="6" t="s">
        <v>28</v>
      </c>
      <c r="F69" s="10" t="s">
        <v>92</v>
      </c>
      <c r="G69" s="8" t="s">
        <v>87</v>
      </c>
      <c r="H69" s="7" t="s">
        <v>160</v>
      </c>
      <c r="I69" s="8" t="s">
        <v>161</v>
      </c>
      <c r="J69" s="100" t="s">
        <v>306</v>
      </c>
      <c r="K69" s="100">
        <v>39050</v>
      </c>
      <c r="L69" s="100">
        <f t="shared" si="7"/>
        <v>468600</v>
      </c>
      <c r="M69" s="101">
        <v>39050</v>
      </c>
      <c r="N69" s="101">
        <f t="shared" si="8"/>
        <v>468600</v>
      </c>
      <c r="O69" s="102">
        <v>39050</v>
      </c>
      <c r="P69" s="103">
        <f t="shared" si="5"/>
        <v>468600</v>
      </c>
      <c r="Q69" s="104" t="s">
        <v>209</v>
      </c>
      <c r="R69" s="105">
        <f t="shared" si="9"/>
        <v>0</v>
      </c>
      <c r="S69" s="105">
        <f t="shared" si="9"/>
        <v>0</v>
      </c>
      <c r="T69" s="106"/>
    </row>
    <row r="70" spans="1:20" ht="17.149999999999999" customHeight="1">
      <c r="A70" s="5" t="s">
        <v>304</v>
      </c>
      <c r="B70" s="6">
        <f t="shared" si="6"/>
        <v>69</v>
      </c>
      <c r="C70" s="10" t="s">
        <v>18</v>
      </c>
      <c r="D70" s="10" t="s">
        <v>19</v>
      </c>
      <c r="E70" s="6" t="s">
        <v>28</v>
      </c>
      <c r="F70" s="10" t="s">
        <v>92</v>
      </c>
      <c r="G70" s="8" t="s">
        <v>87</v>
      </c>
      <c r="H70" s="7" t="s">
        <v>162</v>
      </c>
      <c r="I70" s="8" t="s">
        <v>163</v>
      </c>
      <c r="J70" s="100" t="s">
        <v>306</v>
      </c>
      <c r="K70" s="100">
        <v>39050</v>
      </c>
      <c r="L70" s="100">
        <f t="shared" si="7"/>
        <v>468600</v>
      </c>
      <c r="M70" s="101">
        <v>39050</v>
      </c>
      <c r="N70" s="101">
        <f t="shared" si="8"/>
        <v>468600</v>
      </c>
      <c r="O70" s="102">
        <v>39050</v>
      </c>
      <c r="P70" s="103">
        <f t="shared" si="5"/>
        <v>468600</v>
      </c>
      <c r="Q70" s="104" t="s">
        <v>209</v>
      </c>
      <c r="R70" s="105">
        <f t="shared" si="9"/>
        <v>0</v>
      </c>
      <c r="S70" s="105">
        <f t="shared" si="9"/>
        <v>0</v>
      </c>
      <c r="T70" s="106"/>
    </row>
    <row r="71" spans="1:20" ht="17.149999999999999" customHeight="1">
      <c r="A71" s="5" t="s">
        <v>304</v>
      </c>
      <c r="B71" s="6">
        <f t="shared" si="6"/>
        <v>70</v>
      </c>
      <c r="C71" s="10" t="s">
        <v>18</v>
      </c>
      <c r="D71" s="10" t="s">
        <v>19</v>
      </c>
      <c r="E71" s="6" t="s">
        <v>28</v>
      </c>
      <c r="F71" s="10" t="s">
        <v>92</v>
      </c>
      <c r="G71" s="8" t="s">
        <v>87</v>
      </c>
      <c r="H71" s="7" t="s">
        <v>162</v>
      </c>
      <c r="I71" s="8" t="s">
        <v>163</v>
      </c>
      <c r="J71" s="100" t="s">
        <v>306</v>
      </c>
      <c r="K71" s="100">
        <v>39050</v>
      </c>
      <c r="L71" s="100">
        <f t="shared" si="7"/>
        <v>468600</v>
      </c>
      <c r="M71" s="101">
        <v>39050</v>
      </c>
      <c r="N71" s="101">
        <f t="shared" si="8"/>
        <v>468600</v>
      </c>
      <c r="O71" s="102">
        <v>39050</v>
      </c>
      <c r="P71" s="103">
        <f t="shared" si="5"/>
        <v>468600</v>
      </c>
      <c r="Q71" s="104" t="s">
        <v>209</v>
      </c>
      <c r="R71" s="105">
        <f t="shared" si="9"/>
        <v>0</v>
      </c>
      <c r="S71" s="105">
        <f t="shared" si="9"/>
        <v>0</v>
      </c>
      <c r="T71" s="106"/>
    </row>
    <row r="72" spans="1:20" ht="17.149999999999999" customHeight="1">
      <c r="A72" s="5" t="s">
        <v>304</v>
      </c>
      <c r="B72" s="6">
        <f t="shared" si="6"/>
        <v>71</v>
      </c>
      <c r="C72" s="10" t="s">
        <v>18</v>
      </c>
      <c r="D72" s="10" t="s">
        <v>19</v>
      </c>
      <c r="E72" s="6" t="s">
        <v>28</v>
      </c>
      <c r="F72" s="10" t="s">
        <v>92</v>
      </c>
      <c r="G72" s="8" t="s">
        <v>87</v>
      </c>
      <c r="H72" s="7" t="s">
        <v>164</v>
      </c>
      <c r="I72" s="8" t="s">
        <v>165</v>
      </c>
      <c r="J72" s="100" t="s">
        <v>306</v>
      </c>
      <c r="K72" s="100">
        <v>39050</v>
      </c>
      <c r="L72" s="100">
        <f t="shared" si="7"/>
        <v>468600</v>
      </c>
      <c r="M72" s="101">
        <v>39050</v>
      </c>
      <c r="N72" s="101">
        <f t="shared" si="8"/>
        <v>468600</v>
      </c>
      <c r="O72" s="102">
        <v>39050</v>
      </c>
      <c r="P72" s="103">
        <f t="shared" si="5"/>
        <v>468600</v>
      </c>
      <c r="Q72" s="104" t="s">
        <v>209</v>
      </c>
      <c r="R72" s="105">
        <f t="shared" si="9"/>
        <v>0</v>
      </c>
      <c r="S72" s="105">
        <f t="shared" si="9"/>
        <v>0</v>
      </c>
      <c r="T72" s="106"/>
    </row>
    <row r="73" spans="1:20" ht="17.149999999999999" customHeight="1">
      <c r="A73" s="5" t="s">
        <v>304</v>
      </c>
      <c r="B73" s="6">
        <f t="shared" si="6"/>
        <v>72</v>
      </c>
      <c r="C73" s="10" t="s">
        <v>18</v>
      </c>
      <c r="D73" s="10" t="s">
        <v>19</v>
      </c>
      <c r="E73" s="7" t="s">
        <v>35</v>
      </c>
      <c r="F73" s="10" t="s">
        <v>92</v>
      </c>
      <c r="G73" s="8" t="s">
        <v>87</v>
      </c>
      <c r="H73" s="7" t="s">
        <v>166</v>
      </c>
      <c r="I73" s="8" t="s">
        <v>167</v>
      </c>
      <c r="J73" s="100" t="s">
        <v>306</v>
      </c>
      <c r="K73" s="100">
        <v>46200.000000000007</v>
      </c>
      <c r="L73" s="100">
        <f t="shared" si="7"/>
        <v>554400.00000000012</v>
      </c>
      <c r="M73" s="101">
        <v>46200.000000000007</v>
      </c>
      <c r="N73" s="101">
        <f t="shared" si="8"/>
        <v>554400.00000000012</v>
      </c>
      <c r="O73" s="102">
        <v>46200.000000000007</v>
      </c>
      <c r="P73" s="103">
        <f t="shared" si="5"/>
        <v>554400.00000000012</v>
      </c>
      <c r="Q73" s="104" t="s">
        <v>209</v>
      </c>
      <c r="R73" s="105">
        <f t="shared" si="9"/>
        <v>0</v>
      </c>
      <c r="S73" s="105">
        <f t="shared" si="9"/>
        <v>0</v>
      </c>
      <c r="T73" s="106"/>
    </row>
    <row r="74" spans="1:20" ht="17.149999999999999" customHeight="1">
      <c r="A74" s="5" t="s">
        <v>304</v>
      </c>
      <c r="B74" s="6">
        <f t="shared" si="6"/>
        <v>73</v>
      </c>
      <c r="C74" s="10" t="s">
        <v>18</v>
      </c>
      <c r="D74" s="10" t="s">
        <v>19</v>
      </c>
      <c r="E74" s="7" t="s">
        <v>35</v>
      </c>
      <c r="F74" s="10" t="s">
        <v>92</v>
      </c>
      <c r="G74" s="8" t="s">
        <v>87</v>
      </c>
      <c r="H74" s="7" t="s">
        <v>168</v>
      </c>
      <c r="I74" s="8" t="s">
        <v>169</v>
      </c>
      <c r="J74" s="100" t="s">
        <v>306</v>
      </c>
      <c r="K74" s="100">
        <v>46200.000000000007</v>
      </c>
      <c r="L74" s="100">
        <f t="shared" si="7"/>
        <v>554400.00000000012</v>
      </c>
      <c r="M74" s="101">
        <v>46200.000000000007</v>
      </c>
      <c r="N74" s="101">
        <f t="shared" si="8"/>
        <v>554400.00000000012</v>
      </c>
      <c r="O74" s="102">
        <v>46200.000000000007</v>
      </c>
      <c r="P74" s="103">
        <f t="shared" si="5"/>
        <v>554400.00000000012</v>
      </c>
      <c r="Q74" s="104" t="s">
        <v>209</v>
      </c>
      <c r="R74" s="105">
        <f t="shared" si="9"/>
        <v>0</v>
      </c>
      <c r="S74" s="105">
        <f t="shared" si="9"/>
        <v>0</v>
      </c>
      <c r="T74" s="106"/>
    </row>
    <row r="75" spans="1:20" ht="17.149999999999999" customHeight="1">
      <c r="A75" s="5" t="s">
        <v>304</v>
      </c>
      <c r="B75" s="6">
        <f t="shared" si="6"/>
        <v>74</v>
      </c>
      <c r="C75" s="10" t="s">
        <v>18</v>
      </c>
      <c r="D75" s="10" t="s">
        <v>19</v>
      </c>
      <c r="E75" s="6" t="s">
        <v>28</v>
      </c>
      <c r="F75" s="10" t="s">
        <v>92</v>
      </c>
      <c r="G75" s="8" t="s">
        <v>87</v>
      </c>
      <c r="H75" s="7" t="s">
        <v>170</v>
      </c>
      <c r="I75" s="8" t="s">
        <v>171</v>
      </c>
      <c r="J75" s="100" t="s">
        <v>306</v>
      </c>
      <c r="K75" s="100">
        <v>39050</v>
      </c>
      <c r="L75" s="100">
        <f t="shared" si="7"/>
        <v>468600</v>
      </c>
      <c r="M75" s="101">
        <v>39050</v>
      </c>
      <c r="N75" s="101">
        <f t="shared" si="8"/>
        <v>468600</v>
      </c>
      <c r="O75" s="102">
        <v>39050</v>
      </c>
      <c r="P75" s="103">
        <f t="shared" si="5"/>
        <v>468600</v>
      </c>
      <c r="Q75" s="104" t="s">
        <v>209</v>
      </c>
      <c r="R75" s="105">
        <f t="shared" si="9"/>
        <v>0</v>
      </c>
      <c r="S75" s="105">
        <f t="shared" si="9"/>
        <v>0</v>
      </c>
      <c r="T75" s="106"/>
    </row>
    <row r="76" spans="1:20" ht="17.149999999999999" customHeight="1">
      <c r="A76" s="5" t="s">
        <v>304</v>
      </c>
      <c r="B76" s="6">
        <f t="shared" si="6"/>
        <v>75</v>
      </c>
      <c r="C76" s="10" t="s">
        <v>18</v>
      </c>
      <c r="D76" s="10" t="s">
        <v>19</v>
      </c>
      <c r="E76" s="7" t="s">
        <v>35</v>
      </c>
      <c r="F76" s="10" t="s">
        <v>92</v>
      </c>
      <c r="G76" s="8" t="s">
        <v>87</v>
      </c>
      <c r="H76" s="7" t="s">
        <v>172</v>
      </c>
      <c r="I76" s="8" t="s">
        <v>173</v>
      </c>
      <c r="J76" s="100" t="s">
        <v>306</v>
      </c>
      <c r="K76" s="100">
        <v>46200.000000000007</v>
      </c>
      <c r="L76" s="100">
        <f t="shared" si="7"/>
        <v>554400.00000000012</v>
      </c>
      <c r="M76" s="101">
        <v>46200.000000000007</v>
      </c>
      <c r="N76" s="101">
        <f t="shared" si="8"/>
        <v>554400.00000000012</v>
      </c>
      <c r="O76" s="102">
        <v>46200.000000000007</v>
      </c>
      <c r="P76" s="103">
        <f t="shared" si="5"/>
        <v>554400.00000000012</v>
      </c>
      <c r="Q76" s="104" t="s">
        <v>209</v>
      </c>
      <c r="R76" s="105">
        <f t="shared" si="9"/>
        <v>0</v>
      </c>
      <c r="S76" s="105">
        <f t="shared" si="9"/>
        <v>0</v>
      </c>
      <c r="T76" s="106"/>
    </row>
    <row r="77" spans="1:20" ht="17.149999999999999" customHeight="1">
      <c r="A77" s="5" t="s">
        <v>304</v>
      </c>
      <c r="B77" s="6">
        <f t="shared" si="6"/>
        <v>76</v>
      </c>
      <c r="C77" s="10" t="s">
        <v>18</v>
      </c>
      <c r="D77" s="10" t="s">
        <v>19</v>
      </c>
      <c r="E77" s="10" t="s">
        <v>66</v>
      </c>
      <c r="F77" s="10" t="s">
        <v>92</v>
      </c>
      <c r="G77" s="8" t="s">
        <v>87</v>
      </c>
      <c r="H77" s="10" t="s">
        <v>174</v>
      </c>
      <c r="I77" s="13" t="s">
        <v>175</v>
      </c>
      <c r="J77" s="100" t="s">
        <v>306</v>
      </c>
      <c r="K77" s="100">
        <v>49500.000000000007</v>
      </c>
      <c r="L77" s="100">
        <f t="shared" si="7"/>
        <v>594000.00000000012</v>
      </c>
      <c r="M77" s="101">
        <v>49500.000000000007</v>
      </c>
      <c r="N77" s="101">
        <f t="shared" si="8"/>
        <v>594000.00000000012</v>
      </c>
      <c r="O77" s="102">
        <v>49500.000000000007</v>
      </c>
      <c r="P77" s="103">
        <f t="shared" si="5"/>
        <v>594000.00000000012</v>
      </c>
      <c r="Q77" s="104" t="s">
        <v>209</v>
      </c>
      <c r="R77" s="105">
        <f t="shared" si="9"/>
        <v>0</v>
      </c>
      <c r="S77" s="105">
        <f t="shared" si="9"/>
        <v>0</v>
      </c>
      <c r="T77" s="106"/>
    </row>
    <row r="78" spans="1:20" ht="17.149999999999999" customHeight="1">
      <c r="A78" s="5" t="s">
        <v>304</v>
      </c>
      <c r="B78" s="6">
        <f t="shared" si="6"/>
        <v>77</v>
      </c>
      <c r="C78" s="10" t="s">
        <v>18</v>
      </c>
      <c r="D78" s="10" t="s">
        <v>19</v>
      </c>
      <c r="E78" s="10" t="s">
        <v>66</v>
      </c>
      <c r="F78" s="10" t="s">
        <v>92</v>
      </c>
      <c r="G78" s="8" t="s">
        <v>87</v>
      </c>
      <c r="H78" s="10" t="s">
        <v>174</v>
      </c>
      <c r="I78" s="13" t="s">
        <v>176</v>
      </c>
      <c r="J78" s="100" t="s">
        <v>306</v>
      </c>
      <c r="K78" s="100">
        <v>49500.000000000007</v>
      </c>
      <c r="L78" s="100">
        <f t="shared" si="7"/>
        <v>594000.00000000012</v>
      </c>
      <c r="M78" s="101">
        <v>49500.000000000007</v>
      </c>
      <c r="N78" s="101">
        <f t="shared" si="8"/>
        <v>594000.00000000012</v>
      </c>
      <c r="O78" s="102">
        <v>49500.000000000007</v>
      </c>
      <c r="P78" s="103">
        <f t="shared" si="5"/>
        <v>594000.00000000012</v>
      </c>
      <c r="Q78" s="104" t="s">
        <v>209</v>
      </c>
      <c r="R78" s="105">
        <f t="shared" si="9"/>
        <v>0</v>
      </c>
      <c r="S78" s="105">
        <f t="shared" si="9"/>
        <v>0</v>
      </c>
      <c r="T78" s="106"/>
    </row>
    <row r="79" spans="1:20" ht="17.149999999999999" customHeight="1">
      <c r="A79" s="5" t="s">
        <v>304</v>
      </c>
      <c r="B79" s="6">
        <f t="shared" si="6"/>
        <v>78</v>
      </c>
      <c r="C79" s="10" t="s">
        <v>18</v>
      </c>
      <c r="D79" s="10" t="s">
        <v>19</v>
      </c>
      <c r="E79" s="10" t="s">
        <v>177</v>
      </c>
      <c r="F79" s="10" t="s">
        <v>92</v>
      </c>
      <c r="G79" s="8" t="s">
        <v>87</v>
      </c>
      <c r="H79" s="10" t="s">
        <v>178</v>
      </c>
      <c r="I79" s="13" t="s">
        <v>179</v>
      </c>
      <c r="J79" s="100" t="s">
        <v>306</v>
      </c>
      <c r="K79" s="100">
        <v>220000.00000000003</v>
      </c>
      <c r="L79" s="100">
        <f t="shared" si="7"/>
        <v>2640000.0000000005</v>
      </c>
      <c r="M79" s="101">
        <v>220000.00000000003</v>
      </c>
      <c r="N79" s="101">
        <f t="shared" si="8"/>
        <v>2640000.0000000005</v>
      </c>
      <c r="O79" s="102">
        <v>220000.00000000003</v>
      </c>
      <c r="P79" s="103">
        <f t="shared" si="5"/>
        <v>2640000.0000000005</v>
      </c>
      <c r="Q79" s="104" t="s">
        <v>209</v>
      </c>
      <c r="R79" s="105">
        <f t="shared" si="9"/>
        <v>0</v>
      </c>
      <c r="S79" s="105">
        <f t="shared" si="9"/>
        <v>0</v>
      </c>
      <c r="T79" s="106"/>
    </row>
    <row r="80" spans="1:20" ht="17.149999999999999" customHeight="1">
      <c r="A80" s="5" t="s">
        <v>304</v>
      </c>
      <c r="B80" s="6">
        <f t="shared" si="6"/>
        <v>79</v>
      </c>
      <c r="C80" s="10" t="s">
        <v>18</v>
      </c>
      <c r="D80" s="10" t="s">
        <v>19</v>
      </c>
      <c r="E80" s="10" t="s">
        <v>177</v>
      </c>
      <c r="F80" s="10" t="s">
        <v>92</v>
      </c>
      <c r="G80" s="8" t="s">
        <v>87</v>
      </c>
      <c r="H80" s="10" t="s">
        <v>178</v>
      </c>
      <c r="I80" s="13" t="s">
        <v>179</v>
      </c>
      <c r="J80" s="100" t="s">
        <v>306</v>
      </c>
      <c r="K80" s="100">
        <v>220000.00000000003</v>
      </c>
      <c r="L80" s="100">
        <f t="shared" si="7"/>
        <v>2640000.0000000005</v>
      </c>
      <c r="M80" s="101">
        <v>220000.00000000003</v>
      </c>
      <c r="N80" s="101">
        <f t="shared" si="8"/>
        <v>2640000.0000000005</v>
      </c>
      <c r="O80" s="102">
        <v>220000.00000000003</v>
      </c>
      <c r="P80" s="103">
        <f t="shared" si="5"/>
        <v>2640000.0000000005</v>
      </c>
      <c r="Q80" s="104" t="s">
        <v>209</v>
      </c>
      <c r="R80" s="105">
        <f t="shared" si="9"/>
        <v>0</v>
      </c>
      <c r="S80" s="105">
        <f t="shared" si="9"/>
        <v>0</v>
      </c>
      <c r="T80" s="106"/>
    </row>
    <row r="81" spans="1:20" ht="17.149999999999999" customHeight="1">
      <c r="A81" s="5" t="s">
        <v>304</v>
      </c>
      <c r="B81" s="6">
        <f t="shared" si="6"/>
        <v>80</v>
      </c>
      <c r="C81" s="10" t="s">
        <v>18</v>
      </c>
      <c r="D81" s="10" t="s">
        <v>19</v>
      </c>
      <c r="E81" s="10" t="s">
        <v>180</v>
      </c>
      <c r="F81" s="10" t="s">
        <v>92</v>
      </c>
      <c r="G81" s="8" t="s">
        <v>87</v>
      </c>
      <c r="H81" s="16" t="s">
        <v>181</v>
      </c>
      <c r="I81" s="28" t="s">
        <v>182</v>
      </c>
      <c r="J81" s="100" t="s">
        <v>306</v>
      </c>
      <c r="K81" s="100">
        <v>110000.00000000001</v>
      </c>
      <c r="L81" s="100">
        <f t="shared" si="7"/>
        <v>1320000.0000000002</v>
      </c>
      <c r="M81" s="101">
        <v>110000.00000000001</v>
      </c>
      <c r="N81" s="101">
        <f t="shared" si="8"/>
        <v>1320000.0000000002</v>
      </c>
      <c r="O81" s="102">
        <v>110000.00000000001</v>
      </c>
      <c r="P81" s="103">
        <f t="shared" si="5"/>
        <v>1320000.0000000002</v>
      </c>
      <c r="Q81" s="104" t="s">
        <v>209</v>
      </c>
      <c r="R81" s="105">
        <f t="shared" si="9"/>
        <v>0</v>
      </c>
      <c r="S81" s="105">
        <f t="shared" si="9"/>
        <v>0</v>
      </c>
      <c r="T81" s="106"/>
    </row>
    <row r="82" spans="1:20" ht="16.5" customHeight="1">
      <c r="A82" s="5" t="s">
        <v>304</v>
      </c>
      <c r="B82" s="6">
        <f t="shared" si="6"/>
        <v>81</v>
      </c>
      <c r="C82" s="7" t="s">
        <v>18</v>
      </c>
      <c r="D82" s="7" t="s">
        <v>19</v>
      </c>
      <c r="E82" s="10" t="s">
        <v>103</v>
      </c>
      <c r="F82" s="7" t="s">
        <v>92</v>
      </c>
      <c r="G82" s="8" t="s">
        <v>87</v>
      </c>
      <c r="H82" s="11" t="s">
        <v>183</v>
      </c>
      <c r="I82" s="8" t="s">
        <v>184</v>
      </c>
      <c r="J82" s="100" t="s">
        <v>306</v>
      </c>
      <c r="K82" s="100">
        <v>55000.000000000007</v>
      </c>
      <c r="L82" s="100">
        <f t="shared" si="7"/>
        <v>660000.00000000012</v>
      </c>
      <c r="M82" s="101">
        <v>55000.000000000007</v>
      </c>
      <c r="N82" s="101">
        <f t="shared" si="8"/>
        <v>660000.00000000012</v>
      </c>
      <c r="O82" s="102">
        <v>55000.000000000007</v>
      </c>
      <c r="P82" s="103">
        <f t="shared" si="5"/>
        <v>660000.00000000012</v>
      </c>
      <c r="Q82" s="104" t="s">
        <v>209</v>
      </c>
      <c r="R82" s="105">
        <f t="shared" si="9"/>
        <v>0</v>
      </c>
      <c r="S82" s="105">
        <f t="shared" si="9"/>
        <v>0</v>
      </c>
      <c r="T82" s="106"/>
    </row>
    <row r="83" spans="1:20" ht="17.149999999999999" customHeight="1">
      <c r="A83" s="5" t="s">
        <v>304</v>
      </c>
      <c r="B83" s="6">
        <f t="shared" si="6"/>
        <v>82</v>
      </c>
      <c r="C83" s="7" t="s">
        <v>18</v>
      </c>
      <c r="D83" s="7" t="s">
        <v>19</v>
      </c>
      <c r="E83" s="7" t="s">
        <v>35</v>
      </c>
      <c r="F83" s="7" t="s">
        <v>92</v>
      </c>
      <c r="G83" s="8" t="s">
        <v>87</v>
      </c>
      <c r="H83" s="7" t="s">
        <v>185</v>
      </c>
      <c r="I83" s="27" t="s">
        <v>186</v>
      </c>
      <c r="J83" s="100" t="s">
        <v>306</v>
      </c>
      <c r="K83" s="100">
        <v>46200.000000000007</v>
      </c>
      <c r="L83" s="100">
        <f t="shared" si="7"/>
        <v>554400.00000000012</v>
      </c>
      <c r="M83" s="101">
        <v>46200.000000000007</v>
      </c>
      <c r="N83" s="101">
        <f>M83*12</f>
        <v>554400.00000000012</v>
      </c>
      <c r="O83" s="102">
        <v>46200.000000000007</v>
      </c>
      <c r="P83" s="103">
        <f t="shared" si="5"/>
        <v>554400.00000000012</v>
      </c>
      <c r="Q83" s="104" t="s">
        <v>209</v>
      </c>
      <c r="R83" s="105">
        <f t="shared" si="9"/>
        <v>0</v>
      </c>
      <c r="S83" s="105">
        <f t="shared" si="9"/>
        <v>0</v>
      </c>
      <c r="T83" s="106"/>
    </row>
    <row r="84" spans="1:20" ht="17.149999999999999" customHeight="1">
      <c r="A84" s="5" t="s">
        <v>304</v>
      </c>
      <c r="B84" s="6">
        <f t="shared" si="6"/>
        <v>83</v>
      </c>
      <c r="C84" s="7" t="s">
        <v>18</v>
      </c>
      <c r="D84" s="7" t="s">
        <v>19</v>
      </c>
      <c r="E84" s="7" t="s">
        <v>187</v>
      </c>
      <c r="F84" s="7" t="s">
        <v>92</v>
      </c>
      <c r="G84" s="8" t="s">
        <v>87</v>
      </c>
      <c r="H84" s="7" t="s">
        <v>84</v>
      </c>
      <c r="I84" s="27" t="s">
        <v>85</v>
      </c>
      <c r="J84" s="100" t="s">
        <v>306</v>
      </c>
      <c r="K84" s="100">
        <v>49500.000000000007</v>
      </c>
      <c r="L84" s="100">
        <f t="shared" si="7"/>
        <v>594000.00000000012</v>
      </c>
      <c r="M84" s="101">
        <v>49500.000000000007</v>
      </c>
      <c r="N84" s="101">
        <f t="shared" ref="N84:N100" si="10">M84*12</f>
        <v>594000.00000000012</v>
      </c>
      <c r="O84" s="102">
        <v>49500.000000000007</v>
      </c>
      <c r="P84" s="103">
        <f t="shared" si="5"/>
        <v>594000.00000000012</v>
      </c>
      <c r="Q84" s="104" t="s">
        <v>209</v>
      </c>
      <c r="R84" s="105">
        <f t="shared" si="9"/>
        <v>0</v>
      </c>
      <c r="S84" s="105">
        <f t="shared" si="9"/>
        <v>0</v>
      </c>
      <c r="T84" s="106"/>
    </row>
    <row r="85" spans="1:20" ht="17.149999999999999" customHeight="1">
      <c r="A85" s="5" t="s">
        <v>304</v>
      </c>
      <c r="B85" s="6">
        <f t="shared" si="6"/>
        <v>84</v>
      </c>
      <c r="C85" s="7" t="s">
        <v>18</v>
      </c>
      <c r="D85" s="7" t="s">
        <v>19</v>
      </c>
      <c r="E85" s="7" t="s">
        <v>66</v>
      </c>
      <c r="F85" s="10" t="s">
        <v>92</v>
      </c>
      <c r="G85" s="8" t="s">
        <v>87</v>
      </c>
      <c r="H85" s="12" t="s">
        <v>188</v>
      </c>
      <c r="I85" s="29" t="s">
        <v>189</v>
      </c>
      <c r="J85" s="100" t="s">
        <v>306</v>
      </c>
      <c r="K85" s="100">
        <v>49500.000000000007</v>
      </c>
      <c r="L85" s="100">
        <f t="shared" si="7"/>
        <v>594000.00000000012</v>
      </c>
      <c r="M85" s="101">
        <v>49500.000000000007</v>
      </c>
      <c r="N85" s="101">
        <f t="shared" si="10"/>
        <v>594000.00000000012</v>
      </c>
      <c r="O85" s="102">
        <v>49500.000000000007</v>
      </c>
      <c r="P85" s="103">
        <f t="shared" si="5"/>
        <v>594000.00000000012</v>
      </c>
      <c r="Q85" s="104" t="s">
        <v>209</v>
      </c>
      <c r="R85" s="105">
        <f t="shared" si="9"/>
        <v>0</v>
      </c>
      <c r="S85" s="105">
        <f t="shared" si="9"/>
        <v>0</v>
      </c>
      <c r="T85" s="106"/>
    </row>
    <row r="86" spans="1:20" ht="17.149999999999999" customHeight="1">
      <c r="A86" s="5" t="s">
        <v>304</v>
      </c>
      <c r="B86" s="6">
        <f t="shared" si="6"/>
        <v>85</v>
      </c>
      <c r="C86" s="7" t="s">
        <v>18</v>
      </c>
      <c r="D86" s="7" t="s">
        <v>19</v>
      </c>
      <c r="E86" s="7" t="s">
        <v>66</v>
      </c>
      <c r="F86" s="10" t="s">
        <v>92</v>
      </c>
      <c r="G86" s="8" t="s">
        <v>87</v>
      </c>
      <c r="H86" s="12" t="s">
        <v>190</v>
      </c>
      <c r="I86" s="30" t="s">
        <v>191</v>
      </c>
      <c r="J86" s="100" t="s">
        <v>306</v>
      </c>
      <c r="K86" s="100">
        <v>49500.000000000007</v>
      </c>
      <c r="L86" s="100">
        <f t="shared" si="7"/>
        <v>594000.00000000012</v>
      </c>
      <c r="M86" s="101">
        <v>49500.000000000007</v>
      </c>
      <c r="N86" s="101">
        <f t="shared" si="10"/>
        <v>594000.00000000012</v>
      </c>
      <c r="O86" s="102">
        <v>49500.000000000007</v>
      </c>
      <c r="P86" s="103">
        <f t="shared" si="5"/>
        <v>594000.00000000012</v>
      </c>
      <c r="Q86" s="104" t="s">
        <v>209</v>
      </c>
      <c r="R86" s="105">
        <f t="shared" si="9"/>
        <v>0</v>
      </c>
      <c r="S86" s="105">
        <f t="shared" si="9"/>
        <v>0</v>
      </c>
      <c r="T86" s="106"/>
    </row>
    <row r="87" spans="1:20" ht="17.149999999999999" customHeight="1">
      <c r="A87" s="5" t="s">
        <v>304</v>
      </c>
      <c r="B87" s="6">
        <f t="shared" si="6"/>
        <v>86</v>
      </c>
      <c r="C87" s="7" t="s">
        <v>18</v>
      </c>
      <c r="D87" s="7" t="s">
        <v>19</v>
      </c>
      <c r="E87" s="7" t="s">
        <v>192</v>
      </c>
      <c r="F87" s="7" t="s">
        <v>92</v>
      </c>
      <c r="G87" s="8" t="s">
        <v>87</v>
      </c>
      <c r="H87" s="6" t="s">
        <v>193</v>
      </c>
      <c r="I87" s="9" t="s">
        <v>194</v>
      </c>
      <c r="J87" s="100" t="s">
        <v>306</v>
      </c>
      <c r="K87" s="100">
        <v>154000</v>
      </c>
      <c r="L87" s="100">
        <f t="shared" si="7"/>
        <v>1848000</v>
      </c>
      <c r="M87" s="101">
        <v>154000</v>
      </c>
      <c r="N87" s="101">
        <f t="shared" si="10"/>
        <v>1848000</v>
      </c>
      <c r="O87" s="102">
        <v>154000</v>
      </c>
      <c r="P87" s="103">
        <f t="shared" si="5"/>
        <v>1848000</v>
      </c>
      <c r="Q87" s="104" t="s">
        <v>209</v>
      </c>
      <c r="R87" s="105">
        <f t="shared" si="9"/>
        <v>0</v>
      </c>
      <c r="S87" s="105">
        <f t="shared" si="9"/>
        <v>0</v>
      </c>
      <c r="T87" s="106"/>
    </row>
    <row r="88" spans="1:20" ht="17.149999999999999" customHeight="1">
      <c r="A88" s="5" t="s">
        <v>304</v>
      </c>
      <c r="B88" s="6">
        <f t="shared" si="6"/>
        <v>87</v>
      </c>
      <c r="C88" s="7" t="s">
        <v>18</v>
      </c>
      <c r="D88" s="7" t="s">
        <v>19</v>
      </c>
      <c r="E88" s="7" t="s">
        <v>35</v>
      </c>
      <c r="F88" s="7" t="s">
        <v>92</v>
      </c>
      <c r="G88" s="8" t="s">
        <v>87</v>
      </c>
      <c r="H88" s="6" t="s">
        <v>195</v>
      </c>
      <c r="I88" s="9" t="s">
        <v>196</v>
      </c>
      <c r="J88" s="100" t="s">
        <v>306</v>
      </c>
      <c r="K88" s="100">
        <v>200200.00000000003</v>
      </c>
      <c r="L88" s="100">
        <f t="shared" si="7"/>
        <v>2402400.0000000005</v>
      </c>
      <c r="M88" s="101">
        <v>200200.00000000003</v>
      </c>
      <c r="N88" s="101">
        <f t="shared" si="10"/>
        <v>2402400.0000000005</v>
      </c>
      <c r="O88" s="102">
        <v>200200.00000000003</v>
      </c>
      <c r="P88" s="103">
        <f t="shared" si="5"/>
        <v>2402400.0000000005</v>
      </c>
      <c r="Q88" s="104" t="s">
        <v>209</v>
      </c>
      <c r="R88" s="105">
        <f t="shared" si="9"/>
        <v>0</v>
      </c>
      <c r="S88" s="105">
        <f t="shared" si="9"/>
        <v>0</v>
      </c>
      <c r="T88" s="106"/>
    </row>
    <row r="89" spans="1:20" ht="17.149999999999999" customHeight="1">
      <c r="A89" s="5" t="s">
        <v>304</v>
      </c>
      <c r="B89" s="6">
        <f t="shared" si="6"/>
        <v>88</v>
      </c>
      <c r="C89" s="7" t="s">
        <v>18</v>
      </c>
      <c r="D89" s="7" t="s">
        <v>19</v>
      </c>
      <c r="E89" s="7" t="s">
        <v>35</v>
      </c>
      <c r="F89" s="7" t="s">
        <v>92</v>
      </c>
      <c r="G89" s="8" t="s">
        <v>87</v>
      </c>
      <c r="H89" s="6" t="s">
        <v>197</v>
      </c>
      <c r="I89" s="9" t="s">
        <v>198</v>
      </c>
      <c r="J89" s="100" t="s">
        <v>306</v>
      </c>
      <c r="K89" s="100">
        <v>46200.000000000007</v>
      </c>
      <c r="L89" s="100">
        <f t="shared" si="7"/>
        <v>554400.00000000012</v>
      </c>
      <c r="M89" s="101">
        <v>46200.000000000007</v>
      </c>
      <c r="N89" s="101">
        <f t="shared" si="10"/>
        <v>554400.00000000012</v>
      </c>
      <c r="O89" s="102">
        <v>46200.000000000007</v>
      </c>
      <c r="P89" s="103">
        <f t="shared" si="5"/>
        <v>554400.00000000012</v>
      </c>
      <c r="Q89" s="104" t="s">
        <v>209</v>
      </c>
      <c r="R89" s="105">
        <f t="shared" si="9"/>
        <v>0</v>
      </c>
      <c r="S89" s="105">
        <f t="shared" si="9"/>
        <v>0</v>
      </c>
      <c r="T89" s="106"/>
    </row>
    <row r="90" spans="1:20" ht="17.149999999999999" customHeight="1">
      <c r="A90" s="5" t="s">
        <v>304</v>
      </c>
      <c r="B90" s="6">
        <f t="shared" si="6"/>
        <v>89</v>
      </c>
      <c r="C90" s="7" t="s">
        <v>18</v>
      </c>
      <c r="D90" s="7" t="s">
        <v>19</v>
      </c>
      <c r="E90" s="7" t="s">
        <v>313</v>
      </c>
      <c r="F90" s="7" t="s">
        <v>92</v>
      </c>
      <c r="G90" s="8" t="s">
        <v>87</v>
      </c>
      <c r="H90" s="7" t="s">
        <v>67</v>
      </c>
      <c r="I90" s="27" t="s">
        <v>208</v>
      </c>
      <c r="J90" s="100" t="s">
        <v>306</v>
      </c>
      <c r="K90" s="100">
        <v>220000</v>
      </c>
      <c r="L90" s="100">
        <f t="shared" si="7"/>
        <v>2640000</v>
      </c>
      <c r="M90" s="101">
        <v>220000</v>
      </c>
      <c r="N90" s="101">
        <f t="shared" si="10"/>
        <v>2640000</v>
      </c>
      <c r="O90" s="102">
        <v>220000.00000000003</v>
      </c>
      <c r="P90" s="103">
        <f t="shared" si="5"/>
        <v>2640000.0000000005</v>
      </c>
      <c r="Q90" s="104" t="s">
        <v>209</v>
      </c>
      <c r="R90" s="105">
        <f t="shared" si="9"/>
        <v>0</v>
      </c>
      <c r="S90" s="105">
        <f t="shared" si="9"/>
        <v>0</v>
      </c>
      <c r="T90" s="106" t="s">
        <v>314</v>
      </c>
    </row>
    <row r="91" spans="1:20" s="21" customFormat="1" ht="17.149999999999999" customHeight="1">
      <c r="A91" s="5" t="s">
        <v>304</v>
      </c>
      <c r="B91" s="6">
        <f t="shared" si="6"/>
        <v>90</v>
      </c>
      <c r="C91" s="7" t="s">
        <v>18</v>
      </c>
      <c r="D91" s="7" t="s">
        <v>19</v>
      </c>
      <c r="E91" s="7" t="s">
        <v>20</v>
      </c>
      <c r="F91" s="7" t="s">
        <v>92</v>
      </c>
      <c r="G91" s="8" t="s">
        <v>87</v>
      </c>
      <c r="H91" s="7" t="s">
        <v>199</v>
      </c>
      <c r="I91" s="27" t="s">
        <v>147</v>
      </c>
      <c r="J91" s="100" t="s">
        <v>306</v>
      </c>
      <c r="K91" s="100">
        <v>82500</v>
      </c>
      <c r="L91" s="100">
        <f t="shared" si="7"/>
        <v>990000</v>
      </c>
      <c r="M91" s="101">
        <v>82500</v>
      </c>
      <c r="N91" s="101">
        <f t="shared" si="10"/>
        <v>990000</v>
      </c>
      <c r="O91" s="102">
        <v>82500</v>
      </c>
      <c r="P91" s="103">
        <f t="shared" si="5"/>
        <v>990000</v>
      </c>
      <c r="Q91" s="104" t="s">
        <v>209</v>
      </c>
      <c r="R91" s="105">
        <f t="shared" si="9"/>
        <v>0</v>
      </c>
      <c r="S91" s="105">
        <f t="shared" si="9"/>
        <v>0</v>
      </c>
      <c r="T91" s="119"/>
    </row>
    <row r="92" spans="1:20" s="21" customFormat="1" ht="17.149999999999999" customHeight="1">
      <c r="A92" s="5" t="s">
        <v>304</v>
      </c>
      <c r="B92" s="6">
        <f t="shared" si="6"/>
        <v>91</v>
      </c>
      <c r="C92" s="7" t="s">
        <v>18</v>
      </c>
      <c r="D92" s="7" t="s">
        <v>19</v>
      </c>
      <c r="E92" s="7" t="s">
        <v>20</v>
      </c>
      <c r="F92" s="7" t="s">
        <v>92</v>
      </c>
      <c r="G92" s="8" t="s">
        <v>87</v>
      </c>
      <c r="H92" s="7" t="s">
        <v>199</v>
      </c>
      <c r="I92" s="27" t="s">
        <v>147</v>
      </c>
      <c r="J92" s="100" t="s">
        <v>306</v>
      </c>
      <c r="K92" s="100">
        <v>82500</v>
      </c>
      <c r="L92" s="100">
        <f t="shared" si="7"/>
        <v>990000</v>
      </c>
      <c r="M92" s="101">
        <v>82500</v>
      </c>
      <c r="N92" s="101">
        <f t="shared" si="10"/>
        <v>990000</v>
      </c>
      <c r="O92" s="102">
        <v>82500</v>
      </c>
      <c r="P92" s="103">
        <f t="shared" si="5"/>
        <v>990000</v>
      </c>
      <c r="Q92" s="104" t="s">
        <v>209</v>
      </c>
      <c r="R92" s="105">
        <f t="shared" si="9"/>
        <v>0</v>
      </c>
      <c r="S92" s="105">
        <f t="shared" si="9"/>
        <v>0</v>
      </c>
      <c r="T92" s="119"/>
    </row>
    <row r="93" spans="1:20" s="21" customFormat="1" ht="17.149999999999999" customHeight="1">
      <c r="A93" s="5" t="s">
        <v>304</v>
      </c>
      <c r="B93" s="6">
        <f t="shared" si="6"/>
        <v>92</v>
      </c>
      <c r="C93" s="7" t="s">
        <v>18</v>
      </c>
      <c r="D93" s="7" t="s">
        <v>19</v>
      </c>
      <c r="E93" s="7" t="s">
        <v>66</v>
      </c>
      <c r="F93" s="7" t="s">
        <v>92</v>
      </c>
      <c r="G93" s="8" t="s">
        <v>87</v>
      </c>
      <c r="H93" s="7" t="s">
        <v>200</v>
      </c>
      <c r="I93" s="27" t="s">
        <v>211</v>
      </c>
      <c r="J93" s="100" t="s">
        <v>306</v>
      </c>
      <c r="K93" s="100">
        <v>49500</v>
      </c>
      <c r="L93" s="100">
        <f t="shared" si="7"/>
        <v>594000</v>
      </c>
      <c r="M93" s="101">
        <v>49500</v>
      </c>
      <c r="N93" s="101">
        <f t="shared" si="10"/>
        <v>594000</v>
      </c>
      <c r="O93" s="102">
        <v>49500.000000000007</v>
      </c>
      <c r="P93" s="103">
        <f t="shared" si="5"/>
        <v>594000.00000000012</v>
      </c>
      <c r="Q93" s="104" t="s">
        <v>209</v>
      </c>
      <c r="R93" s="105">
        <f t="shared" si="9"/>
        <v>0</v>
      </c>
      <c r="S93" s="105">
        <f t="shared" si="9"/>
        <v>0</v>
      </c>
      <c r="T93" s="119"/>
    </row>
    <row r="94" spans="1:20" s="21" customFormat="1" ht="17.149999999999999" customHeight="1">
      <c r="A94" s="17" t="s">
        <v>304</v>
      </c>
      <c r="B94" s="18">
        <f t="shared" si="6"/>
        <v>93</v>
      </c>
      <c r="C94" s="19" t="s">
        <v>18</v>
      </c>
      <c r="D94" s="19" t="s">
        <v>19</v>
      </c>
      <c r="E94" s="19" t="s">
        <v>103</v>
      </c>
      <c r="F94" s="19" t="s">
        <v>92</v>
      </c>
      <c r="G94" s="20" t="s">
        <v>87</v>
      </c>
      <c r="H94" s="19" t="s">
        <v>201</v>
      </c>
      <c r="I94" s="109" t="s">
        <v>202</v>
      </c>
      <c r="J94" s="110" t="s">
        <v>315</v>
      </c>
      <c r="K94" s="110">
        <v>55000</v>
      </c>
      <c r="L94" s="110">
        <f>K94*12</f>
        <v>660000</v>
      </c>
      <c r="M94" s="111">
        <v>55000</v>
      </c>
      <c r="N94" s="111">
        <f t="shared" si="10"/>
        <v>660000</v>
      </c>
      <c r="O94" s="112">
        <v>0</v>
      </c>
      <c r="P94" s="113">
        <f t="shared" si="5"/>
        <v>0</v>
      </c>
      <c r="Q94" s="114" t="s">
        <v>209</v>
      </c>
      <c r="R94" s="115">
        <f t="shared" si="9"/>
        <v>-55000</v>
      </c>
      <c r="S94" s="115">
        <f t="shared" si="9"/>
        <v>-660000</v>
      </c>
      <c r="T94" s="116" t="s">
        <v>316</v>
      </c>
    </row>
    <row r="95" spans="1:20" s="15" customFormat="1" ht="17.149999999999999" customHeight="1">
      <c r="A95" s="5" t="s">
        <v>304</v>
      </c>
      <c r="B95" s="6">
        <f t="shared" si="6"/>
        <v>94</v>
      </c>
      <c r="C95" s="7" t="s">
        <v>18</v>
      </c>
      <c r="D95" s="7" t="s">
        <v>19</v>
      </c>
      <c r="E95" s="7" t="s">
        <v>205</v>
      </c>
      <c r="F95" s="7" t="s">
        <v>92</v>
      </c>
      <c r="G95" s="8" t="s">
        <v>87</v>
      </c>
      <c r="H95" s="7" t="s">
        <v>317</v>
      </c>
      <c r="I95" s="27" t="s">
        <v>206</v>
      </c>
      <c r="J95" s="100" t="s">
        <v>306</v>
      </c>
      <c r="K95" s="100">
        <v>46200</v>
      </c>
      <c r="L95" s="100">
        <f>K95*12</f>
        <v>554400</v>
      </c>
      <c r="M95" s="101">
        <v>46200</v>
      </c>
      <c r="N95" s="101">
        <f t="shared" si="10"/>
        <v>554400</v>
      </c>
      <c r="O95" s="102">
        <v>46200.000000000007</v>
      </c>
      <c r="P95" s="103">
        <f t="shared" si="5"/>
        <v>554400.00000000012</v>
      </c>
      <c r="Q95" s="104" t="s">
        <v>209</v>
      </c>
      <c r="R95" s="105">
        <f t="shared" si="9"/>
        <v>0</v>
      </c>
      <c r="S95" s="105">
        <f t="shared" si="9"/>
        <v>0</v>
      </c>
      <c r="T95" s="14"/>
    </row>
    <row r="96" spans="1:20" s="15" customFormat="1" ht="17.149999999999999" customHeight="1">
      <c r="A96" s="5" t="s">
        <v>304</v>
      </c>
      <c r="B96" s="6">
        <f t="shared" si="6"/>
        <v>95</v>
      </c>
      <c r="C96" s="7" t="s">
        <v>18</v>
      </c>
      <c r="D96" s="7" t="s">
        <v>19</v>
      </c>
      <c r="E96" s="7" t="s">
        <v>205</v>
      </c>
      <c r="F96" s="7" t="s">
        <v>92</v>
      </c>
      <c r="G96" s="8" t="s">
        <v>87</v>
      </c>
      <c r="H96" s="7" t="s">
        <v>318</v>
      </c>
      <c r="I96" s="27" t="s">
        <v>207</v>
      </c>
      <c r="J96" s="100" t="s">
        <v>306</v>
      </c>
      <c r="K96" s="100">
        <v>46200</v>
      </c>
      <c r="L96" s="100">
        <f>K96*12</f>
        <v>554400</v>
      </c>
      <c r="M96" s="101">
        <v>46200</v>
      </c>
      <c r="N96" s="101">
        <f t="shared" si="10"/>
        <v>554400</v>
      </c>
      <c r="O96" s="102">
        <v>46200.000000000007</v>
      </c>
      <c r="P96" s="103">
        <f t="shared" si="5"/>
        <v>554400.00000000012</v>
      </c>
      <c r="Q96" s="104" t="s">
        <v>209</v>
      </c>
      <c r="R96" s="105">
        <f t="shared" si="9"/>
        <v>0</v>
      </c>
      <c r="S96" s="105">
        <f t="shared" si="9"/>
        <v>0</v>
      </c>
      <c r="T96" s="14"/>
    </row>
    <row r="97" spans="1:20" s="21" customFormat="1" ht="17.149999999999999" customHeight="1">
      <c r="A97" s="17" t="s">
        <v>304</v>
      </c>
      <c r="B97" s="18">
        <f t="shared" si="6"/>
        <v>96</v>
      </c>
      <c r="C97" s="19" t="s">
        <v>18</v>
      </c>
      <c r="D97" s="19" t="s">
        <v>19</v>
      </c>
      <c r="E97" s="19" t="s">
        <v>66</v>
      </c>
      <c r="F97" s="19" t="s">
        <v>12</v>
      </c>
      <c r="G97" s="20" t="s">
        <v>13</v>
      </c>
      <c r="H97" s="19" t="s">
        <v>200</v>
      </c>
      <c r="I97" s="109" t="s">
        <v>211</v>
      </c>
      <c r="J97" s="110" t="s">
        <v>306</v>
      </c>
      <c r="K97" s="110">
        <v>49500</v>
      </c>
      <c r="L97" s="110">
        <f>K97*12</f>
        <v>594000</v>
      </c>
      <c r="M97" s="111">
        <v>49500</v>
      </c>
      <c r="N97" s="111">
        <f t="shared" si="10"/>
        <v>594000</v>
      </c>
      <c r="O97" s="112">
        <v>49500</v>
      </c>
      <c r="P97" s="113">
        <f t="shared" si="5"/>
        <v>594000</v>
      </c>
      <c r="Q97" s="114" t="s">
        <v>209</v>
      </c>
      <c r="R97" s="115">
        <f t="shared" si="9"/>
        <v>0</v>
      </c>
      <c r="S97" s="115">
        <f t="shared" si="9"/>
        <v>0</v>
      </c>
      <c r="T97" s="116" t="s">
        <v>307</v>
      </c>
    </row>
    <row r="98" spans="1:20" s="15" customFormat="1" ht="17.149999999999999" customHeight="1">
      <c r="A98" s="5" t="s">
        <v>304</v>
      </c>
      <c r="B98" s="6">
        <f t="shared" si="6"/>
        <v>97</v>
      </c>
      <c r="C98" s="7" t="s">
        <v>18</v>
      </c>
      <c r="D98" s="7" t="s">
        <v>19</v>
      </c>
      <c r="E98" s="7" t="s">
        <v>66</v>
      </c>
      <c r="F98" s="7" t="s">
        <v>92</v>
      </c>
      <c r="G98" s="8" t="s">
        <v>87</v>
      </c>
      <c r="H98" s="7" t="s">
        <v>203</v>
      </c>
      <c r="I98" s="27" t="s">
        <v>204</v>
      </c>
      <c r="J98" s="100" t="s">
        <v>306</v>
      </c>
      <c r="K98" s="100">
        <v>49500</v>
      </c>
      <c r="L98" s="100">
        <f>K98*12</f>
        <v>594000</v>
      </c>
      <c r="M98" s="101">
        <v>49500</v>
      </c>
      <c r="N98" s="101">
        <f t="shared" si="10"/>
        <v>594000</v>
      </c>
      <c r="O98" s="102">
        <v>49500.000000000007</v>
      </c>
      <c r="P98" s="103">
        <f t="shared" si="5"/>
        <v>594000.00000000012</v>
      </c>
      <c r="Q98" s="104" t="s">
        <v>209</v>
      </c>
      <c r="R98" s="105">
        <f t="shared" si="9"/>
        <v>0</v>
      </c>
      <c r="S98" s="105">
        <f t="shared" si="9"/>
        <v>0</v>
      </c>
      <c r="T98" s="14"/>
    </row>
    <row r="99" spans="1:20" s="15" customFormat="1" ht="17.149999999999999" customHeight="1">
      <c r="A99" s="5" t="s">
        <v>304</v>
      </c>
      <c r="B99" s="6">
        <f t="shared" si="6"/>
        <v>98</v>
      </c>
      <c r="C99" s="7" t="s">
        <v>18</v>
      </c>
      <c r="D99" s="7" t="s">
        <v>19</v>
      </c>
      <c r="E99" s="7" t="s">
        <v>20</v>
      </c>
      <c r="F99" s="7" t="s">
        <v>92</v>
      </c>
      <c r="G99" s="8" t="s">
        <v>87</v>
      </c>
      <c r="H99" s="10" t="s">
        <v>213</v>
      </c>
      <c r="I99" s="120" t="s">
        <v>214</v>
      </c>
      <c r="J99" s="121" t="s">
        <v>306</v>
      </c>
      <c r="K99" s="121"/>
      <c r="L99" s="121"/>
      <c r="M99" s="117">
        <v>82500</v>
      </c>
      <c r="N99" s="117">
        <f t="shared" si="10"/>
        <v>990000</v>
      </c>
      <c r="O99" s="102">
        <v>82500</v>
      </c>
      <c r="P99" s="103">
        <f t="shared" si="5"/>
        <v>990000</v>
      </c>
      <c r="Q99" s="122" t="s">
        <v>215</v>
      </c>
      <c r="R99" s="105">
        <f t="shared" si="9"/>
        <v>0</v>
      </c>
      <c r="S99" s="105">
        <f t="shared" si="9"/>
        <v>0</v>
      </c>
      <c r="T99" s="14"/>
    </row>
    <row r="100" spans="1:20" s="21" customFormat="1" ht="17.149999999999999" customHeight="1">
      <c r="A100" s="17" t="s">
        <v>304</v>
      </c>
      <c r="B100" s="18">
        <f t="shared" si="6"/>
        <v>99</v>
      </c>
      <c r="C100" s="19" t="s">
        <v>18</v>
      </c>
      <c r="D100" s="19" t="s">
        <v>19</v>
      </c>
      <c r="E100" s="19" t="s">
        <v>103</v>
      </c>
      <c r="F100" s="19" t="s">
        <v>92</v>
      </c>
      <c r="G100" s="20" t="s">
        <v>87</v>
      </c>
      <c r="H100" s="32" t="s">
        <v>319</v>
      </c>
      <c r="I100" s="31" t="s">
        <v>212</v>
      </c>
      <c r="J100" s="110" t="s">
        <v>315</v>
      </c>
      <c r="K100" s="110"/>
      <c r="L100" s="110"/>
      <c r="M100" s="111">
        <v>55000</v>
      </c>
      <c r="N100" s="111">
        <f t="shared" si="10"/>
        <v>660000</v>
      </c>
      <c r="O100" s="123"/>
      <c r="P100" s="124">
        <f t="shared" si="5"/>
        <v>0</v>
      </c>
      <c r="Q100" s="125" t="s">
        <v>216</v>
      </c>
      <c r="R100" s="126">
        <f t="shared" si="9"/>
        <v>-55000</v>
      </c>
      <c r="S100" s="126">
        <f t="shared" si="9"/>
        <v>-660000</v>
      </c>
      <c r="T100" s="116" t="s">
        <v>320</v>
      </c>
    </row>
    <row r="101" spans="1:20" s="133" customFormat="1" ht="17.149999999999999" customHeight="1">
      <c r="A101" s="127" t="s">
        <v>304</v>
      </c>
      <c r="B101" s="128"/>
      <c r="C101" s="128"/>
      <c r="D101" s="128"/>
      <c r="E101" s="128"/>
      <c r="F101" s="128"/>
      <c r="G101" s="128"/>
      <c r="H101" s="128"/>
      <c r="I101" s="129" t="s">
        <v>321</v>
      </c>
      <c r="J101" s="128"/>
      <c r="K101" s="130">
        <f t="shared" ref="K101:P101" si="11">SUM(K2:K100)</f>
        <v>5520900</v>
      </c>
      <c r="L101" s="130">
        <f t="shared" si="11"/>
        <v>66250800</v>
      </c>
      <c r="M101" s="130">
        <f>SUM(M2:M100)</f>
        <v>5706800</v>
      </c>
      <c r="N101" s="130">
        <f t="shared" si="11"/>
        <v>68481600</v>
      </c>
      <c r="O101" s="130">
        <f t="shared" si="11"/>
        <v>5921850</v>
      </c>
      <c r="P101" s="130">
        <f t="shared" si="11"/>
        <v>71062200</v>
      </c>
      <c r="Q101" s="131" t="s">
        <v>322</v>
      </c>
      <c r="R101" s="130">
        <f t="shared" ref="R101:S101" si="12">SUM(R2:R100)</f>
        <v>215050</v>
      </c>
      <c r="S101" s="130">
        <f t="shared" si="12"/>
        <v>2580600</v>
      </c>
      <c r="T101" s="132"/>
    </row>
  </sheetData>
  <autoFilter ref="B1:I101"/>
  <phoneticPr fontId="2" type="noConversion"/>
  <pageMargins left="0.7" right="0.7" top="0.75" bottom="0.75" header="0.3" footer="0.3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C28" sqref="C28"/>
    </sheetView>
  </sheetViews>
  <sheetFormatPr defaultRowHeight="17"/>
  <cols>
    <col min="1" max="1" width="15.25" customWidth="1"/>
    <col min="2" max="2" width="18.58203125" customWidth="1"/>
    <col min="3" max="3" width="15.25" customWidth="1"/>
    <col min="4" max="4" width="19.33203125" customWidth="1"/>
  </cols>
  <sheetData>
    <row r="2" spans="1:6" ht="20.5">
      <c r="A2" s="93" t="s">
        <v>252</v>
      </c>
      <c r="B2" s="93" t="s">
        <v>253</v>
      </c>
      <c r="C2" s="93" t="s">
        <v>252</v>
      </c>
      <c r="D2" s="93" t="s">
        <v>253</v>
      </c>
    </row>
    <row r="3" spans="1:6" ht="17.5">
      <c r="A3" s="94" t="s">
        <v>254</v>
      </c>
      <c r="B3" s="95">
        <v>5520900</v>
      </c>
      <c r="C3" s="94" t="s">
        <v>255</v>
      </c>
      <c r="D3" s="95">
        <v>5921850</v>
      </c>
    </row>
    <row r="4" spans="1:6" ht="17.5">
      <c r="A4" s="94" t="s">
        <v>256</v>
      </c>
      <c r="B4" s="95">
        <v>5520900</v>
      </c>
      <c r="C4" s="94" t="s">
        <v>257</v>
      </c>
      <c r="D4" s="95">
        <v>5921850</v>
      </c>
    </row>
    <row r="5" spans="1:6" ht="17.5">
      <c r="A5" s="94" t="s">
        <v>258</v>
      </c>
      <c r="B5" s="95">
        <v>5520900</v>
      </c>
      <c r="C5" s="94" t="s">
        <v>259</v>
      </c>
      <c r="D5" s="95">
        <v>5921850</v>
      </c>
      <c r="F5">
        <v>1</v>
      </c>
    </row>
    <row r="6" spans="1:6" ht="17.5">
      <c r="A6" s="94" t="s">
        <v>260</v>
      </c>
      <c r="B6" s="95">
        <v>5520900</v>
      </c>
      <c r="C6" s="94" t="s">
        <v>261</v>
      </c>
      <c r="D6" s="95">
        <v>5921850</v>
      </c>
    </row>
    <row r="7" spans="1:6" ht="17.5">
      <c r="A7" s="94" t="s">
        <v>262</v>
      </c>
      <c r="B7" s="95">
        <v>5651800</v>
      </c>
      <c r="C7" s="94" t="s">
        <v>263</v>
      </c>
      <c r="D7" s="95">
        <v>5921850</v>
      </c>
    </row>
    <row r="8" spans="1:6" ht="17.5">
      <c r="A8" s="94" t="s">
        <v>264</v>
      </c>
      <c r="B8" s="95">
        <v>5651800</v>
      </c>
      <c r="C8" s="94" t="s">
        <v>265</v>
      </c>
      <c r="D8" s="95">
        <v>5921850</v>
      </c>
    </row>
    <row r="9" spans="1:6" ht="17.5">
      <c r="A9" s="94" t="s">
        <v>266</v>
      </c>
      <c r="B9" s="95">
        <v>5651800</v>
      </c>
      <c r="C9" s="94" t="s">
        <v>267</v>
      </c>
      <c r="D9" s="95">
        <v>5921850</v>
      </c>
    </row>
    <row r="10" spans="1:6" ht="17.5">
      <c r="A10" s="94" t="s">
        <v>268</v>
      </c>
      <c r="B10" s="95">
        <v>5651800</v>
      </c>
      <c r="C10" s="94" t="s">
        <v>269</v>
      </c>
      <c r="D10" s="95">
        <v>5921850</v>
      </c>
    </row>
    <row r="11" spans="1:6" ht="17.5">
      <c r="A11" s="94" t="s">
        <v>270</v>
      </c>
      <c r="B11" s="95">
        <v>5651800</v>
      </c>
      <c r="C11" s="94" t="s">
        <v>271</v>
      </c>
      <c r="D11" s="95">
        <v>5921850</v>
      </c>
    </row>
    <row r="12" spans="1:6" ht="17.5">
      <c r="A12" s="94" t="s">
        <v>272</v>
      </c>
      <c r="B12" s="95">
        <v>5651800</v>
      </c>
      <c r="C12" s="94" t="s">
        <v>273</v>
      </c>
      <c r="D12" s="95">
        <v>5921850</v>
      </c>
    </row>
    <row r="13" spans="1:6" ht="17.5">
      <c r="A13" s="94" t="s">
        <v>274</v>
      </c>
      <c r="B13" s="95">
        <v>5596800</v>
      </c>
      <c r="C13" s="94" t="s">
        <v>275</v>
      </c>
      <c r="D13" s="95">
        <v>5921850</v>
      </c>
    </row>
    <row r="14" spans="1:6" ht="17.5">
      <c r="A14" s="94" t="s">
        <v>276</v>
      </c>
      <c r="B14" s="95">
        <v>5596800</v>
      </c>
      <c r="C14" s="94" t="s">
        <v>277</v>
      </c>
      <c r="D14" s="95">
        <v>5921850</v>
      </c>
    </row>
    <row r="15" spans="1:6" ht="17.5">
      <c r="A15" s="94" t="s">
        <v>278</v>
      </c>
      <c r="B15" s="95">
        <v>5596800</v>
      </c>
      <c r="C15" s="94" t="s">
        <v>279</v>
      </c>
      <c r="D15" s="95">
        <v>5921850</v>
      </c>
    </row>
    <row r="16" spans="1:6" ht="17.5">
      <c r="A16" s="94" t="s">
        <v>280</v>
      </c>
      <c r="B16" s="95">
        <v>5596800</v>
      </c>
      <c r="C16" s="94" t="s">
        <v>281</v>
      </c>
      <c r="D16" s="95">
        <v>5921850</v>
      </c>
    </row>
    <row r="17" spans="1:4" ht="17.5">
      <c r="A17" s="94" t="s">
        <v>282</v>
      </c>
      <c r="B17" s="95">
        <v>5960900</v>
      </c>
      <c r="C17" s="94" t="s">
        <v>283</v>
      </c>
      <c r="D17" s="95">
        <v>5921850</v>
      </c>
    </row>
    <row r="18" spans="1:4" ht="17.5">
      <c r="A18" s="94" t="s">
        <v>284</v>
      </c>
      <c r="B18" s="95">
        <v>5921850</v>
      </c>
      <c r="C18" s="94" t="s">
        <v>285</v>
      </c>
      <c r="D18" s="95">
        <v>5921850</v>
      </c>
    </row>
    <row r="19" spans="1:4" ht="17.5">
      <c r="A19" s="94" t="s">
        <v>286</v>
      </c>
      <c r="B19" s="95">
        <v>5921850</v>
      </c>
      <c r="C19" s="94" t="s">
        <v>287</v>
      </c>
      <c r="D19" s="95">
        <v>5921850</v>
      </c>
    </row>
    <row r="20" spans="1:4" ht="17.5">
      <c r="A20" s="94" t="s">
        <v>288</v>
      </c>
      <c r="B20" s="95">
        <v>5921850</v>
      </c>
      <c r="C20" s="94" t="s">
        <v>289</v>
      </c>
      <c r="D20" s="95">
        <v>5921850</v>
      </c>
    </row>
    <row r="21" spans="1:4" ht="17.5">
      <c r="A21" s="96" t="s">
        <v>290</v>
      </c>
      <c r="B21" s="97">
        <f>SUM(B3:B20)</f>
        <v>102108050</v>
      </c>
      <c r="C21" s="96" t="s">
        <v>290</v>
      </c>
      <c r="D21" s="97">
        <f>SUM(D3:D20)</f>
        <v>106593300</v>
      </c>
    </row>
    <row r="25" spans="1:4">
      <c r="B25" s="98">
        <f>B21+D21</f>
        <v>208701350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견적서</vt:lpstr>
      <vt:lpstr>피벗</vt:lpstr>
      <vt:lpstr>대외회선(상세)</vt:lpstr>
      <vt:lpstr>월별청구내역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sw-park</dc:creator>
  <cp:lastModifiedBy>vdiadmin</cp:lastModifiedBy>
  <cp:lastPrinted>2023-11-03T06:19:01Z</cp:lastPrinted>
  <dcterms:created xsi:type="dcterms:W3CDTF">2021-10-12T00:29:55Z</dcterms:created>
  <dcterms:modified xsi:type="dcterms:W3CDTF">2024-10-15T01:27:55Z</dcterms:modified>
</cp:coreProperties>
</file>