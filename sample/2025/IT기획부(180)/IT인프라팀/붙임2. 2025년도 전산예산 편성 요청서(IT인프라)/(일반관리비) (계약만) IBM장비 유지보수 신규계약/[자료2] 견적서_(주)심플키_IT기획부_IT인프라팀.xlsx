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♡넌완벽한월급루팡\[09] 연간 유지보수\2025년도 유지보수계약서\[변경] 심플키\"/>
    </mc:Choice>
  </mc:AlternateContent>
  <xr:revisionPtr revIDLastSave="0" documentId="13_ncr:1_{F07E2BFB-BB30-4A5C-B72A-A5CF085922C8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견적 갑지" sheetId="4" r:id="rId1"/>
  </sheets>
  <externalReferences>
    <externalReference r:id="rId2"/>
    <externalReference r:id="rId3"/>
    <externalReference r:id="rId4"/>
    <externalReference r:id="rId5"/>
  </externalReferences>
  <definedNames>
    <definedName name="\a">#REF!</definedName>
    <definedName name="Carepaq_PN6" localSheetId="0">[1]Care!$C:$C</definedName>
    <definedName name="Carepaq_PN6">[1]Care!$C:$C</definedName>
    <definedName name="Carepaq_TOTAL6" localSheetId="0">[1]Care!$A:$G</definedName>
    <definedName name="Carepaq_TOTAL6">[1]Care!$A:$G</definedName>
    <definedName name="csDesignMode">1</definedName>
    <definedName name="customer_job">[2]BIHandlerView!#REF!</definedName>
    <definedName name="env_folder">[2]BIHandlerView!#REF!</definedName>
    <definedName name="log_del_yesno">[2]BIHandlerView!#REF!</definedName>
    <definedName name="MDL">'[3]3월가격'!$A:$A</definedName>
    <definedName name="OPTION_PN6" localSheetId="0">[1]OPT7!$A:$A</definedName>
    <definedName name="OPTION_PN6">[1]OPT7!$A:$A</definedName>
    <definedName name="OPTION_TOTAL6" localSheetId="0">[1]OPT7!$A:$E</definedName>
    <definedName name="OPTION_TOTAL6">[1]OPT7!$A:$E</definedName>
    <definedName name="pmmaker_name">[2]BIHandlerView!#REF!</definedName>
    <definedName name="pmrequestor_name">[2]BIHandlerView!#REF!</definedName>
    <definedName name="_xlnm.Print_Area" localSheetId="0">'견적 갑지'!$A$1:$H$81</definedName>
    <definedName name="_xlnm.Print_Titles" localSheetId="0">'견적 갑지'!$13:$13</definedName>
    <definedName name="RasGantt" localSheetId="0">#REF!</definedName>
    <definedName name="RasGantt">#REF!</definedName>
    <definedName name="src">#REF!</definedName>
    <definedName name="stdout">[2]BIHandlerView!#REF!</definedName>
    <definedName name="temp_del_yesno">[2]BIHandlerView!#REF!</definedName>
    <definedName name="부서변경">#REF!</definedName>
    <definedName name="서버명">#REF!</definedName>
    <definedName name="서버용도3">'[4]List(삭제금지)'!$A$2:$A$3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E34" i="4"/>
  <c r="G34" i="4" s="1"/>
  <c r="F26" i="4"/>
  <c r="E26" i="4"/>
  <c r="G26" i="4" s="1"/>
  <c r="F41" i="4"/>
  <c r="G41" i="4"/>
  <c r="F42" i="4"/>
  <c r="G42" i="4"/>
  <c r="F43" i="4"/>
  <c r="G43" i="4"/>
  <c r="F44" i="4"/>
  <c r="G44" i="4"/>
  <c r="E65" i="4"/>
  <c r="E67" i="4"/>
  <c r="G66" i="4"/>
  <c r="G67" i="4" s="1"/>
  <c r="F66" i="4"/>
  <c r="F67" i="4" s="1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G47" i="4"/>
  <c r="F47" i="4"/>
  <c r="G46" i="4"/>
  <c r="F46" i="4"/>
  <c r="G40" i="4"/>
  <c r="F40" i="4"/>
  <c r="G39" i="4"/>
  <c r="F39" i="4"/>
  <c r="G38" i="4"/>
  <c r="F38" i="4"/>
  <c r="G37" i="4"/>
  <c r="F37" i="4"/>
  <c r="G36" i="4"/>
  <c r="F36" i="4"/>
  <c r="G35" i="4"/>
  <c r="F35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F16" i="4"/>
  <c r="F17" i="4"/>
  <c r="F18" i="4"/>
  <c r="F19" i="4"/>
  <c r="F20" i="4"/>
  <c r="F21" i="4"/>
  <c r="F22" i="4"/>
  <c r="F23" i="4"/>
  <c r="F24" i="4"/>
  <c r="F25" i="4"/>
  <c r="F15" i="4"/>
  <c r="F14" i="4"/>
  <c r="G16" i="4"/>
  <c r="G17" i="4"/>
  <c r="G18" i="4"/>
  <c r="G19" i="4"/>
  <c r="G20" i="4"/>
  <c r="G21" i="4"/>
  <c r="G22" i="4"/>
  <c r="G23" i="4"/>
  <c r="G24" i="4"/>
  <c r="G25" i="4"/>
  <c r="G14" i="4"/>
  <c r="G15" i="4"/>
  <c r="E45" i="4" l="1"/>
  <c r="E68" i="4" s="1"/>
  <c r="F34" i="4"/>
  <c r="F45" i="4" s="1"/>
  <c r="G65" i="4"/>
  <c r="F65" i="4"/>
  <c r="G45" i="4"/>
  <c r="G68" i="4" l="1"/>
  <c r="F68" i="4"/>
</calcChain>
</file>

<file path=xl/sharedStrings.xml><?xml version="1.0" encoding="utf-8"?>
<sst xmlns="http://schemas.openxmlformats.org/spreadsheetml/2006/main" count="98" uniqueCount="76">
  <si>
    <t>[운영-물리서버] 코어뱅킹 #1</t>
  </si>
  <si>
    <t>[운영-물리서버] 코어뱅킹 #2</t>
  </si>
  <si>
    <t>[운영-물리서버] 코어뱅킹 #3</t>
  </si>
  <si>
    <t>[운영-물리서버] IT 인프라 지원 #1</t>
  </si>
  <si>
    <t>[운영-물리서버] IT 인프라 지원 #2</t>
  </si>
  <si>
    <t>[운영-물리서버] IT 인프라 지원 #3</t>
  </si>
  <si>
    <t>[운영-물리서버] IT 인프라 지원 #4</t>
  </si>
  <si>
    <t>[운영-물리서버] 채널 #1</t>
  </si>
  <si>
    <t>[운영-물리서버] 채널 #2</t>
  </si>
  <si>
    <t>[운영-물리서버] 채널 #3</t>
  </si>
  <si>
    <t>[운영-물리서버] 전행지원 및 정보분석 #1</t>
  </si>
  <si>
    <t>[운영-물리서버] 전행지원 및 정보분석 #2</t>
  </si>
  <si>
    <t>NTP내부망1</t>
  </si>
  <si>
    <t>NTP내부망2</t>
  </si>
  <si>
    <t>NTP외부망1</t>
  </si>
  <si>
    <t>NTP외부망2</t>
  </si>
  <si>
    <t>견 적 서</t>
    <phoneticPr fontId="4" type="noConversion"/>
  </si>
  <si>
    <t>수     신 :  KDB산업은행 귀중</t>
    <phoneticPr fontId="4" type="noConversion"/>
  </si>
  <si>
    <t>Tel. 02) 784-5700</t>
    <phoneticPr fontId="4" type="noConversion"/>
  </si>
  <si>
    <t>Fax. 02) 784-5701</t>
    <phoneticPr fontId="4" type="noConversion"/>
  </si>
  <si>
    <t>대표이사 박성철 (인)</t>
    <phoneticPr fontId="4" type="noConversion"/>
  </si>
  <si>
    <t>항 목</t>
    <phoneticPr fontId="4" type="noConversion"/>
  </si>
  <si>
    <t>비고</t>
    <phoneticPr fontId="4" type="noConversion"/>
  </si>
  <si>
    <t xml:space="preserve"> Remark :</t>
    <phoneticPr fontId="4" type="noConversion"/>
  </si>
  <si>
    <t>-  영업담당 : 박상호 이사, 010-8770-8543, shpark@simplekey.co.kr</t>
    <phoneticPr fontId="4" type="noConversion"/>
  </si>
  <si>
    <t>내역</t>
    <phoneticPr fontId="4" type="noConversion"/>
  </si>
  <si>
    <t xml:space="preserve">-  장애관련(24×365) 방문 요청 시 3시간 이내 도착, 도착 후 6시간 이내 복구 조건이며, </t>
    <phoneticPr fontId="4" type="noConversion"/>
  </si>
  <si>
    <t xml:space="preserve">-  요청시 운영에 필요한 교재, 기술자료, 사용지침서, 운영세미나 등이 협의를 통해 제공가능합니다.  </t>
    <phoneticPr fontId="4" type="noConversion"/>
  </si>
  <si>
    <t xml:space="preserve">-  24x365 장애지원, 정기점검 및 유지보수 지원이 포함 됩니다. </t>
    <phoneticPr fontId="2" type="noConversion"/>
  </si>
  <si>
    <t>-  Minor버전 업그레이드 포함.</t>
    <phoneticPr fontId="4" type="noConversion"/>
  </si>
  <si>
    <t>수량</t>
    <phoneticPr fontId="2" type="noConversion"/>
  </si>
  <si>
    <t>코어뱅킹 DR #1</t>
  </si>
  <si>
    <t>코어뱅킹 DR #2</t>
  </si>
  <si>
    <t>코어뱅킹 DR #3</t>
  </si>
  <si>
    <t>IT인프라 지원 및 채널 DR#1</t>
  </si>
  <si>
    <t>IT인프라 지원 및 채널 DR#2</t>
  </si>
  <si>
    <t>전행지원 및 정보분석 DR #1</t>
  </si>
  <si>
    <t>전행지원 및 정보분석 DR #2</t>
  </si>
  <si>
    <t>HMC</t>
    <phoneticPr fontId="2" type="noConversion"/>
  </si>
  <si>
    <t>개발/이관 SAN-Boot Storage</t>
  </si>
  <si>
    <t>DR SAN-Boot storage</t>
  </si>
  <si>
    <t>SAN DR #1</t>
    <phoneticPr fontId="2" type="noConversion"/>
  </si>
  <si>
    <t>SAN DR #2</t>
    <phoneticPr fontId="2" type="noConversion"/>
  </si>
  <si>
    <t>SAN 개발/이관#1</t>
  </si>
  <si>
    <t>SAN 개발/이관#2</t>
  </si>
  <si>
    <t>구분</t>
    <phoneticPr fontId="4" type="noConversion"/>
  </si>
  <si>
    <t xml:space="preserve">   위 1항 차세대 IBM서버의 경우, 장애로 인한(24×365) 방문요청시 제조사의 엔지니어가 4시간내에 도착하여 장애지원에 적극 참여하는조건입니다.   </t>
    <phoneticPr fontId="2" type="noConversion"/>
  </si>
  <si>
    <t>HWMA
&amp;
SWMA</t>
    <phoneticPr fontId="4" type="noConversion"/>
  </si>
  <si>
    <t>SMA
(Advanced)</t>
    <phoneticPr fontId="4" type="noConversion"/>
  </si>
  <si>
    <t>[단위:원]</t>
    <phoneticPr fontId="2" type="noConversion"/>
  </si>
  <si>
    <t xml:space="preserve">-  위 항목중 HW MA, 인력지원서비스 항목은 1개월 전 중도 해지가 가능하나, SWMA의 경우 1년간의 Subscription (License) 개념으로 해지가 불가 합니다.  </t>
    <phoneticPr fontId="4" type="noConversion"/>
  </si>
  <si>
    <t xml:space="preserve">* 견적 제목 : </t>
    <phoneticPr fontId="4" type="noConversion"/>
  </si>
  <si>
    <t xml:space="preserve">* 견적 금액 : </t>
    <phoneticPr fontId="4" type="noConversion"/>
  </si>
  <si>
    <t>서울시 강서구 양천로 738, 한강지트리타워 407호</t>
    <phoneticPr fontId="4" type="noConversion"/>
  </si>
  <si>
    <t>인력지원</t>
    <phoneticPr fontId="2" type="noConversion"/>
  </si>
  <si>
    <t>상주 인력지원서비스 (1명)</t>
    <phoneticPr fontId="2" type="noConversion"/>
  </si>
  <si>
    <t>주식회사 심플키</t>
  </si>
  <si>
    <t>상주인력 서비스 합 계 (부가세 포함)</t>
    <phoneticPr fontId="4" type="noConversion"/>
  </si>
  <si>
    <t>SW 기술지원 서비스비용 합 계 (부가세 포함)</t>
    <phoneticPr fontId="4" type="noConversion"/>
  </si>
  <si>
    <t xml:space="preserve"> H/W MA, SWMA 합 계 (부가세 포함)</t>
    <phoneticPr fontId="4" type="noConversion"/>
  </si>
  <si>
    <t>1. 차세대 IBM서버</t>
    <phoneticPr fontId="4" type="noConversion"/>
  </si>
  <si>
    <t>2. 개발,이관,DR서버</t>
    <phoneticPr fontId="4" type="noConversion"/>
  </si>
  <si>
    <t>3. 개발,이관 스토리지</t>
    <phoneticPr fontId="2" type="noConversion"/>
  </si>
  <si>
    <t>IBM서버 
전담엔지니어 지원</t>
    <phoneticPr fontId="4" type="noConversion"/>
  </si>
  <si>
    <t>정기점검주기
: 월1회 
('23.1.1 ~ '25.12.31)</t>
    <phoneticPr fontId="2" type="noConversion"/>
  </si>
  <si>
    <t>-  정기점검은 방문,수행 후 점검보고서를 제출하는 조건입니다. (Time 동기화 서버의 정기점검 주기는 제안사의 추가 제안으로 분기별 1회가 아닌, 월 1회 수행합니다.)</t>
    <phoneticPr fontId="2" type="noConversion"/>
  </si>
  <si>
    <t xml:space="preserve">참     조 :  </t>
    <phoneticPr fontId="4" type="noConversion"/>
  </si>
  <si>
    <t xml:space="preserve">  IBM장비 유지보수 견적서 - 2025년</t>
    <phoneticPr fontId="4" type="noConversion"/>
  </si>
  <si>
    <t>-  총유지보수기간은 12개월 입니다. (2025년1월1일 ~ 2025년12월31일)</t>
    <phoneticPr fontId="4" type="noConversion"/>
  </si>
  <si>
    <t>-  본견적은 제출일로부터 24년 12월 31일까지 유효합니다.</t>
    <phoneticPr fontId="4" type="noConversion"/>
  </si>
  <si>
    <t>4. Time 동기화서버</t>
    <phoneticPr fontId="4" type="noConversion"/>
  </si>
  <si>
    <t>월단가</t>
    <phoneticPr fontId="2" type="noConversion"/>
  </si>
  <si>
    <t>총  계 (부가세 포함 )</t>
    <phoneticPr fontId="4" type="noConversion"/>
  </si>
  <si>
    <t>유지보수료
(25년도, 분기별)</t>
    <phoneticPr fontId="4" type="noConversion"/>
  </si>
  <si>
    <t>유지보수료
(25년도, 1년)</t>
    <phoneticPr fontId="4" type="noConversion"/>
  </si>
  <si>
    <t>SK20240924_SC01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</si>
</sst>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&quot;견적번호 : &quot;@"/>
    <numFmt numFmtId="177" formatCode="&quot;견적일자 : &quot;yyyy&quot;년&quot;\ m&quot;월&quot;\ d&quot;일&quot;;@"/>
    <numFmt numFmtId="178" formatCode="_-&quot;Won&quot;* #,##0_-;\-&quot;Won&quot;* #,##0_-;_-&quot;Won&quot;* &quot;-&quot;_-;_-@_-"/>
    <numFmt numFmtId="179" formatCode="&quot;₩&quot;\ #,##0&quot; 원 (부가세 포함)&quot;;\-&quot;Won&quot;#,##0&quot;원&quot;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Book Antiqua"/>
      <family val="1"/>
    </font>
    <font>
      <b/>
      <u/>
      <sz val="36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u/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color theme="3" tint="-0.249977111117893"/>
      <name val="맑은 고딕"/>
      <family val="3"/>
      <charset val="129"/>
      <scheme val="minor"/>
    </font>
    <font>
      <sz val="8"/>
      <color indexed="1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/>
    <xf numFmtId="0" fontId="8" fillId="0" borderId="0"/>
    <xf numFmtId="41" fontId="5" fillId="0" borderId="0" applyFont="0" applyFill="0" applyBorder="0" applyAlignment="0" applyProtection="0"/>
    <xf numFmtId="0" fontId="13" fillId="0" borderId="0"/>
    <xf numFmtId="178" fontId="5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3" fillId="0" borderId="0" xfId="5" applyFont="1" applyAlignment="1">
      <alignment vertical="center"/>
    </xf>
    <xf numFmtId="0" fontId="10" fillId="0" borderId="0" xfId="5" applyFont="1" applyAlignment="1">
      <alignment horizontal="center" vertical="center"/>
    </xf>
    <xf numFmtId="41" fontId="12" fillId="0" borderId="0" xfId="6" applyFont="1" applyAlignment="1">
      <alignment vertical="center"/>
    </xf>
    <xf numFmtId="0" fontId="6" fillId="0" borderId="0" xfId="7" applyFont="1" applyAlignment="1">
      <alignment vertical="center"/>
    </xf>
    <xf numFmtId="0" fontId="14" fillId="0" borderId="0" xfId="5" applyFont="1" applyAlignment="1">
      <alignment vertical="center"/>
    </xf>
    <xf numFmtId="0" fontId="15" fillId="0" borderId="0" xfId="5" applyFont="1" applyAlignment="1">
      <alignment vertical="center"/>
    </xf>
    <xf numFmtId="41" fontId="15" fillId="0" borderId="0" xfId="6" applyFont="1" applyAlignment="1">
      <alignment horizontal="right" vertical="center"/>
    </xf>
    <xf numFmtId="0" fontId="16" fillId="0" borderId="0" xfId="7" applyFont="1" applyAlignment="1">
      <alignment horizontal="left" vertical="center"/>
    </xf>
    <xf numFmtId="41" fontId="17" fillId="0" borderId="0" xfId="6" applyFont="1" applyAlignment="1">
      <alignment vertical="center"/>
    </xf>
    <xf numFmtId="177" fontId="15" fillId="0" borderId="0" xfId="5" applyNumberFormat="1" applyFont="1" applyAlignment="1">
      <alignment horizontal="left" vertical="center"/>
    </xf>
    <xf numFmtId="38" fontId="15" fillId="0" borderId="0" xfId="5" applyNumberFormat="1" applyFont="1" applyAlignment="1">
      <alignment vertical="center"/>
    </xf>
    <xf numFmtId="41" fontId="3" fillId="0" borderId="0" xfId="6" applyFont="1" applyAlignment="1">
      <alignment horizontal="right" vertical="center"/>
    </xf>
    <xf numFmtId="41" fontId="12" fillId="0" borderId="0" xfId="6" applyFont="1" applyAlignment="1">
      <alignment horizontal="right" vertical="center"/>
    </xf>
    <xf numFmtId="0" fontId="18" fillId="0" borderId="0" xfId="7" applyFont="1" applyAlignment="1">
      <alignment vertical="center"/>
    </xf>
    <xf numFmtId="38" fontId="6" fillId="0" borderId="0" xfId="5" applyNumberFormat="1" applyFont="1" applyAlignment="1">
      <alignment horizontal="right" vertical="center"/>
    </xf>
    <xf numFmtId="0" fontId="6" fillId="0" borderId="0" xfId="7" applyFont="1"/>
    <xf numFmtId="41" fontId="6" fillId="0" borderId="0" xfId="6" applyFont="1" applyAlignment="1">
      <alignment vertical="center"/>
    </xf>
    <xf numFmtId="0" fontId="6" fillId="0" borderId="0" xfId="5" applyFont="1" applyAlignment="1">
      <alignment vertical="center"/>
    </xf>
    <xf numFmtId="41" fontId="6" fillId="0" borderId="0" xfId="8" applyNumberFormat="1" applyFont="1" applyBorder="1" applyAlignment="1">
      <alignment vertical="center"/>
    </xf>
    <xf numFmtId="41" fontId="19" fillId="0" borderId="0" xfId="6" applyFont="1" applyBorder="1" applyAlignment="1">
      <alignment vertical="center"/>
    </xf>
    <xf numFmtId="41" fontId="6" fillId="0" borderId="0" xfId="6" applyFont="1" applyFill="1" applyBorder="1" applyAlignment="1">
      <alignment vertical="center"/>
    </xf>
    <xf numFmtId="41" fontId="12" fillId="0" borderId="0" xfId="6" applyFont="1" applyBorder="1" applyAlignment="1">
      <alignment vertical="center"/>
    </xf>
    <xf numFmtId="0" fontId="7" fillId="0" borderId="0" xfId="5" quotePrefix="1" applyFont="1" applyAlignment="1">
      <alignment horizontal="left" vertical="center"/>
    </xf>
    <xf numFmtId="0" fontId="7" fillId="2" borderId="0" xfId="9" quotePrefix="1" applyFont="1" applyFill="1" applyAlignment="1">
      <alignment vertical="center"/>
    </xf>
    <xf numFmtId="0" fontId="6" fillId="0" borderId="0" xfId="5" quotePrefix="1" applyFont="1" applyAlignment="1">
      <alignment vertical="center"/>
    </xf>
    <xf numFmtId="0" fontId="5" fillId="2" borderId="0" xfId="9" applyFill="1" applyAlignment="1">
      <alignment vertical="center"/>
    </xf>
    <xf numFmtId="41" fontId="6" fillId="0" borderId="0" xfId="8" applyNumberFormat="1" applyFont="1" applyAlignment="1">
      <alignment vertical="center"/>
    </xf>
    <xf numFmtId="0" fontId="12" fillId="0" borderId="0" xfId="5" applyFont="1" applyAlignment="1">
      <alignment vertical="center"/>
    </xf>
    <xf numFmtId="0" fontId="7" fillId="2" borderId="0" xfId="9" applyFont="1" applyFill="1" applyAlignment="1">
      <alignment vertical="center"/>
    </xf>
    <xf numFmtId="41" fontId="6" fillId="0" borderId="0" xfId="5" applyNumberFormat="1" applyFont="1" applyAlignment="1">
      <alignment vertical="center"/>
    </xf>
    <xf numFmtId="41" fontId="6" fillId="2" borderId="1" xfId="6" quotePrefix="1" applyFont="1" applyFill="1" applyBorder="1" applyAlignment="1">
      <alignment vertical="center" wrapText="1"/>
    </xf>
    <xf numFmtId="41" fontId="6" fillId="2" borderId="1" xfId="6" applyFont="1" applyFill="1" applyBorder="1" applyAlignment="1">
      <alignment horizontal="center" vertical="center"/>
    </xf>
    <xf numFmtId="0" fontId="11" fillId="3" borderId="5" xfId="5" applyFont="1" applyFill="1" applyBorder="1" applyAlignment="1">
      <alignment horizontal="center" vertical="center"/>
    </xf>
    <xf numFmtId="0" fontId="11" fillId="3" borderId="6" xfId="5" applyFont="1" applyFill="1" applyBorder="1" applyAlignment="1">
      <alignment horizontal="center" vertical="center"/>
    </xf>
    <xf numFmtId="0" fontId="11" fillId="3" borderId="6" xfId="5" applyFont="1" applyFill="1" applyBorder="1" applyAlignment="1" applyProtection="1">
      <alignment horizontal="center" vertical="center" wrapText="1"/>
      <protection locked="0"/>
    </xf>
    <xf numFmtId="41" fontId="6" fillId="2" borderId="3" xfId="6" quotePrefix="1" applyFont="1" applyFill="1" applyBorder="1" applyAlignment="1">
      <alignment vertical="center" wrapText="1"/>
    </xf>
    <xf numFmtId="41" fontId="6" fillId="2" borderId="3" xfId="6" applyFont="1" applyFill="1" applyBorder="1" applyAlignment="1">
      <alignment horizontal="center" vertical="center"/>
    </xf>
    <xf numFmtId="41" fontId="3" fillId="4" borderId="10" xfId="6" applyFont="1" applyFill="1" applyBorder="1" applyAlignment="1">
      <alignment vertical="center"/>
    </xf>
    <xf numFmtId="0" fontId="6" fillId="2" borderId="0" xfId="5" applyFont="1" applyFill="1" applyAlignment="1">
      <alignment vertical="center"/>
    </xf>
    <xf numFmtId="41" fontId="3" fillId="4" borderId="9" xfId="10" applyFont="1" applyFill="1" applyBorder="1" applyAlignment="1">
      <alignment horizontal="center" vertical="center"/>
    </xf>
    <xf numFmtId="41" fontId="6" fillId="2" borderId="13" xfId="6" quotePrefix="1" applyFont="1" applyFill="1" applyBorder="1" applyAlignment="1">
      <alignment horizontal="left" vertical="center" wrapText="1"/>
    </xf>
    <xf numFmtId="41" fontId="6" fillId="2" borderId="13" xfId="6" applyFont="1" applyFill="1" applyBorder="1" applyAlignment="1">
      <alignment horizontal="center" vertical="center"/>
    </xf>
    <xf numFmtId="41" fontId="6" fillId="2" borderId="12" xfId="6" quotePrefix="1" applyFont="1" applyFill="1" applyBorder="1" applyAlignment="1">
      <alignment horizontal="left" vertical="center" wrapText="1"/>
    </xf>
    <xf numFmtId="41" fontId="6" fillId="2" borderId="12" xfId="6" applyFont="1" applyFill="1" applyBorder="1" applyAlignment="1">
      <alignment horizontal="center" vertical="center"/>
    </xf>
    <xf numFmtId="0" fontId="11" fillId="3" borderId="7" xfId="5" applyFont="1" applyFill="1" applyBorder="1" applyAlignment="1" applyProtection="1">
      <alignment horizontal="center" vertical="center" wrapText="1"/>
      <protection locked="0"/>
    </xf>
    <xf numFmtId="179" fontId="20" fillId="0" borderId="0" xfId="7" applyNumberFormat="1" applyFont="1" applyAlignment="1" applyProtection="1">
      <alignment horizontal="left" vertical="center"/>
      <protection locked="0"/>
    </xf>
    <xf numFmtId="179" fontId="20" fillId="0" borderId="0" xfId="7" applyNumberFormat="1" applyFont="1" applyAlignment="1" applyProtection="1">
      <alignment vertical="center"/>
      <protection locked="0"/>
    </xf>
    <xf numFmtId="0" fontId="22" fillId="0" borderId="0" xfId="7" applyFont="1" applyAlignment="1">
      <alignment horizontal="left" vertical="center"/>
    </xf>
    <xf numFmtId="0" fontId="22" fillId="0" borderId="0" xfId="7" applyFont="1" applyAlignment="1">
      <alignment vertical="center"/>
    </xf>
    <xf numFmtId="0" fontId="15" fillId="0" borderId="0" xfId="7" applyFont="1" applyAlignment="1">
      <alignment vertical="center"/>
    </xf>
    <xf numFmtId="0" fontId="15" fillId="0" borderId="0" xfId="7" applyFont="1" applyAlignment="1">
      <alignment horizontal="center" vertical="center"/>
    </xf>
    <xf numFmtId="41" fontId="3" fillId="0" borderId="0" xfId="10" applyFont="1" applyAlignment="1">
      <alignment horizontal="left" vertical="center"/>
    </xf>
    <xf numFmtId="41" fontId="6" fillId="2" borderId="2" xfId="6" applyFont="1" applyFill="1" applyBorder="1" applyAlignment="1">
      <alignment horizontal="center" vertical="center"/>
    </xf>
    <xf numFmtId="41" fontId="6" fillId="2" borderId="2" xfId="6" quotePrefix="1" applyFont="1" applyFill="1" applyBorder="1" applyAlignment="1">
      <alignment vertical="center" wrapText="1"/>
    </xf>
    <xf numFmtId="41" fontId="6" fillId="2" borderId="13" xfId="6" quotePrefix="1" applyFont="1" applyFill="1" applyBorder="1" applyAlignment="1">
      <alignment vertical="center" wrapText="1"/>
    </xf>
    <xf numFmtId="41" fontId="3" fillId="3" borderId="9" xfId="10" applyFont="1" applyFill="1" applyBorder="1" applyAlignment="1">
      <alignment vertical="center"/>
    </xf>
    <xf numFmtId="41" fontId="3" fillId="3" borderId="10" xfId="6" applyFont="1" applyFill="1" applyBorder="1" applyAlignment="1">
      <alignment vertical="center"/>
    </xf>
    <xf numFmtId="41" fontId="3" fillId="2" borderId="10" xfId="6" applyFont="1" applyFill="1" applyBorder="1" applyAlignment="1">
      <alignment vertical="center"/>
    </xf>
    <xf numFmtId="41" fontId="11" fillId="2" borderId="24" xfId="6" applyFont="1" applyFill="1" applyBorder="1" applyAlignment="1">
      <alignment horizontal="center" vertical="center"/>
    </xf>
    <xf numFmtId="41" fontId="6" fillId="2" borderId="12" xfId="10" applyFont="1" applyFill="1" applyBorder="1" applyAlignment="1">
      <alignment horizontal="center" vertical="center"/>
    </xf>
    <xf numFmtId="41" fontId="6" fillId="2" borderId="13" xfId="10" applyFont="1" applyFill="1" applyBorder="1" applyAlignment="1">
      <alignment horizontal="center" vertical="center"/>
    </xf>
    <xf numFmtId="41" fontId="6" fillId="2" borderId="2" xfId="10" applyFont="1" applyFill="1" applyBorder="1" applyAlignment="1">
      <alignment horizontal="center" vertical="center"/>
    </xf>
    <xf numFmtId="41" fontId="11" fillId="3" borderId="9" xfId="6" applyFont="1" applyFill="1" applyBorder="1" applyAlignment="1">
      <alignment vertical="center"/>
    </xf>
    <xf numFmtId="41" fontId="11" fillId="3" borderId="22" xfId="6" applyFont="1" applyFill="1" applyBorder="1" applyAlignment="1">
      <alignment vertical="center"/>
    </xf>
    <xf numFmtId="41" fontId="6" fillId="0" borderId="9" xfId="7" applyNumberFormat="1" applyFont="1" applyBorder="1"/>
    <xf numFmtId="41" fontId="3" fillId="3" borderId="6" xfId="10" applyFont="1" applyFill="1" applyBorder="1" applyAlignment="1">
      <alignment vertical="center"/>
    </xf>
    <xf numFmtId="41" fontId="11" fillId="4" borderId="6" xfId="6" applyFont="1" applyFill="1" applyBorder="1" applyAlignment="1">
      <alignment vertical="center"/>
    </xf>
    <xf numFmtId="0" fontId="9" fillId="0" borderId="0" xfId="5" applyFont="1" applyAlignment="1">
      <alignment vertical="center"/>
    </xf>
    <xf numFmtId="43" fontId="6" fillId="0" borderId="0" xfId="5" applyNumberFormat="1" applyFont="1" applyAlignment="1">
      <alignment vertical="center"/>
    </xf>
    <xf numFmtId="41" fontId="6" fillId="0" borderId="0" xfId="7" applyNumberFormat="1" applyFont="1"/>
    <xf numFmtId="41" fontId="25" fillId="5" borderId="0" xfId="7" applyNumberFormat="1" applyFont="1" applyFill="1"/>
    <xf numFmtId="41" fontId="25" fillId="0" borderId="0" xfId="7" applyNumberFormat="1" applyFont="1"/>
    <xf numFmtId="41" fontId="6" fillId="2" borderId="9" xfId="6" applyFont="1" applyFill="1" applyBorder="1" applyAlignment="1">
      <alignment horizontal="center" vertical="center"/>
    </xf>
    <xf numFmtId="41" fontId="6" fillId="2" borderId="28" xfId="10" applyFont="1" applyFill="1" applyBorder="1" applyAlignment="1">
      <alignment horizontal="center" vertical="center"/>
    </xf>
    <xf numFmtId="41" fontId="6" fillId="2" borderId="11" xfId="6" applyFont="1" applyFill="1" applyBorder="1" applyAlignment="1">
      <alignment horizontal="center" vertical="center" wrapText="1"/>
    </xf>
    <xf numFmtId="41" fontId="6" fillId="2" borderId="4" xfId="6" applyFont="1" applyFill="1" applyBorder="1" applyAlignment="1">
      <alignment horizontal="center" vertical="center" wrapText="1"/>
    </xf>
    <xf numFmtId="41" fontId="6" fillId="2" borderId="8" xfId="6" applyFont="1" applyFill="1" applyBorder="1" applyAlignment="1">
      <alignment horizontal="center" vertical="center" wrapText="1"/>
    </xf>
    <xf numFmtId="41" fontId="6" fillId="2" borderId="15" xfId="6" applyFont="1" applyFill="1" applyBorder="1" applyAlignment="1">
      <alignment horizontal="center" vertical="center" wrapText="1"/>
    </xf>
    <xf numFmtId="41" fontId="6" fillId="2" borderId="14" xfId="6" applyFont="1" applyFill="1" applyBorder="1" applyAlignment="1">
      <alignment horizontal="center" vertical="center" wrapText="1"/>
    </xf>
    <xf numFmtId="41" fontId="6" fillId="2" borderId="10" xfId="6" applyFont="1" applyFill="1" applyBorder="1" applyAlignment="1">
      <alignment horizontal="center" vertical="center" wrapText="1"/>
    </xf>
    <xf numFmtId="176" fontId="23" fillId="0" borderId="0" xfId="5" applyNumberFormat="1" applyFont="1" applyAlignment="1">
      <alignment vertical="center"/>
    </xf>
    <xf numFmtId="177" fontId="23" fillId="0" borderId="0" xfId="5" applyNumberFormat="1" applyFont="1" applyAlignment="1">
      <alignment horizontal="left" vertical="center"/>
    </xf>
    <xf numFmtId="41" fontId="6" fillId="2" borderId="18" xfId="6" applyFont="1" applyFill="1" applyBorder="1" applyAlignment="1">
      <alignment horizontal="center" vertical="center" wrapText="1"/>
    </xf>
    <xf numFmtId="41" fontId="6" fillId="2" borderId="19" xfId="6" applyFont="1" applyFill="1" applyBorder="1" applyAlignment="1">
      <alignment horizontal="center" vertical="center" wrapText="1"/>
    </xf>
    <xf numFmtId="41" fontId="11" fillId="3" borderId="21" xfId="6" applyFont="1" applyFill="1" applyBorder="1" applyAlignment="1">
      <alignment horizontal="center" vertical="center"/>
    </xf>
    <xf numFmtId="41" fontId="11" fillId="3" borderId="25" xfId="6" applyFont="1" applyFill="1" applyBorder="1" applyAlignment="1">
      <alignment horizontal="center" vertical="center"/>
    </xf>
    <xf numFmtId="41" fontId="11" fillId="3" borderId="26" xfId="6" applyFont="1" applyFill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41" fontId="11" fillId="0" borderId="0" xfId="10" applyFont="1" applyAlignment="1">
      <alignment horizontal="left" vertical="center" wrapText="1"/>
    </xf>
    <xf numFmtId="41" fontId="3" fillId="0" borderId="0" xfId="10" applyFont="1" applyAlignment="1">
      <alignment horizontal="left" vertical="center" wrapText="1"/>
    </xf>
    <xf numFmtId="41" fontId="11" fillId="3" borderId="27" xfId="6" applyFont="1" applyFill="1" applyBorder="1" applyAlignment="1">
      <alignment horizontal="center" vertical="center"/>
    </xf>
    <xf numFmtId="41" fontId="11" fillId="3" borderId="22" xfId="6" applyFont="1" applyFill="1" applyBorder="1" applyAlignment="1">
      <alignment horizontal="center" vertical="center"/>
    </xf>
    <xf numFmtId="41" fontId="11" fillId="3" borderId="23" xfId="6" applyFont="1" applyFill="1" applyBorder="1" applyAlignment="1">
      <alignment horizontal="center" vertical="center"/>
    </xf>
    <xf numFmtId="41" fontId="11" fillId="2" borderId="27" xfId="6" applyFont="1" applyFill="1" applyBorder="1" applyAlignment="1">
      <alignment horizontal="center" vertical="center"/>
    </xf>
    <xf numFmtId="41" fontId="11" fillId="2" borderId="22" xfId="6" applyFont="1" applyFill="1" applyBorder="1" applyAlignment="1">
      <alignment horizontal="center" vertical="center"/>
    </xf>
    <xf numFmtId="41" fontId="11" fillId="4" borderId="27" xfId="6" applyFont="1" applyFill="1" applyBorder="1" applyAlignment="1">
      <alignment horizontal="center" vertical="center"/>
    </xf>
    <xf numFmtId="41" fontId="11" fillId="4" borderId="22" xfId="6" applyFont="1" applyFill="1" applyBorder="1" applyAlignment="1">
      <alignment horizontal="center" vertical="center"/>
    </xf>
    <xf numFmtId="41" fontId="11" fillId="4" borderId="23" xfId="6" applyFont="1" applyFill="1" applyBorder="1" applyAlignment="1">
      <alignment horizontal="center" vertical="center"/>
    </xf>
    <xf numFmtId="0" fontId="21" fillId="0" borderId="0" xfId="5" applyFont="1" applyAlignment="1">
      <alignment horizontal="left" vertical="center" indent="2"/>
    </xf>
    <xf numFmtId="179" fontId="24" fillId="0" borderId="0" xfId="7" applyNumberFormat="1" applyFont="1" applyAlignment="1" applyProtection="1">
      <alignment horizontal="left" vertical="center" indent="3"/>
      <protection locked="0"/>
    </xf>
    <xf numFmtId="41" fontId="6" fillId="2" borderId="16" xfId="6" applyFont="1" applyFill="1" applyBorder="1" applyAlignment="1">
      <alignment horizontal="center" vertical="center" wrapText="1"/>
    </xf>
    <xf numFmtId="41" fontId="6" fillId="2" borderId="17" xfId="6" applyFont="1" applyFill="1" applyBorder="1" applyAlignment="1">
      <alignment horizontal="center" vertical="center" wrapText="1"/>
    </xf>
    <xf numFmtId="41" fontId="6" fillId="2" borderId="21" xfId="6" applyFont="1" applyFill="1" applyBorder="1" applyAlignment="1">
      <alignment horizontal="center" vertical="center" wrapText="1"/>
    </xf>
    <xf numFmtId="41" fontId="6" fillId="2" borderId="20" xfId="6" applyFont="1" applyFill="1" applyBorder="1" applyAlignment="1">
      <alignment horizontal="center" vertical="center" wrapText="1"/>
    </xf>
  </cellXfs>
  <cellStyles count="11">
    <cellStyle name="쉼표 [0]" xfId="10" builtinId="6"/>
    <cellStyle name="쉼표 [0] 2" xfId="2" xr:uid="{00000000-0005-0000-0000-000003000000}"/>
    <cellStyle name="쉼표 [0] 2 2 4" xfId="6" xr:uid="{00000000-0005-0000-0000-000004000000}"/>
    <cellStyle name="쉼표 [0] 3" xfId="4" xr:uid="{00000000-0005-0000-0000-000005000000}"/>
    <cellStyle name="통화 [0]_unierp_uniERP기본폼 05년6월-ML" xfId="8" xr:uid="{00000000-0005-0000-0000-000006000000}"/>
    <cellStyle name="표준" xfId="0" builtinId="0"/>
    <cellStyle name="표준 2" xfId="1" xr:uid="{00000000-0005-0000-0000-000008000000}"/>
    <cellStyle name="표준 2 2" xfId="9" xr:uid="{00000000-0005-0000-0000-000009000000}"/>
    <cellStyle name="표준 3" xfId="3" xr:uid="{00000000-0005-0000-0000-00000A000000}"/>
    <cellStyle name="표준_Dogs-LH3-0803" xfId="7" xr:uid="{00000000-0005-0000-0000-00000B000000}"/>
    <cellStyle name="표준_UNIX 견적양식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489835" y="0"/>
          <a:ext cx="1009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489835" y="0"/>
          <a:ext cx="1009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489835" y="0"/>
          <a:ext cx="1009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489835" y="0"/>
          <a:ext cx="10091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 editAs="oneCell">
    <xdr:from>
      <xdr:col>7</xdr:col>
      <xdr:colOff>670560</xdr:colOff>
      <xdr:row>0</xdr:row>
      <xdr:rowOff>136275</xdr:rowOff>
    </xdr:from>
    <xdr:to>
      <xdr:col>7</xdr:col>
      <xdr:colOff>1776154</xdr:colOff>
      <xdr:row>4</xdr:row>
      <xdr:rowOff>22657</xdr:rowOff>
    </xdr:to>
    <xdr:pic>
      <xdr:nvPicPr>
        <xdr:cNvPr id="9" name="그림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60" y="136275"/>
          <a:ext cx="1105594" cy="1288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838200</xdr:colOff>
      <xdr:row>6</xdr:row>
      <xdr:rowOff>228600</xdr:rowOff>
    </xdr:from>
    <xdr:to>
      <xdr:col>7</xdr:col>
      <xdr:colOff>531670</xdr:colOff>
      <xdr:row>12</xdr:row>
      <xdr:rowOff>9525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A808EB14-1F40-415E-AA84-9A0F542C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9520" y="2240280"/>
          <a:ext cx="85171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_&#50689;&#50629;&#51088;&#47308;\1_&#51228;&#50577;&#49885;\&#44204;&#51201;&#54268;_SV(2005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datavg1\tuning\nmonAnalysis1.5\working\BIHandlerView_Ver3.3_CF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oyc\SK%20&#44544;&#47196;&#48268;\dtod%20&#44204;&#51201;&#49436;\DtoD%20V880&#50808;%20(0430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21;&#48372;&#51204;&#47029;\0A%20&#44221;&#50689;&#44228;&#54925;\09\&#51652;&#51676;&#52572;&#51333;\&#53804;&#51088;&#44228;&#54925;&#52712;&#54633;_0903_1300_V3.1_&#47588;&#5460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7"/>
      <sheetName val="OPT7"/>
      <sheetName val="Care"/>
      <sheetName val="MS"/>
      <sheetName val="RACK"/>
      <sheetName val="BL20pG2"/>
      <sheetName val="BL30p"/>
      <sheetName val="BL40p"/>
      <sheetName val="ML110"/>
      <sheetName val="ML150G2_SATA"/>
      <sheetName val="ML150G2_SCSI"/>
      <sheetName val="ML350G4"/>
      <sheetName val="ML370G4"/>
      <sheetName val="ML570G2"/>
      <sheetName val="DL140"/>
      <sheetName val="DL360G4"/>
      <sheetName val="DL380G4"/>
      <sheetName val="DL380G4CP"/>
      <sheetName val="DL560"/>
      <sheetName val="DL580G2"/>
      <sheetName val="DL585"/>
      <sheetName val="DL740"/>
      <sheetName val="DL760G2"/>
      <sheetName val="Backup"/>
      <sheetName val="110 Stg Svr"/>
      <sheetName val="380 Stg Svr_SCSI SATA"/>
      <sheetName val="380 Stg Svr_SAN"/>
      <sheetName val="580 Stg Svr"/>
      <sheetName val="EVA3000"/>
      <sheetName val="Carepack"/>
      <sheetName val="OPT"/>
      <sheetName val="SV"/>
    </sheetNames>
    <sheetDataSet>
      <sheetData sheetId="0" refreshError="1"/>
      <sheetData sheetId="1" refreshError="1">
        <row r="1">
          <cell r="A1" t="str">
            <v>P/N</v>
          </cell>
          <cell r="B1" t="str">
            <v>Description</v>
          </cell>
          <cell r="D1" t="str">
            <v>특판가</v>
          </cell>
          <cell r="E1" t="str">
            <v>Status</v>
          </cell>
        </row>
        <row r="2">
          <cell r="A2" t="str">
            <v>366619-B21</v>
          </cell>
          <cell r="B2" t="str">
            <v>DL145 2.4GHz Opteron Processor Option Kit</v>
          </cell>
          <cell r="D2">
            <v>1575000</v>
          </cell>
          <cell r="E2" t="str">
            <v>Status</v>
          </cell>
        </row>
        <row r="3">
          <cell r="A3" t="str">
            <v>361036-B21</v>
          </cell>
          <cell r="B3" t="str">
            <v>DL145 2.2GHz Opteron Processor Option Kit</v>
          </cell>
          <cell r="D3">
            <v>1290000</v>
          </cell>
        </row>
        <row r="4">
          <cell r="A4" t="str">
            <v>361034-B21</v>
          </cell>
          <cell r="B4" t="str">
            <v>DL145 1.6GHz Opteron Processor Option Kit</v>
          </cell>
          <cell r="D4">
            <v>605000</v>
          </cell>
        </row>
        <row r="5">
          <cell r="A5" t="str">
            <v>361037-B21</v>
          </cell>
          <cell r="B5" t="str">
            <v>PC2700 1GB (2 x 512MB) Memory Option Kit</v>
          </cell>
          <cell r="D5">
            <v>390000</v>
          </cell>
        </row>
        <row r="6">
          <cell r="A6" t="str">
            <v>361038-B21</v>
          </cell>
          <cell r="B6" t="str">
            <v>PC2700 2GB (2 x 1GB) Memory Option Kit</v>
          </cell>
          <cell r="D6">
            <v>990000</v>
          </cell>
        </row>
        <row r="7">
          <cell r="A7" t="str">
            <v>361039-B21</v>
          </cell>
          <cell r="B7" t="str">
            <v>PC2700 4GB (2 x 2GB) Memory Option Kit</v>
          </cell>
          <cell r="D7">
            <v>2600000</v>
          </cell>
        </row>
        <row r="8">
          <cell r="A8" t="str">
            <v>361040-B21</v>
          </cell>
          <cell r="B8" t="str">
            <v>DVD-ROM Option Kit</v>
          </cell>
          <cell r="D8">
            <v>160000</v>
          </cell>
        </row>
        <row r="9">
          <cell r="A9" t="str">
            <v>230534-B21</v>
          </cell>
          <cell r="B9" t="str">
            <v>40GB ATA/100 7,200 RPM Drive (1")</v>
          </cell>
          <cell r="D9" t="str">
            <v>옵션 가격표 
참조 요망</v>
          </cell>
        </row>
        <row r="10">
          <cell r="A10" t="str">
            <v>278424-B21</v>
          </cell>
          <cell r="B10" t="str">
            <v>80GB ATA 100 7,200 RPM Hard Drive(1")</v>
          </cell>
          <cell r="D10" t="str">
            <v>옵션 가격표 
참조 요망</v>
          </cell>
        </row>
        <row r="11">
          <cell r="A11" t="str">
            <v>365289-B21</v>
          </cell>
          <cell r="B11" t="str">
            <v>64-Bit/133-MHz Single Channel Ultra320 SCSI HBA</v>
          </cell>
          <cell r="D11">
            <v>190000</v>
          </cell>
        </row>
        <row r="13">
          <cell r="A13" t="str">
            <v>354557-B21</v>
          </cell>
          <cell r="B13" t="str">
            <v>256MB of Advanced ECC PC3200 DDR SDRAM 
(1 x 256 MB)</v>
          </cell>
          <cell r="D13">
            <v>140000</v>
          </cell>
        </row>
        <row r="14">
          <cell r="A14" t="str">
            <v>354560-B21</v>
          </cell>
          <cell r="B14" t="str">
            <v>512MB of Advanced ECC PC3200 DDR SDRAM 
(1 x 512 MB)</v>
          </cell>
          <cell r="D14">
            <v>270000</v>
          </cell>
        </row>
        <row r="15">
          <cell r="A15" t="str">
            <v>354563-B21</v>
          </cell>
          <cell r="B15" t="str">
            <v>1024MB of Advanced ECC PC3200 DDR SDRAM 
(1 x 1024 MB)</v>
          </cell>
          <cell r="D15">
            <v>750000</v>
          </cell>
        </row>
        <row r="16">
          <cell r="A16" t="str">
            <v>355671-B21</v>
          </cell>
          <cell r="B16" t="str">
            <v>Adaptec PCI SCSI RAID controller</v>
          </cell>
          <cell r="D16">
            <v>570000</v>
          </cell>
        </row>
        <row r="18">
          <cell r="A18" t="str">
            <v>359047-B21</v>
          </cell>
          <cell r="B18" t="str">
            <v>3.06GHz-512KB/533MHz Processor Option</v>
          </cell>
          <cell r="D18">
            <v>880000</v>
          </cell>
        </row>
        <row r="19">
          <cell r="A19" t="str">
            <v>349043-B21</v>
          </cell>
          <cell r="B19" t="str">
            <v>2.4GHz-512KB/533MHz Processor Option</v>
          </cell>
          <cell r="D19">
            <v>489500</v>
          </cell>
        </row>
        <row r="20">
          <cell r="A20" t="str">
            <v>351109-B21</v>
          </cell>
          <cell r="B20" t="str">
            <v>1GB Advanced ECC PC2100 DDR Memory Kit 
(1 x 1024 MB)</v>
          </cell>
          <cell r="D20">
            <v>551100</v>
          </cell>
        </row>
        <row r="21">
          <cell r="A21" t="str">
            <v>351108-B21</v>
          </cell>
          <cell r="B21" t="str">
            <v>512MB of Advanced ECC PC2100 DDR Memory Kit 
(1 x 512 MB)</v>
          </cell>
          <cell r="D21">
            <v>239800</v>
          </cell>
        </row>
        <row r="22">
          <cell r="A22" t="str">
            <v>349046-B21</v>
          </cell>
          <cell r="B22" t="str">
            <v>24x CD-ROM Option Kit</v>
          </cell>
          <cell r="D22">
            <v>80300</v>
          </cell>
        </row>
        <row r="24">
          <cell r="A24" t="str">
            <v>ProLiant 300 Series Options</v>
          </cell>
        </row>
        <row r="25">
          <cell r="A25" t="str">
            <v>Processor Options</v>
          </cell>
        </row>
        <row r="26">
          <cell r="A26" t="str">
            <v>358344-B21</v>
          </cell>
          <cell r="B26" t="str">
            <v>Xeon 3.0GHz-1M/800MHz Processor Option Kit</v>
          </cell>
          <cell r="C26" t="str">
            <v>ML350G4</v>
          </cell>
          <cell r="D26">
            <v>3560000</v>
          </cell>
        </row>
        <row r="27">
          <cell r="A27" t="str">
            <v>358345-B21</v>
          </cell>
          <cell r="B27" t="str">
            <v>Xeon 3.2GHz-1M/800MHz Processor Option Kit</v>
          </cell>
          <cell r="C27" t="str">
            <v>ML350G4</v>
          </cell>
          <cell r="D27">
            <v>5503000</v>
          </cell>
        </row>
        <row r="28">
          <cell r="A28" t="str">
            <v>370513-B21</v>
          </cell>
          <cell r="B28" t="str">
            <v>Xeon 3.4GHz-1M/800MHz Processor Option Kit</v>
          </cell>
          <cell r="C28" t="str">
            <v xml:space="preserve">ML350G4 </v>
          </cell>
          <cell r="D28">
            <v>7420000</v>
          </cell>
        </row>
        <row r="29">
          <cell r="A29" t="str">
            <v>368152-B21</v>
          </cell>
          <cell r="B29" t="str">
            <v>Xeon 3.0GHz-1M/800MHz Processor Option Kit</v>
          </cell>
          <cell r="C29" t="str">
            <v>DL360G4</v>
          </cell>
          <cell r="D29">
            <v>3756000</v>
          </cell>
        </row>
        <row r="30">
          <cell r="A30" t="str">
            <v>354582-B21</v>
          </cell>
          <cell r="B30" t="str">
            <v>Xeon 3.4GHz-1M/800MHz Processor Option Kit</v>
          </cell>
          <cell r="C30" t="str">
            <v>DL360G4</v>
          </cell>
          <cell r="D30">
            <v>7515000</v>
          </cell>
        </row>
        <row r="31">
          <cell r="A31" t="str">
            <v>354583-B21</v>
          </cell>
          <cell r="B31" t="str">
            <v>Xeon 3.6GHz-1M/800MHz Processor Option Kit</v>
          </cell>
          <cell r="C31" t="str">
            <v>DL360G4</v>
          </cell>
          <cell r="D31">
            <v>8750000</v>
          </cell>
        </row>
        <row r="32">
          <cell r="A32" t="str">
            <v>380040-B21</v>
          </cell>
          <cell r="B32" t="str">
            <v>Xeon 3.0GHz-1M/800MHz Processor Option Kit</v>
          </cell>
          <cell r="C32" t="str">
            <v>ML370G4, DL380G4</v>
          </cell>
          <cell r="D32">
            <v>4500000</v>
          </cell>
        </row>
        <row r="33">
          <cell r="A33" t="str">
            <v>374492-B21</v>
          </cell>
          <cell r="B33" t="str">
            <v>Xeon 3.2GHz-1M/800MHz Processor Option Kit</v>
          </cell>
          <cell r="C33" t="str">
            <v>ML370G4,DL380G4</v>
          </cell>
          <cell r="D33">
            <v>6250000</v>
          </cell>
        </row>
        <row r="34">
          <cell r="A34" t="str">
            <v>311583-B21</v>
          </cell>
          <cell r="B34" t="str">
            <v>Xeon 3.4GHz-1M/800MHz Processor Option Kit</v>
          </cell>
          <cell r="C34" t="str">
            <v>ML370G4,DL380G4</v>
          </cell>
          <cell r="D34">
            <v>8272000</v>
          </cell>
        </row>
        <row r="35">
          <cell r="A35" t="str">
            <v>311584-B21</v>
          </cell>
          <cell r="B35" t="str">
            <v>Xeon 3.6GHz-1M/800MHz Processor Option Kit</v>
          </cell>
          <cell r="C35" t="str">
            <v>ML370G4,DL380G4</v>
          </cell>
          <cell r="D35">
            <v>9853000</v>
          </cell>
        </row>
        <row r="37">
          <cell r="A37" t="str">
            <v>317823-B21</v>
          </cell>
          <cell r="B37" t="str">
            <v>Xeon 2.8GHz-512KB/533MHz Processor Option Kit</v>
          </cell>
          <cell r="C37" t="str">
            <v>ML330G3</v>
          </cell>
          <cell r="D37">
            <v>2890772</v>
          </cell>
        </row>
        <row r="38">
          <cell r="A38" t="str">
            <v>323139-B21</v>
          </cell>
          <cell r="B38" t="str">
            <v>Xeon 2.4GHz-512KB/533MHz Processor Option Kit</v>
          </cell>
          <cell r="C38" t="str">
            <v>ML330G3</v>
          </cell>
          <cell r="D38">
            <v>2107000</v>
          </cell>
        </row>
        <row r="39">
          <cell r="A39" t="str">
            <v>314763-B21</v>
          </cell>
          <cell r="B39" t="str">
            <v>Xeon 2.8GHz-512KB/533MHz Processor Option Kit</v>
          </cell>
          <cell r="C39" t="str">
            <v>ML350G3</v>
          </cell>
          <cell r="D39">
            <v>2427000</v>
          </cell>
        </row>
        <row r="40">
          <cell r="A40" t="str">
            <v>353831-B21</v>
          </cell>
          <cell r="B40" t="str">
            <v>Xeon 3.2GHz-2M//533MHz Processor Option Kit</v>
          </cell>
          <cell r="C40" t="str">
            <v>DL360G3</v>
          </cell>
          <cell r="D40">
            <v>8248000</v>
          </cell>
        </row>
        <row r="41">
          <cell r="A41" t="str">
            <v>345103-B21</v>
          </cell>
          <cell r="B41" t="str">
            <v>Xeon 3.2GHz-1M//533MHz Processor Option Kit</v>
          </cell>
          <cell r="C41" t="str">
            <v>DL360G3</v>
          </cell>
          <cell r="D41">
            <v>5911000</v>
          </cell>
        </row>
        <row r="42">
          <cell r="A42" t="str">
            <v>322472-B21</v>
          </cell>
          <cell r="B42" t="str">
            <v>Xeon 3.06GHz-512KB/533MHz Processor Option Kit</v>
          </cell>
          <cell r="C42" t="str">
            <v>DL360G3</v>
          </cell>
          <cell r="D42">
            <v>3410000</v>
          </cell>
        </row>
        <row r="43">
          <cell r="A43" t="str">
            <v>292892-B21</v>
          </cell>
          <cell r="B43" t="str">
            <v>Xeon 2.8GHz-512KB/533MHz Processor Option Kit</v>
          </cell>
          <cell r="C43" t="str">
            <v>DL360G3</v>
          </cell>
          <cell r="D43">
            <v>2282000</v>
          </cell>
        </row>
        <row r="44">
          <cell r="A44" t="str">
            <v>292891-B21</v>
          </cell>
          <cell r="B44" t="str">
            <v>Xeon 2.4GHz-512KB/533MHz Processor Option Kit</v>
          </cell>
          <cell r="C44" t="str">
            <v>DL360G3</v>
          </cell>
          <cell r="D44">
            <v>1710000</v>
          </cell>
        </row>
        <row r="45">
          <cell r="A45" t="str">
            <v>352568-B21</v>
          </cell>
          <cell r="B45" t="str">
            <v>Xeon 3.2GHz-2M/533MHz Processor Option Kit</v>
          </cell>
          <cell r="C45" t="str">
            <v>ML370G3, DL380G3</v>
          </cell>
          <cell r="D45">
            <v>8854000</v>
          </cell>
        </row>
        <row r="46">
          <cell r="A46" t="str">
            <v>333713-B21</v>
          </cell>
          <cell r="B46" t="str">
            <v>Xeon 3.06GHz-1M/533MHz Processor Option Kit</v>
          </cell>
          <cell r="C46" t="str">
            <v>ML370G3, DL380G3</v>
          </cell>
          <cell r="D46">
            <v>4015000</v>
          </cell>
        </row>
        <row r="47">
          <cell r="A47" t="str">
            <v>333714-B21</v>
          </cell>
          <cell r="B47" t="str">
            <v>Xeon 3.2GHz-1M/533MHz Processor Option Kit</v>
          </cell>
          <cell r="C47" t="str">
            <v>ML370G3, DL380G3</v>
          </cell>
          <cell r="D47">
            <v>5911000</v>
          </cell>
        </row>
        <row r="48">
          <cell r="A48" t="str">
            <v>257916-B21</v>
          </cell>
          <cell r="B48" t="str">
            <v>Xeon 3.06GHz-512KB/533MHz Processor Option Kit</v>
          </cell>
          <cell r="C48" t="str">
            <v>ML350G3, ML370G3, DL380G3</v>
          </cell>
          <cell r="D48">
            <v>3352000</v>
          </cell>
        </row>
        <row r="49">
          <cell r="A49" t="str">
            <v>352567-B21</v>
          </cell>
          <cell r="B49" t="str">
            <v>Xeon 2.8GHz-1M/533MHz Processor Option Kit</v>
          </cell>
          <cell r="C49" t="str">
            <v>ML350G3, ML370G3, DL380G3</v>
          </cell>
          <cell r="D49">
            <v>3472000</v>
          </cell>
        </row>
        <row r="50">
          <cell r="A50" t="str">
            <v>257915-B21</v>
          </cell>
          <cell r="B50" t="str">
            <v>Xeon 2.8GHz-512KB/400MHz Processor Option Kit</v>
          </cell>
          <cell r="C50" t="str">
            <v>ML370G3, DL380G3, DL380G3 Packaged Cluster</v>
          </cell>
          <cell r="D50">
            <v>2282000</v>
          </cell>
        </row>
        <row r="52">
          <cell r="A52" t="str">
            <v>231118-B21</v>
          </cell>
          <cell r="B52" t="str">
            <v>PIII 1400-512KB (133MHz FSB) FC-PGA2</v>
          </cell>
          <cell r="C52" t="str">
            <v>ML330G2, ML350G2, ML370G2</v>
          </cell>
          <cell r="D52">
            <v>2046000</v>
          </cell>
        </row>
        <row r="54">
          <cell r="A54" t="str">
            <v>Memory Options</v>
          </cell>
        </row>
        <row r="55">
          <cell r="A55" t="str">
            <v>358347-B21</v>
          </cell>
          <cell r="B55" t="str">
            <v>512MB REG PC2700 SGLDMM</v>
          </cell>
          <cell r="C55" t="str">
            <v>DL360G4, ML350G4</v>
          </cell>
          <cell r="D55">
            <v>1370000</v>
          </cell>
        </row>
        <row r="56">
          <cell r="A56" t="str">
            <v>358348-B21</v>
          </cell>
          <cell r="B56" t="str">
            <v>1G REG PC2700 SGLDMM</v>
          </cell>
          <cell r="C56" t="str">
            <v>DL360G4, ML350G4</v>
          </cell>
          <cell r="D56">
            <v>2750000</v>
          </cell>
        </row>
        <row r="57">
          <cell r="A57" t="str">
            <v>358349-B21</v>
          </cell>
          <cell r="B57" t="str">
            <v>2G REG PC2700 SGLDMM</v>
          </cell>
          <cell r="C57" t="str">
            <v>DL360G4, ML350G4</v>
          </cell>
          <cell r="D57">
            <v>5920000</v>
          </cell>
        </row>
        <row r="59">
          <cell r="A59" t="str">
            <v>343055-B21</v>
          </cell>
          <cell r="B59" t="str">
            <v>1G REG PC2-3200 (2X512)</v>
          </cell>
          <cell r="C59" t="str">
            <v>DL380G4, ML370G4</v>
          </cell>
          <cell r="D59">
            <v>2990000</v>
          </cell>
        </row>
        <row r="60">
          <cell r="A60" t="str">
            <v>343056-B21</v>
          </cell>
          <cell r="B60" t="str">
            <v>2G REG PC2-3200 (2X1GB)</v>
          </cell>
          <cell r="C60" t="str">
            <v>DL380G4, ML370G4</v>
          </cell>
          <cell r="D60">
            <v>6950000</v>
          </cell>
        </row>
        <row r="61">
          <cell r="A61" t="str">
            <v>343057-B21</v>
          </cell>
          <cell r="B61" t="str">
            <v>4G REG PC2-3200 (2X1GB)</v>
          </cell>
          <cell r="C61" t="str">
            <v>DL380G4, ML370G4</v>
          </cell>
          <cell r="D61">
            <v>29000000</v>
          </cell>
        </row>
        <row r="63">
          <cell r="A63" t="str">
            <v>128279-B21</v>
          </cell>
          <cell r="B63" t="str">
            <v>512MB Registered SDRAM DIMM - 133MHz</v>
          </cell>
          <cell r="C63" t="str">
            <v>ML530, ML370, ML350, ML350G2, ML330, ML330G2, DL380, DL360, DL320, BL e-Class</v>
          </cell>
          <cell r="D63">
            <v>955000</v>
          </cell>
        </row>
        <row r="64">
          <cell r="A64" t="str">
            <v>128280-B21</v>
          </cell>
          <cell r="B64" t="str">
            <v>1GB Registered SDRAM DIMM - 133MHz</v>
          </cell>
          <cell r="C64" t="str">
            <v>ML370, ML350(1GHz 이상 Model), ML350 G2, ML330G2,DL380, DL360</v>
          </cell>
          <cell r="D64">
            <v>2553000</v>
          </cell>
        </row>
        <row r="66">
          <cell r="A66" t="str">
            <v>287494-B21</v>
          </cell>
          <cell r="B66" t="str">
            <v>128MB of Advanced ECC PC2100 DDR SDRAM DIMM 
(1*128MB)</v>
          </cell>
          <cell r="C66" t="str">
            <v>tc2120, DL320G2, ML330G3, ML350G3</v>
          </cell>
          <cell r="D66">
            <v>522000</v>
          </cell>
        </row>
        <row r="67">
          <cell r="A67" t="str">
            <v>287495-B21</v>
          </cell>
          <cell r="B67" t="str">
            <v>256MB of Advanced ECC PC2100 DDR SDRAM DIMM 
(1*256MB)</v>
          </cell>
          <cell r="C67" t="str">
            <v>tc2120, DL320G2, ML330G3, ML350G3</v>
          </cell>
          <cell r="D67">
            <v>622000</v>
          </cell>
        </row>
        <row r="68">
          <cell r="A68" t="str">
            <v>287496-B21</v>
          </cell>
          <cell r="B68" t="str">
            <v>512MB of Advanced ECC PC2100 DDR SDRAM DIMM
(1*512MB)</v>
          </cell>
          <cell r="C68" t="str">
            <v>tc2120, DL320G2, ML330G3, ML350G3</v>
          </cell>
          <cell r="D68">
            <v>955000</v>
          </cell>
        </row>
        <row r="69">
          <cell r="A69" t="str">
            <v>287497-B21</v>
          </cell>
          <cell r="B69" t="str">
            <v>1GB of Advanced ECC PC2100 DDR SDRAM DIMM 
(1*1GB)</v>
          </cell>
          <cell r="C69" t="str">
            <v>tc2120, DL320G2, ML330G3, ML350G3</v>
          </cell>
          <cell r="D69">
            <v>2796000</v>
          </cell>
        </row>
        <row r="70">
          <cell r="A70" t="str">
            <v>301044-B21</v>
          </cell>
          <cell r="B70" t="str">
            <v>2GB of Advanced ECC PC2100 DDR SDRAM DIMM 
(1*2GB)</v>
          </cell>
          <cell r="C70" t="str">
            <v>ML350G3</v>
          </cell>
          <cell r="D70">
            <v>5514000</v>
          </cell>
        </row>
        <row r="72">
          <cell r="A72" t="str">
            <v>300678-B21</v>
          </cell>
          <cell r="B72" t="str">
            <v>512MB of Advanced ECC PC2100 DDR SDRAM DIMM
(2 x 256 MB)</v>
          </cell>
          <cell r="C72" t="str">
            <v>DL360G3, ML370G3, DL380G3, DL380G3 Packaged Cluster</v>
          </cell>
          <cell r="D72">
            <v>1330000</v>
          </cell>
        </row>
        <row r="73">
          <cell r="A73" t="str">
            <v>300679-B21</v>
          </cell>
          <cell r="B73" t="str">
            <v>1GB of Advanced ECC PC2100 DDR SDRAM DIMM 
(2 x 512 MB)</v>
          </cell>
          <cell r="C73" t="str">
            <v>DL360G3, ML370G3, DL380G3, DL380G3 Packaged Cluster</v>
          </cell>
          <cell r="D73">
            <v>2210000</v>
          </cell>
        </row>
        <row r="74">
          <cell r="A74" t="str">
            <v>300680-B21</v>
          </cell>
          <cell r="B74" t="str">
            <v>2GB of Advanced ECC PC2100 DDR SDRAM DIMM 
(2 x 1GB)</v>
          </cell>
          <cell r="C74" t="str">
            <v>DL360G3, ML370G3, DL380G3, DL380G3 Packaged Cluster</v>
          </cell>
          <cell r="D74">
            <v>4530000</v>
          </cell>
        </row>
        <row r="75">
          <cell r="A75" t="str">
            <v>300682-B21</v>
          </cell>
          <cell r="B75" t="str">
            <v>4GB of Advanced ECC PC2100 DDR SDRAM DIMM 
(2 x 2GB)</v>
          </cell>
          <cell r="C75" t="str">
            <v>DL360G3, ML370G3, DL380G3(400MHz FSB model은 제외)</v>
          </cell>
          <cell r="D75">
            <v>10705000</v>
          </cell>
        </row>
        <row r="77">
          <cell r="A77" t="str">
            <v>201694-B21</v>
          </cell>
          <cell r="B77" t="str">
            <v>1GB Registered SDRAM  - 133MHz (2 x 512MB)</v>
          </cell>
          <cell r="C77" t="str">
            <v>DL360, DL360G2, DL380G2, DL380G2 Packaged Cluster, ML370G2</v>
          </cell>
          <cell r="D77">
            <v>2050000</v>
          </cell>
        </row>
        <row r="78">
          <cell r="A78" t="str">
            <v>201695-B21</v>
          </cell>
          <cell r="B78" t="str">
            <v>2GB Registered SDRAM  - 133MHz (2 x 1GB)</v>
          </cell>
          <cell r="C78" t="str">
            <v>DL360, DL360G2, DL380G2, DL380G2 Packaged Cluster, ML370G2</v>
          </cell>
          <cell r="D78">
            <v>5120000</v>
          </cell>
        </row>
        <row r="80">
          <cell r="A80" t="str">
            <v>Hard Drive Options</v>
          </cell>
        </row>
        <row r="81">
          <cell r="A81" t="str">
            <v>230534-B21</v>
          </cell>
          <cell r="B81" t="str">
            <v>40GB ATA/100 7,200 RPM Drive (1")</v>
          </cell>
          <cell r="C81" t="str">
            <v>DL320, DL320G2, ML330, ML330e, ML330G2</v>
          </cell>
          <cell r="D81">
            <v>456000</v>
          </cell>
        </row>
        <row r="82">
          <cell r="A82" t="str">
            <v>278424-B21</v>
          </cell>
          <cell r="B82" t="str">
            <v>80GB ATA 100 7,200 RPM Hard Drive(1")</v>
          </cell>
          <cell r="C82" t="str">
            <v>DL140, DL320, DL320G2, ML330G2</v>
          </cell>
          <cell r="D82">
            <v>578000</v>
          </cell>
        </row>
        <row r="83">
          <cell r="A83" t="str">
            <v>283533-B21</v>
          </cell>
          <cell r="B83" t="str">
            <v>Slotless SCSI module with Cable</v>
          </cell>
          <cell r="C83" t="str">
            <v>DL320G2</v>
          </cell>
          <cell r="D83">
            <v>712000</v>
          </cell>
        </row>
        <row r="84">
          <cell r="A84" t="str">
            <v>244059-B21</v>
          </cell>
          <cell r="B84" t="str">
            <v>Wide Ultra2/3 Internal Two Bay Hot Plug SCSI Drive Cage 
(without fan)</v>
          </cell>
          <cell r="C84" t="str">
            <v xml:space="preserve">ML330G2, ML330G3,  ML350 , ML350G2, ML350G3, ML350G4, ML370G2, ML370G3, ML370G4 </v>
          </cell>
          <cell r="D84">
            <v>1055000</v>
          </cell>
        </row>
        <row r="85">
          <cell r="A85" t="str">
            <v>339323-B21</v>
          </cell>
          <cell r="B85" t="str">
            <v>DUPX BackPlane ML350G4/ML370G4</v>
          </cell>
          <cell r="C85" t="str">
            <v>ML350G4, ML370G4</v>
          </cell>
          <cell r="D85">
            <v>325000</v>
          </cell>
        </row>
        <row r="87">
          <cell r="A87" t="str">
            <v>Power Supply</v>
          </cell>
        </row>
        <row r="88">
          <cell r="A88" t="str">
            <v>354587-B21</v>
          </cell>
          <cell r="B88" t="str">
            <v>AC Power Supply DL360G4</v>
          </cell>
          <cell r="C88" t="str">
            <v>DL360G4</v>
          </cell>
          <cell r="D88">
            <v>815000</v>
          </cell>
        </row>
        <row r="89">
          <cell r="A89" t="str">
            <v>355892-B21</v>
          </cell>
          <cell r="B89" t="str">
            <v xml:space="preserve">Hot Plug Redundant Power Supply </v>
          </cell>
          <cell r="C89" t="str">
            <v>DL380G4</v>
          </cell>
          <cell r="D89">
            <v>750000</v>
          </cell>
        </row>
        <row r="90">
          <cell r="A90" t="str">
            <v>365866-B21</v>
          </cell>
          <cell r="B90" t="str">
            <v>FAN RED ML350G4</v>
          </cell>
          <cell r="C90" t="str">
            <v>ML350G4</v>
          </cell>
          <cell r="D90">
            <v>420000</v>
          </cell>
        </row>
        <row r="91">
          <cell r="A91" t="str">
            <v>358352-B21</v>
          </cell>
          <cell r="B91" t="str">
            <v xml:space="preserve">725W Hot Plug Redundant Power Supply </v>
          </cell>
          <cell r="C91" t="str">
            <v>ML350G4</v>
          </cell>
          <cell r="D91">
            <v>890000</v>
          </cell>
        </row>
        <row r="92">
          <cell r="A92" t="str">
            <v>356544-B21</v>
          </cell>
          <cell r="B92" t="str">
            <v>Hot Plug Redundant Power Supply</v>
          </cell>
          <cell r="C92" t="str">
            <v>ML370G4</v>
          </cell>
          <cell r="D92">
            <v>749000</v>
          </cell>
        </row>
        <row r="93">
          <cell r="A93" t="str">
            <v>293703-B21</v>
          </cell>
          <cell r="B93" t="str">
            <v>325W Hot Plug Redundant Power Supply (IEC Cord)</v>
          </cell>
          <cell r="C93" t="str">
            <v>DL360G3</v>
          </cell>
          <cell r="D93">
            <v>809000</v>
          </cell>
        </row>
        <row r="94">
          <cell r="A94" t="str">
            <v>313054-B21</v>
          </cell>
          <cell r="B94" t="str">
            <v>HotPlug AC Redundant Power Supply Module (IEC Cord)</v>
          </cell>
          <cell r="C94" t="str">
            <v>DL380G2, DL380G3, DL380G3 Packaged Cluster</v>
          </cell>
          <cell r="D94">
            <v>592000</v>
          </cell>
        </row>
        <row r="95">
          <cell r="A95" t="str">
            <v>283655-B21</v>
          </cell>
          <cell r="B95" t="str">
            <v>Hot Plug Redundant Power Supply Option Kit (Rack)</v>
          </cell>
          <cell r="C95" t="str">
            <v>ML350G3</v>
          </cell>
          <cell r="D95">
            <v>812000</v>
          </cell>
        </row>
        <row r="96">
          <cell r="A96" t="str">
            <v>225075-001</v>
          </cell>
          <cell r="B96" t="str">
            <v xml:space="preserve">Hot Plug Redundant Power Supply </v>
          </cell>
          <cell r="C96" t="str">
            <v>ML370G2, ML370G3</v>
          </cell>
          <cell r="D96">
            <v>767000</v>
          </cell>
        </row>
        <row r="98">
          <cell r="A98" t="str">
            <v>Floppy &amp; CD Options</v>
          </cell>
        </row>
        <row r="99">
          <cell r="A99" t="str">
            <v>354588-B21</v>
          </cell>
          <cell r="B99" t="str">
            <v>DL360G4 Floppy Driver W/BZL</v>
          </cell>
          <cell r="C99" t="str">
            <v>DL360G4</v>
          </cell>
          <cell r="D99">
            <v>350000</v>
          </cell>
        </row>
        <row r="100">
          <cell r="A100" t="str">
            <v>356963-B21</v>
          </cell>
          <cell r="B100" t="str">
            <v>CD-ROM Driver 24x CARBON 68PIN</v>
          </cell>
          <cell r="C100" t="str">
            <v>DL360G4</v>
          </cell>
          <cell r="D100">
            <v>450000</v>
          </cell>
        </row>
        <row r="101">
          <cell r="A101" t="str">
            <v>364507-B21</v>
          </cell>
          <cell r="B101" t="str">
            <v>DL380G4 Floppy Driver W/BRKTS</v>
          </cell>
          <cell r="C101" t="str">
            <v>DL380G4</v>
          </cell>
          <cell r="D101">
            <v>255000</v>
          </cell>
        </row>
        <row r="103">
          <cell r="A103" t="str">
            <v>Redundant Fan Kit</v>
          </cell>
        </row>
        <row r="104">
          <cell r="A104" t="str">
            <v>225073-B21</v>
          </cell>
          <cell r="B104" t="str">
            <v xml:space="preserve">Hot Plug Redundant Fan Kit </v>
          </cell>
          <cell r="C104" t="str">
            <v>ML370G2, ML370G3, ML370G4</v>
          </cell>
          <cell r="D104">
            <v>469000</v>
          </cell>
        </row>
        <row r="105">
          <cell r="A105" t="str">
            <v>293048-B21</v>
          </cell>
          <cell r="B105" t="str">
            <v xml:space="preserve">Hot Plug Redundant Fan Kit </v>
          </cell>
          <cell r="C105" t="str">
            <v>DL380G3/G4, DL380G3/G4 Packaged Cluster</v>
          </cell>
          <cell r="D105">
            <v>561000</v>
          </cell>
        </row>
        <row r="107">
          <cell r="A107" t="str">
            <v>Cable Options</v>
          </cell>
        </row>
        <row r="108">
          <cell r="A108" t="str">
            <v>364471-B21</v>
          </cell>
          <cell r="B108" t="str">
            <v>DL380G4 SCSI TERM BD CA ASSY</v>
          </cell>
          <cell r="C108" t="str">
            <v>DL380G4</v>
          </cell>
          <cell r="D108">
            <v>205000</v>
          </cell>
        </row>
        <row r="109">
          <cell r="A109" t="str">
            <v>338288-B21</v>
          </cell>
          <cell r="B109" t="str">
            <v>2nd Serial Port ML350G4</v>
          </cell>
          <cell r="C109" t="str">
            <v>ML350G4</v>
          </cell>
          <cell r="D109">
            <v>120000</v>
          </cell>
        </row>
        <row r="110">
          <cell r="A110" t="str">
            <v>273463-B21</v>
          </cell>
          <cell r="B110" t="str">
            <v>ProLiant ML330G2 SCSI Cable Kit</v>
          </cell>
          <cell r="C110" t="str">
            <v>ML330G2</v>
          </cell>
          <cell r="D110">
            <v>159000</v>
          </cell>
        </row>
        <row r="111">
          <cell r="A111" t="str">
            <v>159547-B22</v>
          </cell>
          <cell r="B111" t="str">
            <v>Internal to External SCSI Cable Option Kit</v>
          </cell>
          <cell r="C111" t="str">
            <v>ML330G2, ML350G2, ML350G3</v>
          </cell>
          <cell r="D111">
            <v>235000</v>
          </cell>
        </row>
        <row r="113">
          <cell r="A113" t="str">
            <v>Rack Conversion Kit</v>
          </cell>
        </row>
        <row r="114">
          <cell r="A114" t="str">
            <v>358350-B21</v>
          </cell>
          <cell r="B114" t="str">
            <v>ML350G4 Tower to Rack Conversion Kit</v>
          </cell>
          <cell r="C114" t="str">
            <v>ML350G4</v>
          </cell>
          <cell r="D114">
            <v>1050000</v>
          </cell>
        </row>
        <row r="115">
          <cell r="A115" t="str">
            <v>356545-B21</v>
          </cell>
          <cell r="B115" t="str">
            <v>ML370G4 Tower to Rack Conversion Kit</v>
          </cell>
          <cell r="C115" t="str">
            <v>ML370G4</v>
          </cell>
          <cell r="D115">
            <v>1150000</v>
          </cell>
        </row>
        <row r="116">
          <cell r="A116" t="str">
            <v>238547-B22</v>
          </cell>
          <cell r="B116" t="str">
            <v>ML330 Tower to Rack Enabling Kit</v>
          </cell>
          <cell r="C116" t="str">
            <v>ML330G2, ML330G3</v>
          </cell>
          <cell r="D116">
            <v>1250000</v>
          </cell>
        </row>
        <row r="117">
          <cell r="A117" t="str">
            <v>290683-B22</v>
          </cell>
          <cell r="B117" t="str">
            <v>ML350 G3 Tower to Rack Conversion Kit</v>
          </cell>
          <cell r="C117" t="str">
            <v>ML350G3</v>
          </cell>
          <cell r="D117">
            <v>975000</v>
          </cell>
        </row>
        <row r="118">
          <cell r="A118" t="str">
            <v>225074-B22</v>
          </cell>
          <cell r="B118" t="str">
            <v>ML370 G3 Tower to Rack Conversion Kit</v>
          </cell>
          <cell r="C118" t="str">
            <v>ML370G2, ML370G3</v>
          </cell>
          <cell r="D118">
            <v>985000</v>
          </cell>
        </row>
        <row r="119">
          <cell r="A119" t="str">
            <v>371482-B21</v>
          </cell>
          <cell r="B119" t="str">
            <v>Rnd/SqrHole Shpng Kt 350/70/80 ALL</v>
          </cell>
          <cell r="C119" t="str">
            <v>ML350G4, ML370G4, DL380G4</v>
          </cell>
          <cell r="D119">
            <v>75400</v>
          </cell>
        </row>
        <row r="121">
          <cell r="A121" t="str">
            <v>Rack Options</v>
          </cell>
        </row>
        <row r="122">
          <cell r="A122" t="str">
            <v>365403-B21</v>
          </cell>
          <cell r="B122" t="str">
            <v>1U Cable Management Arm DL360G4</v>
          </cell>
          <cell r="C122" t="str">
            <v>DL360G4</v>
          </cell>
          <cell r="D122">
            <v>456000</v>
          </cell>
        </row>
        <row r="123">
          <cell r="A123" t="str">
            <v>303341-B21</v>
          </cell>
          <cell r="B123" t="str">
            <v>DL360G3 Universal Sliding Rail Kit</v>
          </cell>
          <cell r="C123" t="str">
            <v>DL360G3</v>
          </cell>
          <cell r="D123">
            <v>607000</v>
          </cell>
        </row>
        <row r="124">
          <cell r="A124" t="str">
            <v>251243-B21</v>
          </cell>
          <cell r="B124" t="str">
            <v>DL360 Telco Rack Option Kit</v>
          </cell>
          <cell r="C124" t="str">
            <v>DL360G2, DL360G3</v>
          </cell>
          <cell r="D124">
            <v>557000</v>
          </cell>
        </row>
        <row r="125">
          <cell r="A125" t="str">
            <v>231121-B21</v>
          </cell>
          <cell r="B125" t="str">
            <v>ML370 Telco Rail Kit</v>
          </cell>
          <cell r="C125" t="str">
            <v>ML370G2, ML370G3</v>
          </cell>
          <cell r="D125">
            <v>776000</v>
          </cell>
        </row>
        <row r="126">
          <cell r="A126" t="str">
            <v>231122-B21</v>
          </cell>
          <cell r="B126" t="str">
            <v>ML370 3rd Party Rail Kit</v>
          </cell>
          <cell r="C126" t="str">
            <v>ML370G2, ML370G3</v>
          </cell>
          <cell r="D126">
            <v>314000</v>
          </cell>
        </row>
        <row r="127">
          <cell r="A127" t="str">
            <v>228892-B21</v>
          </cell>
          <cell r="B127" t="str">
            <v>DL380G2 Telco Rail Kit</v>
          </cell>
          <cell r="C127" t="str">
            <v>DL380G2, DL380G2 Packaged  Cluster</v>
          </cell>
          <cell r="D127">
            <v>557000</v>
          </cell>
        </row>
        <row r="128">
          <cell r="A128" t="str">
            <v>228894-B21</v>
          </cell>
          <cell r="B128" t="str">
            <v>DL380G2 3rd Party Rail Kit</v>
          </cell>
          <cell r="C128" t="str">
            <v>DL380G2, DL380G2 Packaged  Cluster</v>
          </cell>
          <cell r="D128">
            <v>557000</v>
          </cell>
        </row>
        <row r="129">
          <cell r="A129" t="str">
            <v>293052-B21</v>
          </cell>
          <cell r="B129" t="str">
            <v>Round Hole Rack Cabinet Rail Kit</v>
          </cell>
          <cell r="C129" t="str">
            <v>DL380G3, DL380G3 Packaged Cluster</v>
          </cell>
          <cell r="D129">
            <v>555000</v>
          </cell>
        </row>
        <row r="130">
          <cell r="A130" t="str">
            <v>313877-B21</v>
          </cell>
          <cell r="B130" t="str">
            <v>M-Series Rack Rail Kit ALL</v>
          </cell>
          <cell r="C130" t="str">
            <v>DL380G3 Packaged Cluster, Smart Array Cluster Storage</v>
          </cell>
          <cell r="D130">
            <v>738000</v>
          </cell>
        </row>
        <row r="132">
          <cell r="A132" t="str">
            <v>PCI-E Options</v>
          </cell>
        </row>
        <row r="133">
          <cell r="A133" t="str">
            <v>354589-B21</v>
          </cell>
          <cell r="B133" t="str">
            <v>ProLiant PCI-E Riser DL360G4</v>
          </cell>
          <cell r="C133" t="str">
            <v>DL360G4</v>
          </cell>
          <cell r="D133">
            <v>230000</v>
          </cell>
        </row>
        <row r="134">
          <cell r="A134" t="str">
            <v>354675-B21</v>
          </cell>
          <cell r="B134" t="str">
            <v>ProLiant PCI-E Riser DL380G4</v>
          </cell>
          <cell r="C134" t="str">
            <v>DL380G4</v>
          </cell>
          <cell r="D134">
            <v>1020000</v>
          </cell>
        </row>
        <row r="135">
          <cell r="A135" t="str">
            <v>354676-B21</v>
          </cell>
          <cell r="B135" t="str">
            <v>ProLiant HP PCI Riser DL380G4</v>
          </cell>
          <cell r="C135" t="str">
            <v>DL380G4</v>
          </cell>
          <cell r="D135">
            <v>1530000</v>
          </cell>
        </row>
        <row r="137">
          <cell r="A137" t="str">
            <v>ProLiant 500/700 Series Option</v>
          </cell>
        </row>
        <row r="139">
          <cell r="A139" t="str">
            <v>500/700 Series Processor Options</v>
          </cell>
        </row>
        <row r="140">
          <cell r="A140" t="str">
            <v>Processor Options - Xeon</v>
          </cell>
        </row>
        <row r="141">
          <cell r="A141" t="str">
            <v>191224-B21</v>
          </cell>
          <cell r="B141" t="str">
            <v>Xeon 2.40GHz-512KB Processor Option Kit</v>
          </cell>
          <cell r="C141" t="str">
            <v>ML530G2</v>
          </cell>
          <cell r="D141">
            <v>1854000</v>
          </cell>
        </row>
        <row r="142">
          <cell r="A142" t="str">
            <v>306504-B21</v>
          </cell>
          <cell r="B142" t="str">
            <v>Xeon 2.80GHz-512KB Processor Option Kit</v>
          </cell>
          <cell r="C142" t="str">
            <v>ML530G2</v>
          </cell>
          <cell r="D142">
            <v>2283000</v>
          </cell>
        </row>
        <row r="143">
          <cell r="A143" t="str">
            <v>316898-B21</v>
          </cell>
          <cell r="B143" t="str">
            <v>Xeon 3.0 GHz/512 KB Processor Option Kit</v>
          </cell>
          <cell r="C143" t="str">
            <v>ML530G2</v>
          </cell>
          <cell r="D143">
            <v>3430000</v>
          </cell>
        </row>
        <row r="144">
          <cell r="A144" t="str">
            <v>226775-B21</v>
          </cell>
          <cell r="B144" t="str">
            <v>Xeon MP X1400-512KB Processor Option Kit</v>
          </cell>
          <cell r="C144" t="str">
            <v>ML570G2, DL580G2</v>
          </cell>
          <cell r="D144">
            <v>6580000</v>
          </cell>
        </row>
        <row r="145">
          <cell r="A145" t="str">
            <v>191220-B21</v>
          </cell>
          <cell r="B145" t="str">
            <v>Xeon MP X1500-1MB Processor Option Kit</v>
          </cell>
          <cell r="C145" t="str">
            <v>ML570G2, DL580G2</v>
          </cell>
          <cell r="D145">
            <v>5590000</v>
          </cell>
        </row>
        <row r="146">
          <cell r="A146" t="str">
            <v>226776-B21</v>
          </cell>
          <cell r="B146" t="str">
            <v>Xeon MP X1600-1MB Processor Option Kit</v>
          </cell>
          <cell r="C146" t="str">
            <v>DL580G2</v>
          </cell>
          <cell r="D146">
            <v>16880000</v>
          </cell>
        </row>
        <row r="147">
          <cell r="A147" t="str">
            <v>345321-B21</v>
          </cell>
          <cell r="B147" t="str">
            <v>Xeon MP X2200-2MB Processor Option Kit</v>
          </cell>
          <cell r="C147" t="str">
            <v>ML570G2, DL580G2</v>
          </cell>
          <cell r="D147">
            <v>16638000</v>
          </cell>
          <cell r="E147" t="str">
            <v>NEW</v>
          </cell>
        </row>
        <row r="148">
          <cell r="A148" t="str">
            <v>325253-B21</v>
          </cell>
          <cell r="B148" t="str">
            <v>Xeon MP X2500-1MB Processor Option Kit</v>
          </cell>
          <cell r="C148" t="str">
            <v>ML570G2, DL580G2</v>
          </cell>
          <cell r="D148">
            <v>14165000</v>
          </cell>
        </row>
        <row r="149">
          <cell r="A149" t="str">
            <v>345322-B21</v>
          </cell>
          <cell r="B149" t="str">
            <v>Xeon MP X2700-2MB Processor Option Kit</v>
          </cell>
          <cell r="C149" t="str">
            <v>ML570G2, DL580G2</v>
          </cell>
          <cell r="D149">
            <v>15270000</v>
          </cell>
        </row>
        <row r="150">
          <cell r="A150" t="str">
            <v>325254-B21</v>
          </cell>
          <cell r="B150" t="str">
            <v>Xeon MP X2800-2MB Processor Option Kit</v>
          </cell>
          <cell r="C150" t="str">
            <v>ML570G2, DL580G2</v>
          </cell>
          <cell r="D150">
            <v>25916000</v>
          </cell>
        </row>
        <row r="151">
          <cell r="A151" t="str">
            <v>345323-B21</v>
          </cell>
          <cell r="B151" t="str">
            <v xml:space="preserve">Xeon MP X3000-4M Processor Option Kit </v>
          </cell>
          <cell r="C151" t="str">
            <v>ML570G2, DL580G2</v>
          </cell>
          <cell r="D151">
            <v>27250000</v>
          </cell>
        </row>
        <row r="152">
          <cell r="A152" t="str">
            <v>270763-B21</v>
          </cell>
          <cell r="B152" t="str">
            <v>Xeon MP X1500-1MB Processor Option Kit</v>
          </cell>
          <cell r="C152" t="str">
            <v>DL560</v>
          </cell>
          <cell r="D152">
            <v>5141000</v>
          </cell>
        </row>
        <row r="153">
          <cell r="A153" t="str">
            <v>331002-B21</v>
          </cell>
          <cell r="B153" t="str">
            <v xml:space="preserve">Xeon MP X2000-1MB Processor Option Kit </v>
          </cell>
          <cell r="C153" t="str">
            <v>DL560</v>
          </cell>
          <cell r="D153">
            <v>6230000</v>
          </cell>
        </row>
        <row r="154">
          <cell r="A154" t="str">
            <v>270765-B21</v>
          </cell>
          <cell r="B154" t="str">
            <v>Xeon MP X2000-2MB Processor Option Kit</v>
          </cell>
          <cell r="C154" t="str">
            <v>DL560</v>
          </cell>
          <cell r="D154">
            <v>17244000</v>
          </cell>
        </row>
        <row r="155">
          <cell r="A155" t="str">
            <v>346988-B21</v>
          </cell>
          <cell r="B155" t="str">
            <v xml:space="preserve">Xeon MP 2.2GHz/2M Processor Option Kit </v>
          </cell>
          <cell r="C155" t="str">
            <v>DL560</v>
          </cell>
          <cell r="D155">
            <v>10419000</v>
          </cell>
        </row>
        <row r="156">
          <cell r="A156" t="str">
            <v>331003-B21</v>
          </cell>
          <cell r="B156" t="str">
            <v>Xeon MP X2500-1MB Processor Option Kit</v>
          </cell>
          <cell r="C156" t="str">
            <v>DL560</v>
          </cell>
          <cell r="D156">
            <v>13100000</v>
          </cell>
        </row>
        <row r="157">
          <cell r="A157" t="str">
            <v>346989-B21</v>
          </cell>
          <cell r="B157" t="str">
            <v>Xeon MP X2700-2MB Processor Option Kit</v>
          </cell>
          <cell r="C157" t="str">
            <v>DL560</v>
          </cell>
          <cell r="D157">
            <v>14540000</v>
          </cell>
        </row>
        <row r="158">
          <cell r="A158" t="str">
            <v>331004-B21</v>
          </cell>
          <cell r="B158" t="str">
            <v>Xeon MP X2800-2MB Processor Option Kit</v>
          </cell>
          <cell r="C158" t="str">
            <v>DL560</v>
          </cell>
          <cell r="D158">
            <v>26767000</v>
          </cell>
        </row>
        <row r="159">
          <cell r="A159" t="str">
            <v>346990-B21</v>
          </cell>
          <cell r="B159" t="str">
            <v xml:space="preserve">Xeon MP 3.0GHz/4M Processor Option Kit  </v>
          </cell>
          <cell r="C159" t="str">
            <v>DL560</v>
          </cell>
          <cell r="D159">
            <v>23830000</v>
          </cell>
        </row>
        <row r="160">
          <cell r="A160" t="str">
            <v>167444-B21</v>
          </cell>
          <cell r="B160" t="str">
            <v xml:space="preserve">Xeon 700-1MB Processor Option Kit </v>
          </cell>
          <cell r="C160" t="str">
            <v>PL8000, PL8500, ML750, DL760</v>
          </cell>
          <cell r="D160">
            <v>7605000</v>
          </cell>
        </row>
        <row r="161">
          <cell r="A161" t="str">
            <v>177666-B21</v>
          </cell>
          <cell r="B161" t="str">
            <v>Xeon 900-2MB Processor Option Kit</v>
          </cell>
          <cell r="C161" t="str">
            <v>ML750, DL760</v>
          </cell>
          <cell r="D161">
            <v>23150000</v>
          </cell>
        </row>
        <row r="162">
          <cell r="A162" t="str">
            <v>287519-B21</v>
          </cell>
          <cell r="B162" t="str">
            <v>Xeon MP 1.5GHz-1MB Processor Option Kit (4P)</v>
          </cell>
          <cell r="C162" t="str">
            <v>DL740, DL760G2</v>
          </cell>
          <cell r="D162">
            <v>39151000</v>
          </cell>
        </row>
        <row r="163">
          <cell r="A163" t="str">
            <v>287520-B21</v>
          </cell>
          <cell r="B163" t="str">
            <v>Xeon MP 2.0GHz -2MB Processor Option Kit (4P)</v>
          </cell>
          <cell r="C163" t="str">
            <v>DL740, DL760G2</v>
          </cell>
          <cell r="D163">
            <v>98600000</v>
          </cell>
        </row>
        <row r="164">
          <cell r="A164" t="str">
            <v>339072-B21</v>
          </cell>
          <cell r="B164" t="str">
            <v>Xeon MP 2.5GHz-1MB Processor Option Kit (4P)</v>
          </cell>
          <cell r="C164" t="str">
            <v>DL740, DL760G2</v>
          </cell>
          <cell r="D164">
            <v>59500000</v>
          </cell>
        </row>
        <row r="165">
          <cell r="A165" t="str">
            <v>334037-B21</v>
          </cell>
          <cell r="B165" t="str">
            <v>Xeon MP 2.8GHz-2MB Processor Option Kit(4P)</v>
          </cell>
          <cell r="C165" t="str">
            <v>DL740, DL760G2</v>
          </cell>
          <cell r="D165">
            <v>110018000</v>
          </cell>
        </row>
        <row r="166">
          <cell r="A166" t="str">
            <v>351052-B21</v>
          </cell>
          <cell r="B166" t="str">
            <v>Xeon MP 2.2GHz-2MB Processor Option Kit(4P)</v>
          </cell>
          <cell r="C166" t="str">
            <v>DL740, DL760G2</v>
          </cell>
          <cell r="D166">
            <v>100350000</v>
          </cell>
        </row>
        <row r="167">
          <cell r="A167" t="str">
            <v>351051-B21</v>
          </cell>
          <cell r="B167" t="str">
            <v>Xeon MP 2.7GHz-2MB Processor Option Kit(4P)</v>
          </cell>
          <cell r="C167" t="str">
            <v>DL740, DL760G2</v>
          </cell>
          <cell r="D167">
            <v>105000000</v>
          </cell>
        </row>
        <row r="168">
          <cell r="A168" t="str">
            <v>351050-B21</v>
          </cell>
          <cell r="B168" t="str">
            <v>Xeon MP 3.0GHz-4MB Processor Option Kit(4P)</v>
          </cell>
          <cell r="C168" t="str">
            <v>DL740, DL760G2</v>
          </cell>
          <cell r="D168">
            <v>124500000</v>
          </cell>
        </row>
        <row r="170">
          <cell r="A170" t="str">
            <v>Processor Options - Opteron</v>
          </cell>
        </row>
        <row r="171">
          <cell r="A171" t="str">
            <v>359706-B21</v>
          </cell>
          <cell r="B171" t="str">
            <v>O842 1.6/800-1M DL585 ALL</v>
          </cell>
          <cell r="C171" t="str">
            <v>DL585</v>
          </cell>
          <cell r="D171">
            <v>7276000</v>
          </cell>
        </row>
        <row r="172">
          <cell r="A172" t="str">
            <v>359707-B21</v>
          </cell>
          <cell r="B172" t="str">
            <v>O844 1.8/800-1M DL585 ALL</v>
          </cell>
          <cell r="C172" t="str">
            <v>DL585</v>
          </cell>
          <cell r="D172">
            <v>8273000</v>
          </cell>
        </row>
        <row r="173">
          <cell r="A173" t="str">
            <v>359708-B21</v>
          </cell>
          <cell r="B173" t="str">
            <v>O848 2.2/800-1M DL585 ALL</v>
          </cell>
          <cell r="C173" t="str">
            <v>DL585</v>
          </cell>
          <cell r="D173">
            <v>13408000</v>
          </cell>
        </row>
        <row r="174">
          <cell r="A174" t="str">
            <v>366725-B21</v>
          </cell>
          <cell r="B174" t="str">
            <v>O850 2.4/800-1M DL585 ALL</v>
          </cell>
          <cell r="C174" t="str">
            <v>DL585</v>
          </cell>
          <cell r="D174">
            <v>16439000</v>
          </cell>
        </row>
        <row r="176">
          <cell r="A176" t="str">
            <v>500/700 Series Memory Options</v>
          </cell>
        </row>
        <row r="177">
          <cell r="A177" t="str">
            <v>Registered Synchronous Dimm</v>
          </cell>
        </row>
        <row r="178">
          <cell r="A178" t="str">
            <v>128279-B21</v>
          </cell>
          <cell r="B178" t="str">
            <v>512MB Registered SDRAM DIMM - 133MHz</v>
          </cell>
          <cell r="C178" t="str">
            <v>ML530, ML370, ML350, ML350G2, ML330, ML330G2, DL380, DL360, DL320, BL e-Class</v>
          </cell>
          <cell r="D178">
            <v>955000</v>
          </cell>
        </row>
        <row r="179">
          <cell r="A179" t="str">
            <v>DDR Memory Kits</v>
          </cell>
        </row>
        <row r="180">
          <cell r="A180" t="str">
            <v>371047-B21</v>
          </cell>
          <cell r="B180" t="str">
            <v>1GB PC2700 (2 x 512MB)</v>
          </cell>
          <cell r="C180" t="str">
            <v>DL585 (2.4GHz)</v>
          </cell>
          <cell r="D180">
            <v>2210000</v>
          </cell>
        </row>
        <row r="181">
          <cell r="A181" t="str">
            <v>371048-B21</v>
          </cell>
          <cell r="B181" t="str">
            <v xml:space="preserve">2GB PC2700 (2 x 1GB) </v>
          </cell>
          <cell r="C181" t="str">
            <v>DL585 (2.4GHz)</v>
          </cell>
          <cell r="D181">
            <v>4530000</v>
          </cell>
        </row>
        <row r="182">
          <cell r="A182" t="str">
            <v xml:space="preserve">371049-B21 </v>
          </cell>
          <cell r="B182" t="str">
            <v xml:space="preserve">4GB PC2700 (2 x 2GB)   </v>
          </cell>
          <cell r="C182" t="str">
            <v>DL585 (2.4GHz)</v>
          </cell>
          <cell r="D182">
            <v>10705000</v>
          </cell>
        </row>
        <row r="183">
          <cell r="A183" t="str">
            <v>300678-B21</v>
          </cell>
          <cell r="B183" t="str">
            <v>512MB of Advanced ECC PC2100 DDR SDRAM DIMM Memory Kit 
(2 x 256 MB)</v>
          </cell>
          <cell r="C183" t="str">
            <v>DL560, DL360G3, ML370G3, DL380G3</v>
          </cell>
          <cell r="D183">
            <v>1330000</v>
          </cell>
        </row>
        <row r="184">
          <cell r="A184" t="str">
            <v>300679-B21</v>
          </cell>
          <cell r="B184" t="str">
            <v>1GB of Advanced ECC PC2100 DDR SDRAM DIMM Memory Kit 
(2 x 512 MB)</v>
          </cell>
          <cell r="C184" t="str">
            <v>DL585, DL560, DL360G3, ML370G3, DL380G3</v>
          </cell>
          <cell r="D184">
            <v>2210000</v>
          </cell>
        </row>
        <row r="185">
          <cell r="A185" t="str">
            <v>300680-B21</v>
          </cell>
          <cell r="B185" t="str">
            <v>2GB of Advanced ECC PC2100 DDR SDRAM DIMM Memory Kit 
(2 x 1GB)</v>
          </cell>
          <cell r="C185" t="str">
            <v>DL585, DL560, DL360G3, ML370G3, DL380G3</v>
          </cell>
          <cell r="D185">
            <v>4530000</v>
          </cell>
        </row>
        <row r="186">
          <cell r="A186" t="str">
            <v>300682-B21</v>
          </cell>
          <cell r="B186" t="str">
            <v>4GB of Advanced ECC PC2100 DDR SDRAM DIMM Memory Kit 
(2 x 2GB)</v>
          </cell>
          <cell r="C186" t="str">
            <v>DL585, DL560, DL360G3, ML370G3</v>
          </cell>
          <cell r="D186">
            <v>10705000</v>
          </cell>
        </row>
        <row r="187">
          <cell r="A187" t="str">
            <v>187418-B21</v>
          </cell>
          <cell r="B187" t="str">
            <v>512MB PC1600 ECC SDRAM Memory Kit (2x256MB)</v>
          </cell>
          <cell r="C187" t="str">
            <v>ML530G2, ML570G2</v>
          </cell>
          <cell r="D187">
            <v>1270000</v>
          </cell>
        </row>
        <row r="188">
          <cell r="A188" t="str">
            <v>187419-B21</v>
          </cell>
          <cell r="B188" t="str">
            <v>1GB  PC1600 ECC SDRAM Memory Kit (2x512 MB)</v>
          </cell>
          <cell r="C188" t="str">
            <v>ML530G2, ML570G2</v>
          </cell>
          <cell r="D188">
            <v>1736000</v>
          </cell>
        </row>
        <row r="189">
          <cell r="A189" t="str">
            <v>187420-B21</v>
          </cell>
          <cell r="B189" t="str">
            <v>2GB  PC1600 ECC SDRAM Memory Kit (2x1GB)</v>
          </cell>
          <cell r="C189" t="str">
            <v>ML530G2, ML570G2</v>
          </cell>
          <cell r="D189">
            <v>3967000</v>
          </cell>
        </row>
        <row r="190">
          <cell r="A190" t="str">
            <v>187421-B21</v>
          </cell>
          <cell r="B190" t="str">
            <v>4GB  PC1600 ECC SDRAM Memory Kit (2x2GB)</v>
          </cell>
          <cell r="C190" t="str">
            <v>ML530G2, ML570G2</v>
          </cell>
          <cell r="D190">
            <v>11237000</v>
          </cell>
        </row>
        <row r="191">
          <cell r="A191" t="str">
            <v>202170-B21</v>
          </cell>
          <cell r="B191" t="str">
            <v>1GB  PC1600 Registered ECC SDRAM Memory Kit (4x256MB)</v>
          </cell>
          <cell r="C191" t="str">
            <v>DL580G2</v>
          </cell>
          <cell r="D191">
            <v>2454000</v>
          </cell>
        </row>
        <row r="192">
          <cell r="A192" t="str">
            <v>202171-B21</v>
          </cell>
          <cell r="B192" t="str">
            <v>2GB  PC1600 Registered ECC SDRAM Memory Kit (4x512MB)</v>
          </cell>
          <cell r="C192" t="str">
            <v>DL580G2</v>
          </cell>
          <cell r="D192">
            <v>3424000</v>
          </cell>
        </row>
        <row r="193">
          <cell r="A193" t="str">
            <v>202172-B21</v>
          </cell>
          <cell r="B193" t="str">
            <v>4GB  PC1600 Registered ECC SDRAM Memory Kit (4x1GB)</v>
          </cell>
          <cell r="C193" t="str">
            <v>DL580G2</v>
          </cell>
          <cell r="D193">
            <v>7054000</v>
          </cell>
        </row>
        <row r="194">
          <cell r="A194" t="str">
            <v>202173-B21</v>
          </cell>
          <cell r="B194" t="str">
            <v>8GB  PC1600 Registered ECC SDRAM Memory Kit (4x2GB)</v>
          </cell>
          <cell r="C194" t="str">
            <v>DL580G2</v>
          </cell>
          <cell r="D194">
            <v>22474000</v>
          </cell>
        </row>
        <row r="195">
          <cell r="A195" t="str">
            <v>203320-B21</v>
          </cell>
          <cell r="B195" t="str">
            <v>Hot Plug Memory Expansion Board</v>
          </cell>
          <cell r="C195" t="str">
            <v>DL580G2</v>
          </cell>
          <cell r="D195">
            <v>1696000</v>
          </cell>
        </row>
        <row r="196">
          <cell r="B196" t="str">
            <v>* DL580 G2 (Hot Plug Mirrored Memory, Dual-Board Online Spare Memory 구현시 필요)</v>
          </cell>
          <cell r="D196" t="e">
            <v>#N/A</v>
          </cell>
        </row>
        <row r="197">
          <cell r="A197" t="str">
            <v>236844-B21</v>
          </cell>
          <cell r="B197" t="str">
            <v>Hot Plug Memory Expansion Board</v>
          </cell>
          <cell r="C197" t="str">
            <v>ML570G2</v>
          </cell>
          <cell r="D197">
            <v>1696000</v>
          </cell>
        </row>
        <row r="198">
          <cell r="B198" t="str">
            <v>* 2GB DIMM을 사용하여 16GB Memory 구성할 때 필요</v>
          </cell>
          <cell r="D198" t="e">
            <v>#N/A</v>
          </cell>
        </row>
        <row r="199">
          <cell r="A199" t="str">
            <v>Memory 2XDIMM SDRAM</v>
          </cell>
        </row>
        <row r="200">
          <cell r="A200" t="str">
            <v>328808-B21</v>
          </cell>
          <cell r="B200" t="str">
            <v>1GB Registered SDRAM (2x512MB)</v>
          </cell>
          <cell r="C200" t="str">
            <v>PL8000, PL8500, ML750, DL760</v>
          </cell>
          <cell r="D200">
            <v>4164000</v>
          </cell>
        </row>
        <row r="201">
          <cell r="A201" t="str">
            <v>328809-B21</v>
          </cell>
          <cell r="B201" t="str">
            <v>2GB Registered SDRAM 100MHz (2x1024MB)</v>
          </cell>
          <cell r="C201" t="str">
            <v>PL8000, PL8500, ML750, DL760</v>
          </cell>
          <cell r="D201">
            <v>7141000</v>
          </cell>
        </row>
        <row r="202">
          <cell r="A202" t="str">
            <v>236853-B21</v>
          </cell>
          <cell r="B202" t="str">
            <v>512MB 133MHz ECC SDRAM Memory Option Kit (1x512MB)</v>
          </cell>
          <cell r="C202" t="str">
            <v>DL740, DL760G2</v>
          </cell>
          <cell r="D202">
            <v>1351000</v>
          </cell>
        </row>
        <row r="203">
          <cell r="A203" t="str">
            <v>236854-B21</v>
          </cell>
          <cell r="B203" t="str">
            <v>1GB 133MHz ECC SDRAM Memory Option Kit (1x1024MB)</v>
          </cell>
          <cell r="C203" t="str">
            <v>DL740, DL760G2</v>
          </cell>
          <cell r="D203">
            <v>2981000</v>
          </cell>
        </row>
        <row r="204">
          <cell r="A204" t="str">
            <v>317093-B21</v>
          </cell>
          <cell r="B204" t="str">
            <v>2GB 133MHz ECC SDRAM Memory Option Kit (1x2048MB)</v>
          </cell>
          <cell r="C204" t="str">
            <v>DL740, DL760G2</v>
          </cell>
          <cell r="D204">
            <v>14225000</v>
          </cell>
        </row>
        <row r="205">
          <cell r="A205" t="str">
            <v>Memory 4XDIMM SDRAM</v>
          </cell>
        </row>
        <row r="206">
          <cell r="A206" t="str">
            <v>189081-B21</v>
          </cell>
          <cell r="B206" t="str">
            <v>1GB Registered SDRAM 100MHz DIMM KIT (4x256MB)</v>
          </cell>
          <cell r="C206" t="str">
            <v>ML570, DL580</v>
          </cell>
          <cell r="D206">
            <v>2099000</v>
          </cell>
        </row>
        <row r="207">
          <cell r="A207" t="str">
            <v>189082-B21</v>
          </cell>
          <cell r="B207" t="str">
            <v>2GB Registered SDRAM 100MHz DIMM KIT (4x512MB)</v>
          </cell>
          <cell r="C207" t="str">
            <v>ML570, DL580</v>
          </cell>
          <cell r="D207">
            <v>3978000</v>
          </cell>
        </row>
        <row r="208">
          <cell r="A208" t="str">
            <v>189083-B21</v>
          </cell>
          <cell r="B208" t="str">
            <v>4GB Registered SDRAM 100MHz DIMM KIT (4x1024MB)</v>
          </cell>
          <cell r="C208" t="str">
            <v>ML570, DL580</v>
          </cell>
          <cell r="D208">
            <v>10069000</v>
          </cell>
        </row>
        <row r="210">
          <cell r="A210" t="str">
            <v>500/700 Series Unique Options</v>
          </cell>
        </row>
        <row r="211">
          <cell r="A211" t="str">
            <v>Redundant Fan Kits</v>
          </cell>
        </row>
        <row r="212">
          <cell r="A212" t="str">
            <v>128284-B21</v>
          </cell>
          <cell r="B212" t="str">
            <v xml:space="preserve">Hot Plug Redundant Fan Kit </v>
          </cell>
          <cell r="C212" t="str">
            <v>ML530, ML530G2, ML570, ML570G2</v>
          </cell>
          <cell r="D212">
            <v>484000</v>
          </cell>
        </row>
        <row r="213">
          <cell r="A213" t="str">
            <v>288635-B21</v>
          </cell>
          <cell r="B213" t="str">
            <v xml:space="preserve">Hot Plug Redundant Fan Kit </v>
          </cell>
          <cell r="C213" t="str">
            <v>DL560</v>
          </cell>
          <cell r="D213">
            <v>432000</v>
          </cell>
        </row>
        <row r="215">
          <cell r="A215" t="str">
            <v>Drive cage</v>
          </cell>
        </row>
        <row r="216">
          <cell r="A216" t="str">
            <v>244058-B21</v>
          </cell>
          <cell r="B216" t="str">
            <v>Wide Ultra2/Ultra3 Internal Two-Bay Hot Plug SCSI Drive Cage 
(with fan)</v>
          </cell>
          <cell r="C216" t="str">
            <v>ML530 G2, ML570, ML570G2</v>
          </cell>
          <cell r="D216">
            <v>1073000</v>
          </cell>
        </row>
        <row r="218">
          <cell r="A218" t="str">
            <v>Fault Management Options</v>
          </cell>
        </row>
        <row r="219">
          <cell r="A219" t="str">
            <v>212693-B21</v>
          </cell>
          <cell r="B219" t="str">
            <v>Integrated Smart Array Bypass Kit (long cable)</v>
          </cell>
          <cell r="C219" t="str">
            <v xml:space="preserve"> PL8500</v>
          </cell>
        </row>
        <row r="220">
          <cell r="B220" t="str">
            <v>* Required when the customer chooses to install the Smart Array 5300 Controller in a 64-bit/66MHz PCI slot</v>
          </cell>
        </row>
        <row r="221">
          <cell r="A221" t="str">
            <v>Power Options</v>
          </cell>
        </row>
        <row r="222">
          <cell r="A222" t="str">
            <v>401231-B31</v>
          </cell>
          <cell r="B222" t="str">
            <v>1150/500 Watt Redundant Power Supply</v>
          </cell>
          <cell r="C222" t="str">
            <v>PL8000, PL8500, ML750, DL760</v>
          </cell>
        </row>
        <row r="223">
          <cell r="B223" t="str">
            <v>* 1150W @ 220V, 500W @ 110V</v>
          </cell>
        </row>
        <row r="224">
          <cell r="A224" t="str">
            <v>236845-001</v>
          </cell>
          <cell r="B224" t="str">
            <v>Hot Plug Redundant Power Supply</v>
          </cell>
          <cell r="C224" t="str">
            <v>ML530G2, ML570G2</v>
          </cell>
          <cell r="D224">
            <v>847000</v>
          </cell>
        </row>
        <row r="225">
          <cell r="A225" t="str">
            <v>267555-B21</v>
          </cell>
          <cell r="B225" t="str">
            <v>Hot Plug Redundant Power Supply</v>
          </cell>
          <cell r="C225" t="str">
            <v>DL560</v>
          </cell>
          <cell r="D225">
            <v>722000</v>
          </cell>
        </row>
        <row r="226">
          <cell r="A226" t="str">
            <v>278535-001</v>
          </cell>
          <cell r="B226" t="str">
            <v>Hot Plug Redundant Power Supply</v>
          </cell>
          <cell r="C226" t="str">
            <v>DL580G2</v>
          </cell>
          <cell r="D226">
            <v>989000</v>
          </cell>
        </row>
        <row r="227">
          <cell r="A227" t="str">
            <v xml:space="preserve">Rack Options </v>
          </cell>
        </row>
        <row r="228">
          <cell r="A228" t="str">
            <v>274739-B21</v>
          </cell>
          <cell r="B228" t="str">
            <v>Rack Option Kit: round/threaded hole racks</v>
          </cell>
          <cell r="C228" t="str">
            <v>ML530G2</v>
          </cell>
          <cell r="D228">
            <v>307000</v>
          </cell>
        </row>
        <row r="229">
          <cell r="A229" t="str">
            <v>287528-B21</v>
          </cell>
          <cell r="B229" t="str">
            <v>DL580G2 Third Party Racking Kit</v>
          </cell>
          <cell r="C229" t="str">
            <v>DL580G2</v>
          </cell>
          <cell r="D229">
            <v>267000</v>
          </cell>
        </row>
        <row r="230">
          <cell r="A230" t="str">
            <v>289294-B21</v>
          </cell>
          <cell r="B230" t="str">
            <v>DL580G2 Folding Cable Management Arm</v>
          </cell>
          <cell r="C230" t="str">
            <v>DL580G2</v>
          </cell>
          <cell r="D230">
            <v>354000</v>
          </cell>
        </row>
        <row r="231">
          <cell r="A231" t="str">
            <v>288874-B21</v>
          </cell>
          <cell r="B231" t="str">
            <v>DL580G2 Cable Assembly, SCSI, Ultra3, LVDS</v>
          </cell>
          <cell r="C231" t="str">
            <v>DL580G2</v>
          </cell>
          <cell r="D231">
            <v>136000</v>
          </cell>
        </row>
        <row r="232">
          <cell r="A232" t="str">
            <v>291034-B21</v>
          </cell>
          <cell r="B232" t="str">
            <v>DL580G2 Power Cord, Cable 10A</v>
          </cell>
          <cell r="C232" t="str">
            <v xml:space="preserve"> DL580G2</v>
          </cell>
          <cell r="D232">
            <v>95000</v>
          </cell>
        </row>
        <row r="233">
          <cell r="B233" t="str">
            <v>* IEC320-C14 to IEC320-C19, DL580G2를 PDU에 연결시 필요</v>
          </cell>
          <cell r="D233" t="e">
            <v>#N/A</v>
          </cell>
        </row>
        <row r="234">
          <cell r="A234" t="str">
            <v>321716-B21</v>
          </cell>
          <cell r="B234" t="str">
            <v>DL740 Cable Management Arm</v>
          </cell>
          <cell r="C234" t="str">
            <v xml:space="preserve"> DL740</v>
          </cell>
          <cell r="D234">
            <v>980000</v>
          </cell>
        </row>
        <row r="235">
          <cell r="A235" t="str">
            <v>Rack Conversion Kits</v>
          </cell>
        </row>
        <row r="236">
          <cell r="A236" t="str">
            <v>253699-B21</v>
          </cell>
          <cell r="B236" t="str">
            <v>ProLiant ML5xx G2 Tower to Rack Conversion Kit</v>
          </cell>
          <cell r="C236" t="str">
            <v>ML530G2, ML570G2</v>
          </cell>
          <cell r="D236">
            <v>1044000</v>
          </cell>
        </row>
        <row r="237">
          <cell r="A237" t="str">
            <v>271258-B21</v>
          </cell>
          <cell r="B237" t="str">
            <v>ProLiant ML5xx G2 Rack to Tower Conversion Kit</v>
          </cell>
          <cell r="C237" t="str">
            <v>ML530G2, ML570G2</v>
          </cell>
          <cell r="D237">
            <v>1054000</v>
          </cell>
        </row>
        <row r="238">
          <cell r="A238" t="str">
            <v>128289-B21</v>
          </cell>
          <cell r="B238" t="str">
            <v>Tower to Rack Conversion Kit</v>
          </cell>
          <cell r="C238" t="str">
            <v>ML530, ML570</v>
          </cell>
          <cell r="D238">
            <v>1287000</v>
          </cell>
        </row>
        <row r="239">
          <cell r="A239" t="str">
            <v>DVD-ROM</v>
          </cell>
        </row>
        <row r="240">
          <cell r="A240" t="str">
            <v>337057-B21</v>
          </cell>
          <cell r="B240" t="str">
            <v>8X DVD UPG DL760 G2</v>
          </cell>
          <cell r="C240" t="str">
            <v>DL760 G2</v>
          </cell>
          <cell r="D240">
            <v>638000</v>
          </cell>
        </row>
        <row r="241">
          <cell r="A241" t="str">
            <v>SCSI Cable Kit</v>
          </cell>
        </row>
        <row r="242">
          <cell r="A242" t="str">
            <v>365483-B21</v>
          </cell>
          <cell r="B242" t="str">
            <v>SCSI Cable Kit DL585</v>
          </cell>
          <cell r="C242" t="str">
            <v>DL585</v>
          </cell>
          <cell r="D242">
            <v>132000</v>
          </cell>
        </row>
        <row r="244">
          <cell r="A244" t="str">
            <v>ProLiant BL Series Option</v>
          </cell>
        </row>
        <row r="246">
          <cell r="A246" t="str">
            <v>BL Series Processor Options</v>
          </cell>
        </row>
        <row r="248">
          <cell r="A248" t="str">
            <v>Processor Options</v>
          </cell>
        </row>
        <row r="249">
          <cell r="A249" t="str">
            <v>361412-B21</v>
          </cell>
          <cell r="B249" t="str">
            <v>Xeon 3.4GHz/800-1M Processor Option Kit</v>
          </cell>
          <cell r="C249" t="str">
            <v>BL20p G3</v>
          </cell>
          <cell r="D249">
            <v>3654000</v>
          </cell>
          <cell r="E249" t="str">
            <v>NEW</v>
          </cell>
        </row>
        <row r="250">
          <cell r="A250" t="str">
            <v>361413-B21</v>
          </cell>
          <cell r="B250" t="str">
            <v>Xeon 3.2 GHz-1M Processor Option Kit</v>
          </cell>
          <cell r="C250" t="str">
            <v>BL20p G3</v>
          </cell>
          <cell r="D250">
            <v>3851000</v>
          </cell>
        </row>
        <row r="251">
          <cell r="A251" t="str">
            <v>336121-B21</v>
          </cell>
          <cell r="B251" t="str">
            <v>Xeon MP 2.8GHz 2M Processor Option Kit</v>
          </cell>
          <cell r="C251" t="str">
            <v>BL40p</v>
          </cell>
          <cell r="D251">
            <v>19523000</v>
          </cell>
        </row>
        <row r="252">
          <cell r="A252" t="str">
            <v>344287-B21</v>
          </cell>
          <cell r="B252" t="str">
            <v xml:space="preserve">Xeon MP 3.0GHz-4M Processor Option Kit </v>
          </cell>
          <cell r="C252" t="str">
            <v>BL40p</v>
          </cell>
          <cell r="D252">
            <v>21830000</v>
          </cell>
        </row>
        <row r="253">
          <cell r="A253" t="str">
            <v>354053-B21</v>
          </cell>
          <cell r="B253" t="str">
            <v>X3.06/533-512 BL30p</v>
          </cell>
          <cell r="C253" t="str">
            <v>BL30p</v>
          </cell>
          <cell r="D253">
            <v>3145000</v>
          </cell>
        </row>
        <row r="255">
          <cell r="A255" t="str">
            <v>BL Series Memory Options</v>
          </cell>
        </row>
        <row r="257">
          <cell r="A257" t="str">
            <v>Registered Synchronous Dimm</v>
          </cell>
        </row>
        <row r="258">
          <cell r="A258" t="str">
            <v>128279-B21</v>
          </cell>
          <cell r="B258" t="str">
            <v>512MB Registered SDRAM DIMM - 133MHz</v>
          </cell>
          <cell r="C258" t="str">
            <v>ML530, ML370, ML350, ML350G2, ML330, 
ML330G2, DL380, DL360, DL320, BL e-Class</v>
          </cell>
          <cell r="D258">
            <v>955000</v>
          </cell>
        </row>
        <row r="260">
          <cell r="A260" t="str">
            <v>2XRegistered Synchronous Dimm</v>
          </cell>
        </row>
        <row r="261">
          <cell r="A261" t="str">
            <v>201694-B21</v>
          </cell>
          <cell r="B261" t="str">
            <v>1GB Registered SDRAM  - 133MHz (2 x 512MB)</v>
          </cell>
          <cell r="C261" t="str">
            <v>DL360, DL360G2, DL380G2, 
 DL380G2 Packaged Cluster, ML370G2, BL20p</v>
          </cell>
          <cell r="D261">
            <v>2050000</v>
          </cell>
        </row>
        <row r="262">
          <cell r="A262" t="str">
            <v>201695-B21</v>
          </cell>
          <cell r="B262" t="str">
            <v>2GB Registered SDRAM  - 133MHz (2 x 1GB)</v>
          </cell>
          <cell r="C262" t="str">
            <v>DL360, DL360G2, DL380G2, 
 DL380G2 Packaged Cluster, ML370G2, BL20p</v>
          </cell>
          <cell r="D262">
            <v>5120000</v>
          </cell>
        </row>
        <row r="264">
          <cell r="A264" t="str">
            <v>DDR Memory Kits</v>
          </cell>
        </row>
        <row r="265">
          <cell r="A265" t="str">
            <v>343055-B21</v>
          </cell>
          <cell r="B265" t="str">
            <v>1GB of Advanced ECC PC3200 DDR2 SDRAM DIMM 
Memory Kit (2 x 512 MB)</v>
          </cell>
          <cell r="C265" t="str">
            <v>BL20pG3, DL380G4, ML370G4</v>
          </cell>
          <cell r="D265">
            <v>3215000</v>
          </cell>
        </row>
        <row r="266">
          <cell r="A266" t="str">
            <v>343056-B21</v>
          </cell>
          <cell r="B266" t="str">
            <v>2GB of Advanced ECC PC3200 DDR2 SDRAM DIMM 
Memory Kit (2 x 1GB)</v>
          </cell>
          <cell r="C266" t="str">
            <v>BL20pG3, DL380G4, ML370G4</v>
          </cell>
          <cell r="D266">
            <v>6950000</v>
          </cell>
          <cell r="E266" t="str">
            <v>가격변경</v>
          </cell>
        </row>
        <row r="267">
          <cell r="A267" t="str">
            <v>287494-B21</v>
          </cell>
          <cell r="B267" t="str">
            <v>128MB of Advanced ECC PC2100 DDR SDRAM DIMM 
(1*128MB)</v>
          </cell>
          <cell r="C267" t="str">
            <v>tc2120, DL320G2, ML330G3, ML350G3, BL10eG2</v>
          </cell>
          <cell r="D267">
            <v>522000</v>
          </cell>
        </row>
        <row r="268">
          <cell r="A268" t="str">
            <v>287495-B21</v>
          </cell>
          <cell r="B268" t="str">
            <v>256MB of Advanced ECC PC2100 DDR SDRAM DIMM 
(1*256MB)</v>
          </cell>
          <cell r="C268" t="str">
            <v>tc2120, DL320G2, ML330G3, ML350G3, BL10eG2</v>
          </cell>
          <cell r="D268">
            <v>622000</v>
          </cell>
        </row>
        <row r="269">
          <cell r="A269" t="str">
            <v>287496-B21</v>
          </cell>
          <cell r="B269" t="str">
            <v>512MB of Advanced ECC PC2100 DDR SDRAM DIMM
(1*512MB)</v>
          </cell>
          <cell r="C269" t="str">
            <v>tc2120, DL320G2, ML330G3, ML350G3, BL10eG2</v>
          </cell>
          <cell r="D269">
            <v>955000</v>
          </cell>
        </row>
        <row r="270">
          <cell r="A270" t="str">
            <v>300678-B21</v>
          </cell>
          <cell r="B270" t="str">
            <v>512MB of Advanced ECC PC2100 DDR SDRAM DIMM 
Memory Kit (2 x 256 MB)</v>
          </cell>
          <cell r="C270" t="str">
            <v>DL360G3, ML370G3, DL380G3, 
 BL20p G2, BL40p</v>
          </cell>
          <cell r="D270">
            <v>1330000</v>
          </cell>
        </row>
        <row r="271">
          <cell r="A271" t="str">
            <v>300679-B21</v>
          </cell>
          <cell r="B271" t="str">
            <v>1GB of Advanced ECC PC2100 DDR SDRAM DIMM 
Memory Kit (2 x 512 MB)</v>
          </cell>
          <cell r="C271" t="str">
            <v>DL360G3, ML370G3, DL380G3, 
 BL20p G2, BL40p</v>
          </cell>
          <cell r="D271">
            <v>2210000</v>
          </cell>
        </row>
        <row r="272">
          <cell r="A272" t="str">
            <v>257974-B21</v>
          </cell>
          <cell r="B272" t="str">
            <v xml:space="preserve">1GB of Advanced ECC PC2100 DDR SDRAM DIMM 
Memory Kit (2 x 512 MB) </v>
          </cell>
          <cell r="C272" t="str">
            <v>BL30p</v>
          </cell>
          <cell r="D272">
            <v>2210000</v>
          </cell>
        </row>
        <row r="273">
          <cell r="A273" t="str">
            <v>287497-B21</v>
          </cell>
          <cell r="B273" t="str">
            <v>1GB of Advanced ECC PC2100 DDR SDRAM DIMM 
(1*1GB)</v>
          </cell>
          <cell r="C273" t="str">
            <v>tc2120, DL320G2, ML330G3, ML350G3, BL30p</v>
          </cell>
          <cell r="D273">
            <v>2796000</v>
          </cell>
        </row>
        <row r="274">
          <cell r="A274" t="str">
            <v>300680-B21</v>
          </cell>
          <cell r="B274" t="str">
            <v>2GB of Advanced ECC PC2100 DDR SDRAM DIMM 
Memory Kit (2 x 1GB)</v>
          </cell>
          <cell r="C274" t="str">
            <v>DL360G3, ML370G3, DL380G3, 
 BL20p G2, BL40p</v>
          </cell>
          <cell r="D274">
            <v>4530000</v>
          </cell>
        </row>
        <row r="275">
          <cell r="A275" t="str">
            <v>300682-B21</v>
          </cell>
          <cell r="B275" t="str">
            <v>4GB of Advanced ECC PC2100 DDR SDRAM DIMM 
Memory Kit (2 x 2GB)</v>
          </cell>
          <cell r="C275" t="str">
            <v>DL360G3, ML370G3, 
 BL20p G2, BL30p, BL40p</v>
          </cell>
          <cell r="D275">
            <v>10705000</v>
          </cell>
        </row>
        <row r="277">
          <cell r="A277" t="str">
            <v>BL Series Unique Options</v>
          </cell>
        </row>
        <row r="279">
          <cell r="A279" t="str">
            <v>Blade Enclosure</v>
          </cell>
        </row>
        <row r="280">
          <cell r="A280" t="str">
            <v>243564-B21</v>
          </cell>
          <cell r="B280" t="str">
            <v>BLp Enclosure ALL</v>
          </cell>
          <cell r="C280" t="str">
            <v>BL20p, BL20p G2, BL40p</v>
          </cell>
          <cell r="D280">
            <v>6941000</v>
          </cell>
        </row>
        <row r="281">
          <cell r="A281" t="str">
            <v>281404-B21</v>
          </cell>
          <cell r="B281" t="str">
            <v>BLp Enclosure with 8 RDP license ALL</v>
          </cell>
          <cell r="C281" t="str">
            <v>BL20p, BL20p G2, BL40p</v>
          </cell>
          <cell r="D281">
            <v>8501000</v>
          </cell>
        </row>
        <row r="282">
          <cell r="A282" t="str">
            <v>243564-B22</v>
          </cell>
          <cell r="B282" t="str">
            <v>BLp Enclosure with enhanced backplanes</v>
          </cell>
          <cell r="C282" t="str">
            <v>BL20p, BL20p G2, BL30p, BL40p</v>
          </cell>
          <cell r="D282">
            <v>8276000</v>
          </cell>
        </row>
        <row r="283">
          <cell r="A283" t="str">
            <v>354101-B21</v>
          </cell>
          <cell r="B283" t="str">
            <v>BL30p Blade Sleeve ALL</v>
          </cell>
          <cell r="C283" t="str">
            <v>BL30p</v>
          </cell>
          <cell r="D283">
            <v>1868000</v>
          </cell>
        </row>
        <row r="286">
          <cell r="A286" t="str">
            <v>p-Class Interconnects</v>
          </cell>
        </row>
        <row r="287">
          <cell r="A287" t="str">
            <v>230766-B21</v>
          </cell>
          <cell r="B287" t="str">
            <v>BLp PPs-pair ALL</v>
          </cell>
          <cell r="C287" t="str">
            <v>BL20p, BL20p G2, BL40p</v>
          </cell>
          <cell r="D287">
            <v>3398000</v>
          </cell>
        </row>
        <row r="288">
          <cell r="A288" t="str">
            <v>283192-B21</v>
          </cell>
          <cell r="B288" t="str">
            <v>BL p-Class C-GbE2 Interconnect Kit 
(with 12 RJ-45 10/100/1000 T/TX/T 외장형 포트)</v>
          </cell>
          <cell r="D288">
            <v>27441000</v>
          </cell>
        </row>
        <row r="289">
          <cell r="A289" t="str">
            <v>283193-B21</v>
          </cell>
          <cell r="B289" t="str">
            <v xml:space="preserve">BL p-Class F-GbE2 Interconnect 
(with 8 LC 1000 SX, 4 RJ-45 10/100/1000 T/TX/T 외장형 포트) </v>
          </cell>
          <cell r="D289">
            <v>30441000</v>
          </cell>
        </row>
        <row r="290">
          <cell r="A290" t="str">
            <v>321745-B21</v>
          </cell>
          <cell r="B290" t="str">
            <v>ProLiant BL p-Class GbE2 Storage Connectivity Kit 
(with pair of OctalFC Interconnect Modules와 
Fibre Channel signal conditioning card 2개)</v>
          </cell>
          <cell r="D290">
            <v>4925000</v>
          </cell>
        </row>
        <row r="291">
          <cell r="A291" t="str">
            <v>249655-B21</v>
          </cell>
          <cell r="B291" t="str">
            <v>BLp SWs (C) -pair ALL</v>
          </cell>
          <cell r="C291" t="str">
            <v>BL20p, BL20p G2, BL40p</v>
          </cell>
          <cell r="D291">
            <v>8263000</v>
          </cell>
        </row>
        <row r="292">
          <cell r="A292" t="str">
            <v>279720-B21</v>
          </cell>
          <cell r="B292" t="str">
            <v>BLp SWs (F) - pair ALL</v>
          </cell>
          <cell r="C292" t="str">
            <v>BL20p, BL20p G2, BL40p</v>
          </cell>
          <cell r="D292">
            <v>13035000</v>
          </cell>
        </row>
        <row r="293">
          <cell r="A293" t="str">
            <v>306465-B21</v>
          </cell>
          <cell r="B293" t="str">
            <v>BLp-Class RJ-45 Patch panel 2 with Fibre pass-through(pair)</v>
          </cell>
          <cell r="C293" t="str">
            <v>BL20p, BL20p G2, BL40p</v>
          </cell>
          <cell r="D293">
            <v>7245000</v>
          </cell>
        </row>
        <row r="294">
          <cell r="B294" t="str">
            <v>* BL20p는 Fiber Channel 연결이 불가능함</v>
          </cell>
          <cell r="D294" t="e">
            <v>#N/A</v>
          </cell>
        </row>
        <row r="296">
          <cell r="A296" t="str">
            <v>Power Options</v>
          </cell>
        </row>
        <row r="297">
          <cell r="A297" t="str">
            <v>239162-001</v>
          </cell>
          <cell r="B297" t="str">
            <v>BLp 1Ph Pwr Enc w/4PS US</v>
          </cell>
          <cell r="C297" t="str">
            <v>BL20p, BL20p G2, BL40p</v>
          </cell>
          <cell r="D297">
            <v>12263000</v>
          </cell>
        </row>
        <row r="298">
          <cell r="A298" t="str">
            <v>230769-001</v>
          </cell>
          <cell r="B298" t="str">
            <v>BLp 3Ph Pwr Enc w/6PS US</v>
          </cell>
          <cell r="C298" t="str">
            <v>BL20p, BL20p G2, BL40p</v>
          </cell>
          <cell r="D298">
            <v>16636000</v>
          </cell>
        </row>
        <row r="299">
          <cell r="A299" t="str">
            <v>231710-001</v>
          </cell>
          <cell r="B299" t="str">
            <v>BLp 1Ph Pwr Enc Empty US</v>
          </cell>
          <cell r="C299" t="str">
            <v>BL20p, BL20p G2, BL40p</v>
          </cell>
          <cell r="D299">
            <v>5355000</v>
          </cell>
        </row>
        <row r="300">
          <cell r="A300" t="str">
            <v>231709-001</v>
          </cell>
          <cell r="B300" t="str">
            <v>BLp 3Ph Pwr Enc Empty US</v>
          </cell>
          <cell r="C300" t="str">
            <v>BL20p, BL20p G2, BL40p</v>
          </cell>
          <cell r="D300">
            <v>6002000</v>
          </cell>
        </row>
        <row r="301">
          <cell r="A301" t="str">
            <v>239161-B21</v>
          </cell>
          <cell r="B301" t="str">
            <v>BLp Pwr Supply ALL</v>
          </cell>
          <cell r="C301" t="str">
            <v>BL20p, BL20p G2, BL40p</v>
          </cell>
          <cell r="D301">
            <v>2206000</v>
          </cell>
        </row>
        <row r="302">
          <cell r="A302" t="str">
            <v>240563-B21</v>
          </cell>
          <cell r="B302" t="str">
            <v>BLp DC Pwr Kit ALL</v>
          </cell>
          <cell r="C302" t="str">
            <v>BL20p, BL20p G2, BL40p</v>
          </cell>
          <cell r="D302">
            <v>1980000</v>
          </cell>
        </row>
        <row r="304">
          <cell r="A304" t="str">
            <v>Power Distribution</v>
          </cell>
        </row>
        <row r="305">
          <cell r="A305" t="str">
            <v>240560-B21</v>
          </cell>
          <cell r="B305" t="str">
            <v>BLp Scalable Busbar ALL</v>
          </cell>
          <cell r="C305" t="str">
            <v>BL20p, BL20p G2, BL40p</v>
          </cell>
          <cell r="D305">
            <v>4050000</v>
          </cell>
        </row>
        <row r="306">
          <cell r="A306" t="str">
            <v>240559-B21</v>
          </cell>
          <cell r="B306" t="str">
            <v>BLp Mini Busbar ALL</v>
          </cell>
          <cell r="C306" t="str">
            <v>BL20p, BL20p G2, BL40p</v>
          </cell>
          <cell r="D306">
            <v>2687000</v>
          </cell>
        </row>
        <row r="307">
          <cell r="A307" t="str">
            <v>240562-B21</v>
          </cell>
          <cell r="B307" t="str">
            <v>BLp 1:1 Connect Kit ALL</v>
          </cell>
          <cell r="C307" t="str">
            <v>BL20p, BL20p G2, BL40p</v>
          </cell>
          <cell r="D307">
            <v>988000</v>
          </cell>
        </row>
        <row r="308">
          <cell r="A308" t="str">
            <v>364565-B21</v>
          </cell>
          <cell r="B308" t="str">
            <v>Dual Power Input Kit for Mini Bus Bar</v>
          </cell>
          <cell r="C308" t="str">
            <v>BL30p</v>
          </cell>
          <cell r="D308">
            <v>1268000</v>
          </cell>
        </row>
        <row r="310">
          <cell r="A310" t="str">
            <v>Rack Options</v>
          </cell>
        </row>
        <row r="311">
          <cell r="A311" t="str">
            <v>266076-B21</v>
          </cell>
          <cell r="B311" t="str">
            <v>BL Enclosure Telco Rack Kit</v>
          </cell>
          <cell r="C311" t="str">
            <v>BL10e</v>
          </cell>
          <cell r="D311">
            <v>1156000</v>
          </cell>
        </row>
        <row r="312">
          <cell r="A312" t="str">
            <v>245249-B21</v>
          </cell>
          <cell r="B312" t="str">
            <v>Bus Bar Telco Rail Option Kit</v>
          </cell>
          <cell r="C312" t="str">
            <v>BL20p, BL20p G2, BL40p</v>
          </cell>
          <cell r="D312">
            <v>1980000</v>
          </cell>
        </row>
        <row r="313">
          <cell r="A313" t="str">
            <v>293119-B21</v>
          </cell>
          <cell r="B313" t="str">
            <v>BLe Enclosure Shipping Bracket Kit</v>
          </cell>
          <cell r="C313" t="str">
            <v>BL10e</v>
          </cell>
          <cell r="D313">
            <v>432000</v>
          </cell>
        </row>
        <row r="314">
          <cell r="B314" t="str">
            <v>* Enclosure를 Rack에 장착한 상태로 운반시 반드시 필요</v>
          </cell>
          <cell r="D314" t="e">
            <v>#N/A</v>
          </cell>
        </row>
        <row r="315">
          <cell r="A315" t="str">
            <v>293121-B21</v>
          </cell>
          <cell r="B315" t="str">
            <v>BL p-Class Server Enclosure Shipping Bracket Option Kit</v>
          </cell>
          <cell r="C315" t="str">
            <v>BL20p, BL20p G2, BL40p</v>
          </cell>
          <cell r="D315">
            <v>432000</v>
          </cell>
        </row>
        <row r="316">
          <cell r="B316" t="str">
            <v>* Enclosure를 Rack에 장착한 상태로 운반시 반드시 필요</v>
          </cell>
          <cell r="D316" t="e">
            <v>#N/A</v>
          </cell>
        </row>
        <row r="317">
          <cell r="A317" t="str">
            <v>365044-B21</v>
          </cell>
          <cell r="B317" t="str">
            <v>BL p-Class Power Enclosure Shipping Bracket Option Kit
*Enclosure를 Rack에 장착한 상태로 운반시 반드시 필요</v>
          </cell>
          <cell r="C317" t="str">
            <v>BL20p, BL20p G2, BL40p</v>
          </cell>
          <cell r="D317">
            <v>397000</v>
          </cell>
        </row>
        <row r="319">
          <cell r="A319" t="str">
            <v>Diagnostic Options</v>
          </cell>
        </row>
        <row r="320">
          <cell r="A320" t="str">
            <v>230743-B21</v>
          </cell>
          <cell r="B320" t="str">
            <v>BLp Diag Station ALL</v>
          </cell>
          <cell r="C320" t="str">
            <v>BL20p, BL20p G2</v>
          </cell>
          <cell r="D320">
            <v>5100000</v>
          </cell>
        </row>
        <row r="321">
          <cell r="A321" t="str">
            <v>309329-B21</v>
          </cell>
          <cell r="B321" t="str">
            <v>ProLiant p-Class Diagnostic Station Upgrade Kit for BL40p</v>
          </cell>
          <cell r="C321" t="str">
            <v>BL40p</v>
          </cell>
          <cell r="D321">
            <v>2896000</v>
          </cell>
        </row>
        <row r="323">
          <cell r="A323" t="str">
            <v>Fibre Channel Mezzanine Card</v>
          </cell>
        </row>
        <row r="324">
          <cell r="A324" t="str">
            <v>300874-B21</v>
          </cell>
          <cell r="B324" t="str">
            <v>Dual port Fibre Channel Mezzanine Card(2-Gb) 
for ProLiant BL20p G2</v>
          </cell>
          <cell r="C324" t="str">
            <v>BL20p G2</v>
          </cell>
          <cell r="D324">
            <v>2896000</v>
          </cell>
        </row>
        <row r="325">
          <cell r="A325" t="str">
            <v>354054-B21</v>
          </cell>
          <cell r="B325" t="str">
            <v>FC Adapter Option BL30p</v>
          </cell>
          <cell r="C325" t="str">
            <v>BL30p</v>
          </cell>
          <cell r="D325">
            <v>2851000</v>
          </cell>
        </row>
        <row r="326">
          <cell r="A326" t="str">
            <v>361426-B21</v>
          </cell>
          <cell r="B326" t="str">
            <v>FC Adapter Card BL20pG3 ALL</v>
          </cell>
          <cell r="C326" t="str">
            <v>BL20p G3</v>
          </cell>
          <cell r="D326">
            <v>2851000</v>
          </cell>
        </row>
        <row r="328">
          <cell r="A328" t="str">
            <v>BL30p HDD Option</v>
          </cell>
        </row>
        <row r="329">
          <cell r="A329" t="str">
            <v>354052-B21</v>
          </cell>
          <cell r="B329" t="str">
            <v>BL30p 60G ATA HDD</v>
          </cell>
          <cell r="C329" t="str">
            <v>BL30p</v>
          </cell>
          <cell r="D329">
            <v>1354000</v>
          </cell>
        </row>
        <row r="331">
          <cell r="A331" t="str">
            <v>ProLiant LC Cluster</v>
          </cell>
        </row>
        <row r="333">
          <cell r="A333" t="str">
            <v>ProLiant LC cluster</v>
          </cell>
        </row>
        <row r="334">
          <cell r="A334" t="str">
            <v>350060-002</v>
          </cell>
          <cell r="B334" t="str">
            <v>LC Series 1000 32 Node 3.06/533-512 DL140 US</v>
          </cell>
          <cell r="C334" t="str">
            <v>32node</v>
          </cell>
          <cell r="D334">
            <v>314443000</v>
          </cell>
        </row>
        <row r="335">
          <cell r="A335" t="str">
            <v>361364-002</v>
          </cell>
          <cell r="B335" t="str">
            <v>LC Series 2000 32 Node  3.06/533-512 DL360 US</v>
          </cell>
          <cell r="C335" t="str">
            <v>32node</v>
          </cell>
          <cell r="D335">
            <v>444678000</v>
          </cell>
        </row>
        <row r="336">
          <cell r="A336" t="str">
            <v>361363-002</v>
          </cell>
          <cell r="B336" t="str">
            <v>LC Series 3000 32 Node  O248 2200 DL145 US</v>
          </cell>
          <cell r="C336" t="str">
            <v>32node</v>
          </cell>
          <cell r="D336">
            <v>563751000</v>
          </cell>
        </row>
        <row r="339">
          <cell r="A339" t="str">
            <v>ProLiant LC Cluster Option</v>
          </cell>
        </row>
        <row r="341">
          <cell r="A341" t="str">
            <v>LC Cluster Option</v>
          </cell>
        </row>
        <row r="342">
          <cell r="A342" t="str">
            <v>LC Cluster Option</v>
          </cell>
        </row>
        <row r="343">
          <cell r="A343" t="str">
            <v>361801-B21</v>
          </cell>
          <cell r="B343" t="str">
            <v>GigE Option Kit</v>
          </cell>
          <cell r="C343" t="str">
            <v>LC cluster</v>
          </cell>
          <cell r="D343">
            <v>109330000</v>
          </cell>
        </row>
        <row r="344">
          <cell r="A344" t="str">
            <v>361802-B21</v>
          </cell>
          <cell r="B344" t="str">
            <v>Myrinet Option Kit</v>
          </cell>
          <cell r="C344" t="str">
            <v>LC cluster</v>
          </cell>
          <cell r="D344">
            <v>98830000</v>
          </cell>
        </row>
        <row r="345">
          <cell r="A345" t="str">
            <v>355477-B21</v>
          </cell>
          <cell r="B345" t="str">
            <v>Cyclades - ATP1200 (with rail kit brackets)</v>
          </cell>
          <cell r="C345" t="str">
            <v>LC cluster</v>
          </cell>
          <cell r="D345">
            <v>18805000</v>
          </cell>
        </row>
        <row r="346">
          <cell r="A346" t="str">
            <v>356578-B21</v>
          </cell>
          <cell r="B346" t="str">
            <v>Kit, Procurve 1U Switch,Rack Mount,10K</v>
          </cell>
          <cell r="C346" t="str">
            <v>LC cluster</v>
          </cell>
          <cell r="D346">
            <v>361000</v>
          </cell>
        </row>
        <row r="347">
          <cell r="A347" t="str">
            <v>360363-B21</v>
          </cell>
          <cell r="B347" t="str">
            <v>Myrinet Switch rail kit</v>
          </cell>
          <cell r="C347" t="str">
            <v>LC cluster</v>
          </cell>
          <cell r="D347">
            <v>634000</v>
          </cell>
        </row>
        <row r="348">
          <cell r="A348" t="str">
            <v>359578-B21</v>
          </cell>
          <cell r="B348" t="str">
            <v>Configuration Resource Kit</v>
          </cell>
          <cell r="C348" t="str">
            <v>LC cluster</v>
          </cell>
          <cell r="D348">
            <v>457000</v>
          </cell>
        </row>
        <row r="349">
          <cell r="A349" t="str">
            <v>365242-B21</v>
          </cell>
          <cell r="B349" t="str">
            <v>Cyclades RS-232 to RJ45 Adapter</v>
          </cell>
          <cell r="C349" t="str">
            <v>LC cluster</v>
          </cell>
          <cell r="D349">
            <v>121000</v>
          </cell>
        </row>
        <row r="350">
          <cell r="A350" t="str">
            <v>337808-002</v>
          </cell>
          <cell r="B350" t="str">
            <v>RM Kit Multi Use 10K HP Rack</v>
          </cell>
          <cell r="C350" t="str">
            <v>LC cluster</v>
          </cell>
          <cell r="D350">
            <v>473000</v>
          </cell>
        </row>
        <row r="351">
          <cell r="A351" t="str">
            <v>257894-006</v>
          </cell>
          <cell r="B351" t="str">
            <v>Myrinet XP Card</v>
          </cell>
          <cell r="C351" t="str">
            <v>LC cluster</v>
          </cell>
          <cell r="D351">
            <v>3684000</v>
          </cell>
        </row>
        <row r="352">
          <cell r="A352" t="str">
            <v>356921-B21</v>
          </cell>
          <cell r="B352" t="str">
            <v>Myrinet Line Card, 8-Port GIGE</v>
          </cell>
          <cell r="C352" t="str">
            <v>LC cluster</v>
          </cell>
          <cell r="D352">
            <v>15130000</v>
          </cell>
        </row>
        <row r="353">
          <cell r="A353" t="str">
            <v>360040-B21</v>
          </cell>
          <cell r="B353" t="str">
            <v>Myrinet 2XP PCI-X ,Fiber,E-series,2MB</v>
          </cell>
          <cell r="C353" t="str">
            <v>LC cluster</v>
          </cell>
          <cell r="D353">
            <v>5611000</v>
          </cell>
        </row>
        <row r="354">
          <cell r="A354" t="str">
            <v>360041-B21</v>
          </cell>
          <cell r="B354" t="str">
            <v>Myrinet Cable,LC,Fiber,2Gb,5 meter</v>
          </cell>
          <cell r="C354" t="str">
            <v>LC cluster</v>
          </cell>
          <cell r="D354">
            <v>367000</v>
          </cell>
        </row>
        <row r="356">
          <cell r="A356" t="str">
            <v>UPS &amp; Options</v>
          </cell>
        </row>
        <row r="357">
          <cell r="A357" t="str">
            <v>Rack Type UPS</v>
          </cell>
        </row>
        <row r="358">
          <cell r="A358" t="str">
            <v>207552-B22</v>
          </cell>
          <cell r="B358" t="str">
            <v>UPS R12000 XR, N+x (High Voltage)</v>
          </cell>
          <cell r="D358">
            <v>43500000</v>
          </cell>
        </row>
        <row r="359">
          <cell r="A359" t="str">
            <v>326529-B31</v>
          </cell>
          <cell r="B359" t="str">
            <v>UPS R5500 XR</v>
          </cell>
          <cell r="D359">
            <v>13545000</v>
          </cell>
        </row>
        <row r="360">
          <cell r="A360" t="str">
            <v>204404-B31</v>
          </cell>
          <cell r="B360" t="str">
            <v>UPS R1500 XR</v>
          </cell>
          <cell r="D360">
            <v>3230000</v>
          </cell>
        </row>
        <row r="361">
          <cell r="A361" t="str">
            <v>192186-B31</v>
          </cell>
          <cell r="B361" t="str">
            <v>UPS R3000 XR</v>
          </cell>
          <cell r="D361">
            <v>5340000</v>
          </cell>
        </row>
        <row r="362">
          <cell r="A362" t="str">
            <v>Tower Type UPS</v>
          </cell>
        </row>
        <row r="363">
          <cell r="A363" t="str">
            <v>204451-B31</v>
          </cell>
          <cell r="B363" t="str">
            <v>HP UPS T2200 XR</v>
          </cell>
          <cell r="D363">
            <v>2570000</v>
          </cell>
        </row>
        <row r="364">
          <cell r="A364" t="str">
            <v>204155-B32</v>
          </cell>
          <cell r="B364" t="str">
            <v>HP UPS T1500 XR</v>
          </cell>
          <cell r="D364">
            <v>1773000</v>
          </cell>
        </row>
        <row r="365">
          <cell r="A365" t="str">
            <v>204155-B31</v>
          </cell>
          <cell r="B365" t="str">
            <v xml:space="preserve">HP UPS T1000 XR </v>
          </cell>
          <cell r="D365">
            <v>1540000</v>
          </cell>
        </row>
        <row r="366">
          <cell r="A366" t="str">
            <v>204015-B31</v>
          </cell>
          <cell r="B366" t="str">
            <v>UPS T700</v>
          </cell>
          <cell r="D366">
            <v>749000</v>
          </cell>
        </row>
        <row r="367">
          <cell r="A367" t="str">
            <v>UPS Options</v>
          </cell>
        </row>
        <row r="368">
          <cell r="A368" t="str">
            <v>192185-B21</v>
          </cell>
          <cell r="B368" t="str">
            <v>Six Port Card</v>
          </cell>
          <cell r="D368">
            <v>720000</v>
          </cell>
        </row>
        <row r="369">
          <cell r="A369" t="str">
            <v>192189-B21</v>
          </cell>
          <cell r="B369" t="str">
            <v>SNMP/Serial Port Card</v>
          </cell>
          <cell r="D369">
            <v>1180000</v>
          </cell>
        </row>
        <row r="370">
          <cell r="A370" t="str">
            <v>326564-B21</v>
          </cell>
          <cell r="B370" t="str">
            <v>Extended Runtime Module (ERM), R5500 XR</v>
          </cell>
          <cell r="C370" t="str">
            <v>UPS R5500</v>
          </cell>
          <cell r="D370">
            <v>3420000</v>
          </cell>
        </row>
        <row r="371">
          <cell r="A371" t="str">
            <v>217800-B21</v>
          </cell>
          <cell r="B371" t="str">
            <v>Extended Runtime Module(ERM), R12000XR</v>
          </cell>
          <cell r="C371" t="str">
            <v>UPS R12000XR</v>
          </cell>
          <cell r="D371">
            <v>5860000</v>
          </cell>
        </row>
        <row r="372">
          <cell r="A372" t="str">
            <v>218967-B21</v>
          </cell>
          <cell r="B372" t="str">
            <v>Extended Runtime Module (ERM), T1000 XR</v>
          </cell>
          <cell r="C372" t="str">
            <v>UPS T1000XR</v>
          </cell>
          <cell r="D372">
            <v>1420000</v>
          </cell>
        </row>
        <row r="373">
          <cell r="A373" t="str">
            <v>218971-B21</v>
          </cell>
          <cell r="B373" t="str">
            <v>Extended Runtime Module (ERM), R1500 XR</v>
          </cell>
          <cell r="C373" t="str">
            <v>UPS R1500XR</v>
          </cell>
          <cell r="D373">
            <v>2320000</v>
          </cell>
        </row>
        <row r="374">
          <cell r="A374" t="str">
            <v>218969-B21</v>
          </cell>
          <cell r="B374" t="str">
            <v>Extended Runtime Module (ERM), T1500/T2200XR</v>
          </cell>
          <cell r="C374" t="str">
            <v>UPS T1500XR, UPS T2200XR</v>
          </cell>
          <cell r="D374">
            <v>1460000</v>
          </cell>
        </row>
        <row r="375">
          <cell r="A375" t="str">
            <v>192188-B21</v>
          </cell>
          <cell r="B375" t="str">
            <v>Extended Runtime Module, R3000 XR</v>
          </cell>
          <cell r="C375" t="str">
            <v>UPS R3000XR</v>
          </cell>
          <cell r="D375">
            <v>3720000</v>
          </cell>
        </row>
        <row r="376">
          <cell r="A376" t="str">
            <v>325361-B21</v>
          </cell>
          <cell r="B376" t="str">
            <v>R12000 XR Back Plate Receptacle Kit</v>
          </cell>
          <cell r="C376" t="str">
            <v>UPS R12000XR</v>
          </cell>
          <cell r="D376">
            <v>1420000</v>
          </cell>
        </row>
        <row r="378">
          <cell r="A378" t="str">
            <v>HARD DISK DRIVE</v>
          </cell>
        </row>
        <row r="379">
          <cell r="A379" t="str">
            <v>ATA Hard Drive Options</v>
          </cell>
        </row>
        <row r="380">
          <cell r="A380" t="str">
            <v>230534-B21</v>
          </cell>
          <cell r="B380" t="str">
            <v>40GB ATA/100 7,200 RPM Drive (1")</v>
          </cell>
          <cell r="C380" t="str">
            <v>DL320, DL320G2, ML330, ML330e, ML330G2</v>
          </cell>
          <cell r="D380">
            <v>430000</v>
          </cell>
        </row>
        <row r="381">
          <cell r="A381" t="str">
            <v>278424-B21</v>
          </cell>
          <cell r="B381" t="str">
            <v>80GB ATA 100 7,200 RPM Hard Drive(1")</v>
          </cell>
          <cell r="C381" t="str">
            <v>DL140, DL320, DL320G2, ML330G2</v>
          </cell>
          <cell r="D381">
            <v>540000</v>
          </cell>
        </row>
        <row r="382">
          <cell r="A382" t="str">
            <v>366486-B21</v>
          </cell>
          <cell r="B382" t="str">
            <v>160-GB ATA 100 7,200 RPM Hard Drive (1")</v>
          </cell>
          <cell r="C382" t="str">
            <v>DL140, DL320, DL320G2, ML330G2</v>
          </cell>
          <cell r="D382">
            <v>670000</v>
          </cell>
        </row>
        <row r="383">
          <cell r="A383" t="str">
            <v>349237-B21</v>
          </cell>
          <cell r="B383" t="str">
            <v>80-GB SATA 1.5Gb 7,200 RPM Hard Drive (1")</v>
          </cell>
          <cell r="C383" t="str">
            <v>ML110</v>
          </cell>
          <cell r="D383">
            <v>469000</v>
          </cell>
        </row>
        <row r="384">
          <cell r="A384" t="str">
            <v>349238-B21</v>
          </cell>
          <cell r="B384" t="str">
            <v>160-GB SATA 1.5Gb 7,200 RPM Hard Drive (1")</v>
          </cell>
          <cell r="C384" t="str">
            <v>ML110</v>
          </cell>
          <cell r="D384">
            <v>735000</v>
          </cell>
        </row>
        <row r="385">
          <cell r="A385" t="str">
            <v>349239-B21</v>
          </cell>
          <cell r="B385" t="str">
            <v>250-GB SATA 1.5Gb 7,200 RPM Hard Drive (1")</v>
          </cell>
          <cell r="C385" t="str">
            <v>ML110</v>
          </cell>
          <cell r="D385">
            <v>1135000</v>
          </cell>
        </row>
        <row r="387">
          <cell r="A387" t="str">
            <v>U320 SCSI Non-Hot Plug Hard Drives</v>
          </cell>
        </row>
        <row r="388">
          <cell r="A388" t="str">
            <v>332751-B21</v>
          </cell>
          <cell r="B388" t="str">
            <v>72GB U320 Non-Hot Plug SCSI 10K Hard Drive(1")</v>
          </cell>
          <cell r="C388" t="str">
            <v>DL145, DL320G2, ML330G3</v>
          </cell>
          <cell r="D388">
            <v>1391000</v>
          </cell>
        </row>
        <row r="389">
          <cell r="A389" t="str">
            <v>356990-B21</v>
          </cell>
          <cell r="B389" t="str">
            <v>146GB 10K U320 Non-Hot Plug Hard Drive</v>
          </cell>
          <cell r="C389" t="str">
            <v>100 series , 350G4</v>
          </cell>
          <cell r="D389">
            <v>2120000</v>
          </cell>
        </row>
        <row r="390">
          <cell r="A390" t="str">
            <v>357012-B21</v>
          </cell>
          <cell r="B390" t="str">
            <v>36GB 15K U320 NHP ALL</v>
          </cell>
          <cell r="C390" t="str">
            <v>See Each SVR Spec.</v>
          </cell>
          <cell r="D390">
            <v>1120000</v>
          </cell>
        </row>
        <row r="392">
          <cell r="A392" t="str">
            <v>U320 SCSI Hot Plug Hard Drives</v>
          </cell>
        </row>
        <row r="393">
          <cell r="A393" t="str">
            <v>286776-B22</v>
          </cell>
          <cell r="B393" t="str">
            <v>36.4GB Pluggable Ultra320 SCSI 15K Universal Hard Drive(1")</v>
          </cell>
          <cell r="C393" t="str">
            <v>See Each SVR Spec.</v>
          </cell>
          <cell r="D393">
            <v>1568000</v>
          </cell>
        </row>
        <row r="394">
          <cell r="A394" t="str">
            <v>286714-B22</v>
          </cell>
          <cell r="B394" t="str">
            <v>72.8GB Pluggable Ultra320 SCSI 10K Universal Hard Drive(1")</v>
          </cell>
          <cell r="C394" t="str">
            <v>See Each SVR Spec.</v>
          </cell>
          <cell r="D394">
            <v>1487000</v>
          </cell>
        </row>
        <row r="395">
          <cell r="A395" t="str">
            <v>286778-B22</v>
          </cell>
          <cell r="B395" t="str">
            <v>72.8GB Pluggable Ultra320 SCSI 15K Universal Hard Drive(1")</v>
          </cell>
          <cell r="C395" t="str">
            <v>See Each SVR Spec.</v>
          </cell>
          <cell r="D395">
            <v>3031000</v>
          </cell>
        </row>
        <row r="396">
          <cell r="A396" t="str">
            <v>286716-B22</v>
          </cell>
          <cell r="B396" t="str">
            <v>146.8GB Pluggable Ultra320 SCSI 10K Universal Hard Drive(1")</v>
          </cell>
          <cell r="C396" t="str">
            <v>See Each SVR Spec.</v>
          </cell>
          <cell r="D396">
            <v>2380000</v>
          </cell>
        </row>
        <row r="397">
          <cell r="A397" t="str">
            <v>347708-B22</v>
          </cell>
          <cell r="B397" t="str">
            <v>146.8GB Pluggable Ultra320 SCSI 15K Universal Hard Drive(1")</v>
          </cell>
          <cell r="C397" t="str">
            <v>See Each SVR Spec.</v>
          </cell>
          <cell r="D397">
            <v>3880000</v>
          </cell>
        </row>
        <row r="398">
          <cell r="A398" t="str">
            <v>350964-B22</v>
          </cell>
          <cell r="B398" t="str">
            <v>300 GB Pluggable Ultra320 SCSI 10K Universal Hard Drive(1")</v>
          </cell>
          <cell r="C398" t="str">
            <v>See Each SVR Spec.</v>
          </cell>
          <cell r="D398">
            <v>4960000</v>
          </cell>
        </row>
        <row r="401">
          <cell r="A401" t="str">
            <v>SmartArray Cluster Storage &amp; Controller</v>
          </cell>
        </row>
        <row r="402">
          <cell r="A402" t="str">
            <v>Controller Options</v>
          </cell>
        </row>
        <row r="403">
          <cell r="A403" t="str">
            <v>291966-B21</v>
          </cell>
          <cell r="B403" t="str">
            <v xml:space="preserve">Smart Array 641 </v>
          </cell>
          <cell r="C403" t="str">
            <v>See Each SVR Spec.</v>
          </cell>
          <cell r="D403">
            <v>1487000</v>
          </cell>
        </row>
        <row r="404">
          <cell r="A404" t="str">
            <v>291967-B21</v>
          </cell>
          <cell r="B404" t="str">
            <v xml:space="preserve">Smart Array 642 </v>
          </cell>
          <cell r="C404" t="str">
            <v>See Each SVR Spec.</v>
          </cell>
          <cell r="D404">
            <v>1895000</v>
          </cell>
        </row>
        <row r="405">
          <cell r="A405" t="str">
            <v>273915-B21</v>
          </cell>
          <cell r="B405" t="str">
            <v>Smart Array 6402/128 Controller</v>
          </cell>
          <cell r="C405" t="str">
            <v>See Each SVR Spec.</v>
          </cell>
          <cell r="D405">
            <v>2640000</v>
          </cell>
        </row>
        <row r="406">
          <cell r="A406" t="str">
            <v>273914-B21</v>
          </cell>
          <cell r="B406" t="str">
            <v>Smart Array 6404/256 Controller</v>
          </cell>
          <cell r="C406" t="str">
            <v>See Each SVR Spec.</v>
          </cell>
          <cell r="D406">
            <v>4500000</v>
          </cell>
        </row>
        <row r="407">
          <cell r="A407" t="str">
            <v>346914-B21</v>
          </cell>
          <cell r="B407" t="str">
            <v>128MB Battery Backed Write Cache Enabler  for SA6i</v>
          </cell>
          <cell r="C407" t="str">
            <v>DL360 G4 and DL380 G4</v>
          </cell>
          <cell r="D407">
            <v>560000</v>
          </cell>
        </row>
        <row r="408">
          <cell r="A408" t="str">
            <v>273911-B21</v>
          </cell>
          <cell r="B408" t="str">
            <v>Ultra320 Expansion Module for SA-6402</v>
          </cell>
          <cell r="C408" t="str">
            <v>See Each SVR Spec.</v>
          </cell>
          <cell r="D408">
            <v>1267000</v>
          </cell>
        </row>
        <row r="409">
          <cell r="A409" t="str">
            <v>273913-B21</v>
          </cell>
          <cell r="B409" t="str">
            <v>256-MB Battery-Backed Cache Upgrade Kit</v>
          </cell>
          <cell r="C409" t="str">
            <v>Smart Array 6400 Family</v>
          </cell>
          <cell r="D409">
            <v>1722000</v>
          </cell>
        </row>
        <row r="410">
          <cell r="A410" t="str">
            <v>254786-B21</v>
          </cell>
          <cell r="B410" t="str">
            <v>256MB Battery Backed Cache Module</v>
          </cell>
          <cell r="C410" t="str">
            <v>See Each SVR Spec.</v>
          </cell>
          <cell r="D410">
            <v>1659000</v>
          </cell>
        </row>
        <row r="411">
          <cell r="A411" t="str">
            <v>255514-B21</v>
          </cell>
          <cell r="B411" t="str">
            <v>Battery Backed Write Cache Enabler</v>
          </cell>
          <cell r="C411" t="str">
            <v>BL p-Class(20p), DL360G2, DL360G3, DL380G3, 
DL560(1p), DL580G2(1p)</v>
          </cell>
          <cell r="D411">
            <v>555000</v>
          </cell>
        </row>
        <row r="412">
          <cell r="A412" t="str">
            <v>351580-B21</v>
          </cell>
          <cell r="B412" t="str">
            <v>Battery Backed Write Cache Enabler for SA641,642</v>
          </cell>
          <cell r="C412" t="str">
            <v>Smart Array 641, 642</v>
          </cell>
          <cell r="D412">
            <v>950000</v>
          </cell>
        </row>
        <row r="413">
          <cell r="A413" t="str">
            <v>284688-B21</v>
          </cell>
          <cell r="B413" t="str">
            <v>64-Bit/66-MHz 2-Channel WU3 SCSI Adapter</v>
          </cell>
          <cell r="C413" t="str">
            <v>See Each SVR Spec.</v>
          </cell>
          <cell r="D413">
            <v>972000</v>
          </cell>
        </row>
        <row r="414">
          <cell r="A414" t="str">
            <v>268351-B21</v>
          </cell>
          <cell r="B414" t="str">
            <v>64-Bit/133-MHz 2-Channel Ultra320 SCSI Adapter</v>
          </cell>
          <cell r="C414" t="str">
            <v>See Each SVR Spec.</v>
          </cell>
          <cell r="D414">
            <v>970000</v>
          </cell>
        </row>
        <row r="416">
          <cell r="A416" t="str">
            <v>SmartArray Cluster Storage</v>
          </cell>
        </row>
        <row r="417">
          <cell r="A417" t="str">
            <v>335921-B21</v>
          </cell>
          <cell r="B417" t="str">
            <v xml:space="preserve">StorageWorks MSA20 10 SATA drive enclosure </v>
          </cell>
          <cell r="D417">
            <v>8404000</v>
          </cell>
        </row>
        <row r="418">
          <cell r="A418" t="str">
            <v>366172-B21</v>
          </cell>
          <cell r="B418" t="str">
            <v>StorageWorks MSA20 Starter Kit</v>
          </cell>
          <cell r="D418">
            <v>11066000</v>
          </cell>
        </row>
        <row r="419">
          <cell r="A419" t="str">
            <v>302969-B21</v>
          </cell>
          <cell r="B419" t="str">
            <v>Modular Smart Array 30 Single Bus
14 drive enclosure with redundant power supplies</v>
          </cell>
          <cell r="C419" t="str">
            <v>Renamed from StorageWorks 4414 S/B</v>
          </cell>
          <cell r="D419">
            <v>7446000</v>
          </cell>
        </row>
        <row r="420">
          <cell r="A420" t="str">
            <v>302970-B21</v>
          </cell>
          <cell r="B420" t="str">
            <v>Modular Smart Array 30 Dual Bus (rack-mountable)
14 drive enclosure with redundant power supplies</v>
          </cell>
          <cell r="C420" t="str">
            <v>Renamed from StorageWorks 4454 D/B</v>
          </cell>
          <cell r="D420">
            <v>8019000</v>
          </cell>
        </row>
        <row r="421">
          <cell r="A421" t="str">
            <v>359645-B21</v>
          </cell>
          <cell r="B421" t="str">
            <v>MSA30 4Port HPUX/IA64 Linux JBOD</v>
          </cell>
          <cell r="D421">
            <v>11890000</v>
          </cell>
        </row>
        <row r="422">
          <cell r="A422" t="str">
            <v>287483-B21</v>
          </cell>
          <cell r="B422" t="str">
            <v>Ultra320 Dual Bus I/0 Module</v>
          </cell>
          <cell r="C422" t="str">
            <v>StorageWorks 4400 Enclosure I/O Upgrade Modules</v>
          </cell>
          <cell r="D422">
            <v>2553000</v>
          </cell>
        </row>
        <row r="423">
          <cell r="A423" t="str">
            <v>287484-B21</v>
          </cell>
          <cell r="B423" t="str">
            <v>Ultra320 Single Bus I/O Module</v>
          </cell>
          <cell r="C423" t="str">
            <v>StorageWorks 4400 Enclosure I/O Upgrade Modules</v>
          </cell>
          <cell r="D423">
            <v>2144000</v>
          </cell>
        </row>
        <row r="424">
          <cell r="A424" t="str">
            <v>351504-B21</v>
          </cell>
          <cell r="B424" t="str">
            <v>HP Modular Smart Array 500 Starter Kit 
(MSA 500 and 2 SA-532 Adapters 포함)</v>
          </cell>
          <cell r="D424">
            <v>14056000</v>
          </cell>
        </row>
        <row r="425">
          <cell r="A425" t="str">
            <v>351281-B21</v>
          </cell>
          <cell r="B425" t="str">
            <v>Modular Smart Array 500 High Availability Kit 
(MSA500 controller + 4-port IO Module + Smart Array Multipath Software + 2개의 SA-532 Adapters 포함)</v>
          </cell>
          <cell r="D425">
            <v>10221000</v>
          </cell>
        </row>
        <row r="426">
          <cell r="A426" t="str">
            <v>218252-B21</v>
          </cell>
          <cell r="B426" t="str">
            <v>Modular Smart Array 500 Controller</v>
          </cell>
          <cell r="C426" t="str">
            <v>See Each SVR Spec.</v>
          </cell>
          <cell r="D426">
            <v>7809000</v>
          </cell>
        </row>
        <row r="427">
          <cell r="A427" t="str">
            <v>292944-B21</v>
          </cell>
          <cell r="B427" t="str">
            <v>4-Port Shared Storage Module with SmartArray Multipath Software
for SmartArray Cluster Storage</v>
          </cell>
          <cell r="C427" t="str">
            <v>See Each SVR Spec.</v>
          </cell>
          <cell r="D427">
            <v>3519000</v>
          </cell>
        </row>
        <row r="428">
          <cell r="A428" t="str">
            <v>360229-B21</v>
          </cell>
          <cell r="B428" t="str">
            <v>Modular Smart Array 500 G2 High Availability Kit 
(MSA500 G2 controller + G2 4-port IO Module + Smart Array Multipath Software + 2개의 SA-642 Adapters 포함)</v>
          </cell>
          <cell r="D428">
            <v>11587000</v>
          </cell>
        </row>
        <row r="429">
          <cell r="A429" t="str">
            <v>335880-B21</v>
          </cell>
          <cell r="B429" t="str">
            <v>Modular Smart Array 500 G2Modular M</v>
          </cell>
          <cell r="C429" t="str">
            <v>See Each SVR Spec.</v>
          </cell>
          <cell r="D429">
            <v>16050000</v>
          </cell>
        </row>
        <row r="430">
          <cell r="A430" t="str">
            <v>335881-B21</v>
          </cell>
          <cell r="B430" t="str">
            <v>Modular Smart Array 500 G2 Controller</v>
          </cell>
          <cell r="C430" t="str">
            <v>See Each SVR Spec.</v>
          </cell>
          <cell r="D430">
            <v>7200000</v>
          </cell>
        </row>
        <row r="431">
          <cell r="A431" t="str">
            <v>335882-B21</v>
          </cell>
          <cell r="B431" t="str">
            <v>MSA500 G2 4-port IO module with Smart Array Multipath Software</v>
          </cell>
          <cell r="C431" t="str">
            <v>See Each SVR Spec.</v>
          </cell>
          <cell r="D431">
            <v>3580000</v>
          </cell>
        </row>
        <row r="432">
          <cell r="A432" t="str">
            <v>148649-B21</v>
          </cell>
          <cell r="B432" t="str">
            <v>Drive Height Converter (4 Pack)</v>
          </cell>
          <cell r="C432" t="str">
            <v>MA8000/EMA12000/EMA16000
Enclosure4300</v>
          </cell>
          <cell r="D432">
            <v>120000</v>
          </cell>
        </row>
        <row r="434">
          <cell r="A434" t="str">
            <v>OPTIONS</v>
          </cell>
        </row>
        <row r="435">
          <cell r="A435" t="str">
            <v>REMOTE MANAGEMENT</v>
          </cell>
        </row>
        <row r="436">
          <cell r="A436" t="str">
            <v>227251-371</v>
          </cell>
          <cell r="B436" t="str">
            <v>Remote Insight Lights-Out Edition II</v>
          </cell>
          <cell r="C436" t="str">
            <v>DL590/64, PL8500 DC, BL 제외</v>
          </cell>
          <cell r="D436">
            <v>1811000</v>
          </cell>
        </row>
        <row r="437">
          <cell r="A437" t="str">
            <v>201493-B21</v>
          </cell>
          <cell r="B437" t="str">
            <v>New 220V High-Line PDU Power Cord for Remote Insight Board</v>
          </cell>
          <cell r="D437">
            <v>83000</v>
          </cell>
        </row>
        <row r="440">
          <cell r="A440" t="str">
            <v>CD-ROM / DVD-ROM</v>
          </cell>
        </row>
        <row r="441">
          <cell r="A441" t="str">
            <v>331346-B21</v>
          </cell>
          <cell r="B441" t="str">
            <v>CD-RW/DVD-ROM 48X Combo Drive Option Kit</v>
          </cell>
          <cell r="C441" t="str">
            <v>Mostly ML Series Servers</v>
          </cell>
          <cell r="D441">
            <v>489000</v>
          </cell>
        </row>
        <row r="442">
          <cell r="A442" t="str">
            <v>331903-B21</v>
          </cell>
          <cell r="B442" t="str">
            <v>Slim Line CD-RW/DVD-ROM 24X Combo Drive Option Kit</v>
          </cell>
          <cell r="C442" t="str">
            <v>Mostly DL Series Servers</v>
          </cell>
          <cell r="D442">
            <v>634000</v>
          </cell>
        </row>
        <row r="444">
          <cell r="A444" t="str">
            <v>NETWORK INTERFACE CARD (NIC)</v>
          </cell>
        </row>
        <row r="445">
          <cell r="A445" t="str">
            <v>Gigabit NICs</v>
          </cell>
        </row>
        <row r="446">
          <cell r="A446" t="str">
            <v>313879-B21</v>
          </cell>
          <cell r="B446" t="str">
            <v>HP NC6170 Dual Port PCI-X 1000SX Gigabit Server Adapter</v>
          </cell>
          <cell r="C446" t="str">
            <v>See Each SVR Spec</v>
          </cell>
          <cell r="D446">
            <v>3327000</v>
          </cell>
        </row>
        <row r="447">
          <cell r="A447" t="str">
            <v>244949-B21</v>
          </cell>
          <cell r="B447" t="str">
            <v>HP NC6770 PCI-X Gigabit Server Adapter</v>
          </cell>
          <cell r="C447" t="str">
            <v>See Each SVR Spec (G4 model 사용불가)</v>
          </cell>
          <cell r="D447">
            <v>2032000</v>
          </cell>
        </row>
        <row r="448">
          <cell r="A448" t="str">
            <v>313881-B21</v>
          </cell>
          <cell r="B448" t="str">
            <v>HP NC7170 Dual Port PCI-X 1000T Gigabit Server Adapter</v>
          </cell>
          <cell r="C448" t="str">
            <v>See Each SVR Spec</v>
          </cell>
          <cell r="D448">
            <v>836000</v>
          </cell>
        </row>
        <row r="449">
          <cell r="A449" t="str">
            <v>290563-B21</v>
          </cell>
          <cell r="B449" t="str">
            <v>HP NC7771 PCI-X Gigabit Server Adapter</v>
          </cell>
          <cell r="C449" t="str">
            <v>See Each SVR Spec</v>
          </cell>
          <cell r="D449">
            <v>675000</v>
          </cell>
        </row>
        <row r="450">
          <cell r="A450" t="str">
            <v>353377-B21</v>
          </cell>
          <cell r="B450" t="str">
            <v xml:space="preserve">HP NC1020 Cu Gigabit Server Adapter 32 PCI Single Port </v>
          </cell>
          <cell r="C450" t="str">
            <v>ML330, ML350, ML370, DL360, DL380
(174830-B21 대체)</v>
          </cell>
          <cell r="D450">
            <v>281000</v>
          </cell>
        </row>
        <row r="451">
          <cell r="A451" t="str">
            <v>367132-B21</v>
          </cell>
          <cell r="B451" t="str">
            <v>NC150T PCI 4Port Gig/Switch Adptr ALL</v>
          </cell>
          <cell r="C451" t="str">
            <v xml:space="preserve">100 / 300 </v>
          </cell>
          <cell r="D451">
            <v>580000</v>
          </cell>
        </row>
        <row r="452">
          <cell r="A452" t="str">
            <v>368169-B21</v>
          </cell>
          <cell r="B452" t="str">
            <v>NC 310F PCI-X Gig Server NIC</v>
          </cell>
          <cell r="C452" t="str">
            <v>G4 compatible</v>
          </cell>
          <cell r="D452">
            <v>2150000</v>
          </cell>
        </row>
        <row r="453">
          <cell r="A453" t="str">
            <v>367047-B21</v>
          </cell>
          <cell r="B453" t="str">
            <v>HP NC320T PCI Express single port Gigabit Server Adapter</v>
          </cell>
          <cell r="C453" t="str">
            <v>DL145,ML150 G2,ML350 G4,DL360 G4,DL380 G4
DL580 G3</v>
          </cell>
          <cell r="D453">
            <v>590000</v>
          </cell>
        </row>
        <row r="455">
          <cell r="A455" t="str">
            <v>RACK OPTIONS</v>
          </cell>
        </row>
        <row r="456">
          <cell r="A456" t="str">
            <v>Racks</v>
          </cell>
        </row>
        <row r="457">
          <cell r="A457" t="str">
            <v>245160-B21</v>
          </cell>
          <cell r="B457" t="str">
            <v xml:space="preserve">Rack 10647 - 47U 일반포장 Pallet </v>
          </cell>
          <cell r="D457">
            <v>6820000</v>
          </cell>
        </row>
        <row r="458">
          <cell r="A458" t="str">
            <v>245161-B21</v>
          </cell>
          <cell r="B458" t="str">
            <v>Rack 10642 - 42U, 일반 포장 Pallet</v>
          </cell>
          <cell r="D458">
            <v>6240000</v>
          </cell>
        </row>
        <row r="459">
          <cell r="A459" t="str">
            <v>245162-B21</v>
          </cell>
          <cell r="B459" t="str">
            <v>Rack 10636 - 36U 일반 포장 Pallet</v>
          </cell>
          <cell r="D459">
            <v>6120000</v>
          </cell>
        </row>
        <row r="460">
          <cell r="A460" t="str">
            <v>245163-B21</v>
          </cell>
          <cell r="B460" t="str">
            <v>Rack 10622 - 22U, 일반 포장 Pallet</v>
          </cell>
          <cell r="C460" t="str">
            <v>Side Panel 포함</v>
          </cell>
          <cell r="D460">
            <v>6080000</v>
          </cell>
        </row>
        <row r="461">
          <cell r="A461" t="str">
            <v>257415-B21</v>
          </cell>
          <cell r="B461" t="str">
            <v>Rack 10842 - 42U 800mm 광폭형 Pallet</v>
          </cell>
          <cell r="D461">
            <v>8900000</v>
          </cell>
        </row>
        <row r="462">
          <cell r="B462" t="str">
            <v>* Wider Version of 245161-B21</v>
          </cell>
        </row>
        <row r="464">
          <cell r="A464" t="str">
            <v>Universal Rack Accessories</v>
          </cell>
        </row>
        <row r="465">
          <cell r="A465" t="str">
            <v>255486-B21</v>
          </cell>
          <cell r="B465" t="str">
            <v>Side Panel 47U 10000 Series</v>
          </cell>
          <cell r="C465" t="str">
            <v>Rack 10000 Series</v>
          </cell>
          <cell r="D465">
            <v>2142920</v>
          </cell>
        </row>
        <row r="466">
          <cell r="A466" t="str">
            <v>246099-B21</v>
          </cell>
          <cell r="B466" t="str">
            <v>Side Panel 42U 10000 Series</v>
          </cell>
          <cell r="C466" t="str">
            <v>Rack 10000 Series</v>
          </cell>
          <cell r="D466">
            <v>1608100</v>
          </cell>
        </row>
        <row r="467">
          <cell r="A467" t="str">
            <v>246102-B21</v>
          </cell>
          <cell r="B467" t="str">
            <v>Side Panel 36U 10000 Series</v>
          </cell>
          <cell r="C467" t="str">
            <v>Rack 10000 Series</v>
          </cell>
          <cell r="D467">
            <v>1625000</v>
          </cell>
        </row>
        <row r="468">
          <cell r="A468" t="str">
            <v>120672-B21</v>
          </cell>
          <cell r="B468" t="str">
            <v>Ballast Kit (used primarily in CTO environment)</v>
          </cell>
          <cell r="C468" t="str">
            <v>Rack 9000 Series</v>
          </cell>
          <cell r="D468">
            <v>1947400</v>
          </cell>
        </row>
        <row r="469">
          <cell r="A469" t="str">
            <v>255488-B21</v>
          </cell>
          <cell r="B469" t="str">
            <v>800mm Stabilizer Option Kit</v>
          </cell>
          <cell r="C469" t="str">
            <v>10842 Rack</v>
          </cell>
          <cell r="D469">
            <v>991900</v>
          </cell>
        </row>
        <row r="470">
          <cell r="A470" t="str">
            <v>246107-B21</v>
          </cell>
          <cell r="B470" t="str">
            <v>600mm Stabilizer Option Kit for 10000 Series</v>
          </cell>
          <cell r="C470" t="str">
            <v>Rack 10000 Series</v>
          </cell>
          <cell r="D470">
            <v>815100</v>
          </cell>
        </row>
        <row r="471">
          <cell r="A471" t="str">
            <v>260457-B21</v>
          </cell>
          <cell r="B471" t="str">
            <v>Grounding Option Kit (9000/10000)</v>
          </cell>
          <cell r="C471" t="str">
            <v>All</v>
          </cell>
          <cell r="D471">
            <v>244400</v>
          </cell>
        </row>
        <row r="472">
          <cell r="A472" t="str">
            <v>257413-B21</v>
          </cell>
          <cell r="B472" t="str">
            <v>Fan Kit 110VAC for R10000</v>
          </cell>
          <cell r="C472" t="str">
            <v>Rack 10000 Series</v>
          </cell>
          <cell r="D472">
            <v>1578200</v>
          </cell>
        </row>
        <row r="473">
          <cell r="A473" t="str">
            <v>257414-B21</v>
          </cell>
          <cell r="B473" t="str">
            <v>Fan Kit 220VAC for R10000</v>
          </cell>
          <cell r="C473" t="str">
            <v>Rack 10000 Series</v>
          </cell>
          <cell r="D473">
            <v>1578200</v>
          </cell>
        </row>
        <row r="474">
          <cell r="A474" t="str">
            <v>253214-B21</v>
          </cell>
          <cell r="B474" t="str">
            <v>Rack Blanking Panel Kit for 10000 Series (10 * 1U panel)</v>
          </cell>
          <cell r="C474" t="str">
            <v>Rack 10000 Series</v>
          </cell>
          <cell r="D474">
            <v>403000</v>
          </cell>
        </row>
        <row r="475">
          <cell r="A475" t="str">
            <v>253214-B22</v>
          </cell>
          <cell r="B475" t="str">
            <v>Rack Blanking Panel Kit for 10000 Series (10 * 2U panel)</v>
          </cell>
          <cell r="C475" t="str">
            <v>Rack 10000 Series</v>
          </cell>
          <cell r="D475">
            <v>324000</v>
          </cell>
        </row>
        <row r="476">
          <cell r="A476" t="str">
            <v>253214-B23</v>
          </cell>
          <cell r="B476" t="str">
            <v>Rack Blanking Panel Kit for 10000 Series (10 * 3U panel)</v>
          </cell>
          <cell r="C476" t="str">
            <v>Rack 10000 Series</v>
          </cell>
          <cell r="D476">
            <v>382000</v>
          </cell>
        </row>
        <row r="477">
          <cell r="A477" t="str">
            <v>253214-B24</v>
          </cell>
          <cell r="B477" t="str">
            <v>Rack Blanking Panel Kit for 10000 Series (10 * 4U panel)</v>
          </cell>
          <cell r="C477" t="str">
            <v>Rack 10000 Series</v>
          </cell>
          <cell r="D477">
            <v>480000</v>
          </cell>
        </row>
        <row r="478">
          <cell r="A478" t="str">
            <v>253214-B25</v>
          </cell>
          <cell r="B478" t="str">
            <v>Rack Blanking Panel Kit for 10000 Series (10 * 5U panel)</v>
          </cell>
          <cell r="C478" t="str">
            <v>Rack 10000 Series</v>
          </cell>
          <cell r="D478">
            <v>629200</v>
          </cell>
        </row>
        <row r="479">
          <cell r="A479" t="str">
            <v>253214-B26</v>
          </cell>
          <cell r="B479" t="str">
            <v>Rack Blanking Panel Kit for 10000 Series 
(one each of a 1U, 2U, 4U, 8U panel)</v>
          </cell>
          <cell r="C479" t="str">
            <v>Rack 10000 Series</v>
          </cell>
          <cell r="D479">
            <v>205400</v>
          </cell>
        </row>
        <row r="480">
          <cell r="A480" t="str">
            <v>332558-B21</v>
          </cell>
          <cell r="B480" t="str">
            <v>Adjustable Rail Assemblies</v>
          </cell>
          <cell r="C480" t="str">
            <v>All Rack Mount Components</v>
          </cell>
          <cell r="D480">
            <v>174000</v>
          </cell>
        </row>
        <row r="481">
          <cell r="A481" t="str">
            <v>234672-B21</v>
          </cell>
          <cell r="B481" t="str">
            <v>100KG Sliding Shelf Kit</v>
          </cell>
          <cell r="D481">
            <v>1080000</v>
          </cell>
        </row>
        <row r="482">
          <cell r="A482" t="str">
            <v>248929-B21</v>
          </cell>
          <cell r="B482" t="str">
            <v>Baying Kit  10000 Series</v>
          </cell>
          <cell r="C482" t="str">
            <v>Rack 10000 Series</v>
          </cell>
          <cell r="D482">
            <v>238000</v>
          </cell>
        </row>
        <row r="483">
          <cell r="A483" t="str">
            <v>248931-B21</v>
          </cell>
          <cell r="B483" t="str">
            <v>9000/10000 Offset Baying Kit</v>
          </cell>
          <cell r="C483" t="str">
            <v>All</v>
          </cell>
          <cell r="D483">
            <v>684000</v>
          </cell>
        </row>
        <row r="486">
          <cell r="A486" t="str">
            <v>Monitor Options</v>
          </cell>
        </row>
        <row r="487">
          <cell r="A487" t="str">
            <v>221546-B31</v>
          </cell>
          <cell r="B487" t="str">
            <v>TFT5600RKM Integrated Keyboard and Monitor</v>
          </cell>
          <cell r="C487" t="str">
            <v>All Racks</v>
          </cell>
          <cell r="D487">
            <v>6976000</v>
          </cell>
        </row>
        <row r="488">
          <cell r="A488" t="str">
            <v>348373-B21</v>
          </cell>
          <cell r="B488" t="str">
            <v>TFT7210R Rack Mounted 17" Monitor</v>
          </cell>
          <cell r="C488" t="str">
            <v>All Racks</v>
          </cell>
          <cell r="D488">
            <v>4620000</v>
          </cell>
        </row>
        <row r="489">
          <cell r="A489" t="str">
            <v>253449-B21</v>
          </cell>
          <cell r="B489" t="str">
            <v>Monitor/Utility Shelf Graphite</v>
          </cell>
          <cell r="C489" t="str">
            <v>All Racks</v>
          </cell>
          <cell r="D489">
            <v>480000</v>
          </cell>
        </row>
        <row r="490">
          <cell r="A490" t="str">
            <v>257054-B31</v>
          </cell>
          <cell r="B490" t="str">
            <v>1U Integrated Keyboard and Drawer</v>
          </cell>
          <cell r="C490" t="str">
            <v>All Racks</v>
          </cell>
          <cell r="D490">
            <v>1397000</v>
          </cell>
        </row>
        <row r="491">
          <cell r="A491" t="str">
            <v>169989-001</v>
          </cell>
          <cell r="B491" t="str">
            <v>Keyboard/Monitor/Mouse extension cables</v>
          </cell>
          <cell r="C491" t="str">
            <v>All Racks</v>
          </cell>
          <cell r="D491">
            <v>140000</v>
          </cell>
        </row>
        <row r="492">
          <cell r="A492" t="str">
            <v>287139-B21</v>
          </cell>
          <cell r="B492" t="str">
            <v>Input Device Adjustable Rails</v>
          </cell>
          <cell r="C492" t="str">
            <v>All Racks</v>
          </cell>
          <cell r="D492">
            <v>230000</v>
          </cell>
        </row>
        <row r="493">
          <cell r="B493" t="str">
            <v>*257054-B31, 281683-B21, 221546-B31 3rd Party Rack에 탑재시 필요</v>
          </cell>
        </row>
        <row r="494">
          <cell r="A494" t="str">
            <v>287138-B21</v>
          </cell>
          <cell r="B494" t="str">
            <v>Input Device Telco Rails</v>
          </cell>
          <cell r="C494" t="str">
            <v>All Racks</v>
          </cell>
          <cell r="D494">
            <v>280000</v>
          </cell>
        </row>
        <row r="495">
          <cell r="B495" t="str">
            <v>*257054-B31, 281683-B21, 221546-B31 Telco Rack에 탑재시 필요</v>
          </cell>
        </row>
        <row r="497">
          <cell r="A497" t="str">
            <v>Power Distribution Units</v>
          </cell>
        </row>
        <row r="498">
          <cell r="A498" t="str">
            <v>142257-002</v>
          </cell>
          <cell r="B498" t="str">
            <v>PDU Cable Kit</v>
          </cell>
          <cell r="C498" t="str">
            <v>All Racks</v>
          </cell>
          <cell r="D498">
            <v>38000</v>
          </cell>
        </row>
        <row r="499">
          <cell r="A499" t="str">
            <v>252663-B24</v>
          </cell>
          <cell r="B499" t="str">
            <v>16A Model - mPDU, 16A High</v>
          </cell>
          <cell r="C499" t="str">
            <v>Control Unit 입력전원부 : IEC320-C20 (분리 가능)
Extension Bar 코드연결 부분 : C13
Extension Bar : 2개</v>
          </cell>
          <cell r="D499">
            <v>853000</v>
          </cell>
        </row>
        <row r="500">
          <cell r="A500" t="str">
            <v>252663-B31</v>
          </cell>
          <cell r="B500" t="str">
            <v>32A Model - mPDU, 32A, High</v>
          </cell>
          <cell r="C500" t="str">
            <v>Control Unit 입력전원부 : IEC309-32A
Extension Bar 코드연결 부분 : C13
Extension Bar : 4개</v>
          </cell>
          <cell r="D500">
            <v>1420000</v>
          </cell>
        </row>
        <row r="501">
          <cell r="A501" t="str">
            <v>252663-B21</v>
          </cell>
          <cell r="B501" t="str">
            <v>40A Model - mPDU, 40A, High</v>
          </cell>
          <cell r="C501" t="str">
            <v>Control Unit 입력전원부 : Hardwire
Extension Bar 코드연결 부분 : 
 C13(8구 Extension Bar 3개)
 C19(4구 Extension Bar 1개)</v>
          </cell>
          <cell r="D501">
            <v>1410000</v>
          </cell>
        </row>
        <row r="502">
          <cell r="A502" t="str">
            <v>351655-B21</v>
          </cell>
          <cell r="B502" t="str">
            <v xml:space="preserve">Fixed Cord Extension Bars, 100 - 240 VAC </v>
          </cell>
          <cell r="C502" t="str">
            <v xml:space="preserve">2개의 PDU extension bars </v>
          </cell>
          <cell r="D502">
            <v>338000</v>
          </cell>
        </row>
        <row r="503">
          <cell r="A503" t="str">
            <v xml:space="preserve">351655-B31 </v>
          </cell>
          <cell r="B503" t="str">
            <v xml:space="preserve">Fixed Cord PDU
100 - 240 VAC 4 PDU sticks + 32A HV PDU </v>
          </cell>
          <cell r="C503" t="str">
            <v>32A HV PDU - IEC-309 plug</v>
          </cell>
          <cell r="D503">
            <v>1135000</v>
          </cell>
        </row>
        <row r="504">
          <cell r="A504" t="str">
            <v>305340-021</v>
          </cell>
          <cell r="B504" t="str">
            <v>3.6 meters (12-ft), 16A  power cord 25 ea</v>
          </cell>
          <cell r="D504">
            <v>320000</v>
          </cell>
          <cell r="E504" t="str">
            <v>new</v>
          </cell>
        </row>
        <row r="505">
          <cell r="A505" t="str">
            <v>310777-B21</v>
          </cell>
          <cell r="B505" t="str">
            <v>Third Party PDU Mounting Kit</v>
          </cell>
          <cell r="D505">
            <v>164000</v>
          </cell>
        </row>
        <row r="507">
          <cell r="A507" t="str">
            <v>Switch Box</v>
          </cell>
        </row>
        <row r="508">
          <cell r="A508" t="str">
            <v>144007-B33</v>
          </cell>
          <cell r="B508" t="str">
            <v>Switch Box Connector Kit (Opal)</v>
          </cell>
          <cell r="C508" t="str">
            <v>All Racks</v>
          </cell>
          <cell r="D508">
            <v>1080000</v>
          </cell>
        </row>
        <row r="509">
          <cell r="A509" t="str">
            <v>262585-B21</v>
          </cell>
          <cell r="B509" t="str">
            <v>IP Console Switch 1x1x16 port (1 remote user and 1 local user)</v>
          </cell>
          <cell r="C509" t="str">
            <v>All Racks</v>
          </cell>
          <cell r="D509">
            <v>12400000</v>
          </cell>
        </row>
        <row r="510">
          <cell r="A510" t="str">
            <v>262586-B21</v>
          </cell>
          <cell r="B510" t="str">
            <v>IP Console Switch 3x1x16 port (3 remote users and 1 local user)</v>
          </cell>
          <cell r="C510" t="str">
            <v>All Racks</v>
          </cell>
          <cell r="D510">
            <v>17200000</v>
          </cell>
        </row>
        <row r="511">
          <cell r="A511" t="str">
            <v>262587-B21</v>
          </cell>
          <cell r="B511" t="str">
            <v>IP Console Switch Interface adapter (8 pack)</v>
          </cell>
          <cell r="C511" t="str">
            <v>All Racks</v>
          </cell>
          <cell r="D511">
            <v>2508000</v>
          </cell>
        </row>
        <row r="512">
          <cell r="A512" t="str">
            <v>262588-B21</v>
          </cell>
          <cell r="B512" t="str">
            <v>IP Console Switch Interface adapter (single pack)</v>
          </cell>
          <cell r="C512" t="str">
            <v>All Racks</v>
          </cell>
          <cell r="D512">
            <v>349000</v>
          </cell>
        </row>
        <row r="513">
          <cell r="A513" t="str">
            <v>262589-B21</v>
          </cell>
          <cell r="B513" t="str">
            <v>IP Console Switch Expansion module</v>
          </cell>
          <cell r="C513" t="str">
            <v>All Racks</v>
          </cell>
          <cell r="D513">
            <v>677000</v>
          </cell>
        </row>
        <row r="514">
          <cell r="A514" t="str">
            <v>336044-B21</v>
          </cell>
          <cell r="B514" t="str">
            <v>1x8-Port KVM Server Console Switch</v>
          </cell>
          <cell r="C514" t="str">
            <v>All Racks(400337-B31 대체 제품)</v>
          </cell>
          <cell r="D514">
            <v>4200000</v>
          </cell>
        </row>
        <row r="515">
          <cell r="A515" t="str">
            <v>336045-B21</v>
          </cell>
          <cell r="B515" t="str">
            <v>2x16-Port KVM Sever Console Switch</v>
          </cell>
          <cell r="C515" t="str">
            <v>All Racks</v>
          </cell>
          <cell r="D515">
            <v>4860000</v>
          </cell>
        </row>
        <row r="516">
          <cell r="A516" t="str">
            <v>336047-B21</v>
          </cell>
          <cell r="B516" t="str">
            <v>KVM USB Console Interface Adapter – 1 pack</v>
          </cell>
          <cell r="C516" t="str">
            <v>All Racks</v>
          </cell>
          <cell r="D516">
            <v>359000</v>
          </cell>
        </row>
        <row r="517">
          <cell r="A517" t="str">
            <v>371302-B21</v>
          </cell>
          <cell r="B517" t="str">
            <v>1x4 USB/PS2 KVM Switch-Rack Mt</v>
          </cell>
          <cell r="C517" t="str">
            <v>All Racks</v>
          </cell>
          <cell r="D517">
            <v>920000</v>
          </cell>
        </row>
        <row r="518">
          <cell r="A518" t="str">
            <v>371729-B21</v>
          </cell>
          <cell r="B518" t="str">
            <v>KVM USB Cbl w/audio 6ft 2ea</v>
          </cell>
          <cell r="C518" t="str">
            <v>All Racks</v>
          </cell>
          <cell r="D518">
            <v>140000</v>
          </cell>
        </row>
        <row r="519">
          <cell r="A519" t="str">
            <v>371730-B21</v>
          </cell>
          <cell r="B519" t="str">
            <v>KVM PS2 Cbl w/audio 6ft 2ea</v>
          </cell>
          <cell r="C519" t="str">
            <v>All Racks</v>
          </cell>
          <cell r="D519">
            <v>140000</v>
          </cell>
        </row>
        <row r="521">
          <cell r="A521" t="str">
            <v>Rack Cables &amp; Cable Management</v>
          </cell>
        </row>
        <row r="522">
          <cell r="A522" t="str">
            <v>263474-B21</v>
          </cell>
          <cell r="B522" t="str">
            <v>CAT5 UTP Cables 3ft (4/pack)</v>
          </cell>
          <cell r="C522" t="str">
            <v>IP Console Switch</v>
          </cell>
          <cell r="D522">
            <v>48000</v>
          </cell>
        </row>
        <row r="523">
          <cell r="B523" t="str">
            <v>Unshielded Category 5 cables with RJ45 connectors</v>
          </cell>
        </row>
        <row r="524">
          <cell r="A524" t="str">
            <v>263474-B22</v>
          </cell>
          <cell r="B524" t="str">
            <v>CAT5 UTP Cables 6ft (8/pack)</v>
          </cell>
          <cell r="C524" t="str">
            <v>IP Console Switch</v>
          </cell>
          <cell r="D524">
            <v>111000</v>
          </cell>
        </row>
        <row r="525">
          <cell r="B525" t="str">
            <v>Unshielded Category 5 cables with RJ45 connectors</v>
          </cell>
        </row>
        <row r="526">
          <cell r="A526" t="str">
            <v>263474-B23</v>
          </cell>
          <cell r="B526" t="str">
            <v>CAT5 UTP Cables 12ft (8/pack)</v>
          </cell>
          <cell r="C526" t="str">
            <v>IP Console Switch</v>
          </cell>
          <cell r="D526">
            <v>125000</v>
          </cell>
        </row>
        <row r="527">
          <cell r="B527" t="str">
            <v>Unshielded Category 5 cables with RJ45 connectors</v>
          </cell>
        </row>
        <row r="528">
          <cell r="A528" t="str">
            <v>263474-B24</v>
          </cell>
          <cell r="B528" t="str">
            <v>CAT5 UTP Cables 20ft (4/pack)</v>
          </cell>
          <cell r="C528" t="str">
            <v>IP Console Switch</v>
          </cell>
          <cell r="D528">
            <v>85000</v>
          </cell>
        </row>
        <row r="529">
          <cell r="B529" t="str">
            <v>Unshielded Category 5 cables with RJ45 connectors</v>
          </cell>
        </row>
        <row r="530">
          <cell r="A530" t="str">
            <v>263474-B25</v>
          </cell>
          <cell r="B530" t="str">
            <v>CAT5 UTP Cables 40ft (1/pack)</v>
          </cell>
          <cell r="C530" t="str">
            <v>IP Console Switch</v>
          </cell>
          <cell r="D530">
            <v>41000</v>
          </cell>
        </row>
        <row r="531">
          <cell r="B531" t="str">
            <v>Unshielded Category 5 cables with RJ45 connectors</v>
          </cell>
        </row>
        <row r="532">
          <cell r="A532" t="str">
            <v>110936-B24</v>
          </cell>
          <cell r="B532" t="str">
            <v>CPU to Switch Cable (3 ft)</v>
          </cell>
          <cell r="C532" t="str">
            <v>All Racks</v>
          </cell>
          <cell r="D532">
            <v>112000</v>
          </cell>
        </row>
        <row r="533">
          <cell r="A533" t="str">
            <v>110936-B25</v>
          </cell>
          <cell r="B533" t="str">
            <v>CPU to Switch Cable (6 ft)</v>
          </cell>
          <cell r="C533" t="str">
            <v>All Racks</v>
          </cell>
          <cell r="D533">
            <v>126000</v>
          </cell>
        </row>
        <row r="534">
          <cell r="A534" t="str">
            <v>110936-B21</v>
          </cell>
          <cell r="B534" t="str">
            <v>CPU to Switch Cable (12 ft)</v>
          </cell>
          <cell r="C534" t="str">
            <v>All Racks</v>
          </cell>
          <cell r="D534">
            <v>205000</v>
          </cell>
        </row>
        <row r="535">
          <cell r="A535" t="str">
            <v>168233-B21</v>
          </cell>
          <cell r="B535" t="str">
            <v>Cable Management D Rings</v>
          </cell>
          <cell r="C535" t="str">
            <v>Rack 9000/10000 Series</v>
          </cell>
          <cell r="D535">
            <v>85000</v>
          </cell>
        </row>
        <row r="536">
          <cell r="A536" t="str">
            <v>292407-B21</v>
          </cell>
          <cell r="B536" t="str">
            <v xml:space="preserve">Netelligent Cable Management Kit </v>
          </cell>
          <cell r="C536" t="str">
            <v>All Racks</v>
          </cell>
          <cell r="D536">
            <v>640000</v>
          </cell>
        </row>
        <row r="539">
          <cell r="A539" t="str">
            <v>High Availability Clustering Options</v>
          </cell>
        </row>
        <row r="540">
          <cell r="A540" t="str">
            <v>ProLiant Clusters for Microsoft Windows</v>
          </cell>
        </row>
        <row r="541">
          <cell r="A541" t="str">
            <v>364023-B21</v>
          </cell>
          <cell r="B541" t="str">
            <v xml:space="preserve">ProLiant Cluster Starter Kit              </v>
          </cell>
          <cell r="C541" t="str">
            <v>309816-B24, 313047-B23, 252408-B24 대체</v>
          </cell>
          <cell r="D541">
            <v>568000</v>
          </cell>
        </row>
        <row r="542">
          <cell r="A542" t="str">
            <v>364024-B21</v>
          </cell>
          <cell r="B542" t="str">
            <v xml:space="preserve">Proliant Cluster HA/F500 for the Enterprise SAN    </v>
          </cell>
          <cell r="C542" t="str">
            <v xml:space="preserve">254623-B24, 306791-B22, 379937-B27, 164227-B25 대체, </v>
          </cell>
          <cell r="D542">
            <v>13778000</v>
          </cell>
        </row>
        <row r="543">
          <cell r="A543" t="str">
            <v>364025-B21</v>
          </cell>
          <cell r="B543" t="str">
            <v xml:space="preserve">ProLiant Cluster Kit with Open View Mirroring          </v>
          </cell>
          <cell r="C543" t="str">
            <v xml:space="preserve">EVA3000/5000, MSA1000, RA4100 </v>
          </cell>
          <cell r="D543">
            <v>14262000</v>
          </cell>
        </row>
        <row r="544">
          <cell r="A544" t="str">
            <v>364026-B21</v>
          </cell>
          <cell r="B544" t="str">
            <v xml:space="preserve">ProLiant Cluster HA/F200 for the Entry Level SAN  </v>
          </cell>
          <cell r="C544" t="str">
            <v>380357-B24, 252409-B24 대체, RA4100, MSA1000</v>
          </cell>
          <cell r="D544">
            <v>7730000</v>
          </cell>
        </row>
        <row r="548">
          <cell r="A548" t="str">
            <v>ProLiant Essential Software</v>
          </cell>
        </row>
        <row r="549">
          <cell r="A549" t="str">
            <v>ProLiant Essentials Value Pack</v>
          </cell>
        </row>
        <row r="550">
          <cell r="A550" t="str">
            <v>267196-B21</v>
          </cell>
          <cell r="B550" t="str">
            <v>Rapid Deployment Pack Software  1user</v>
          </cell>
          <cell r="D550">
            <v>305000</v>
          </cell>
        </row>
        <row r="551">
          <cell r="A551" t="str">
            <v>269817-B21</v>
          </cell>
          <cell r="B551" t="str">
            <v xml:space="preserve">Rapid Deployment Pack 10user </v>
          </cell>
          <cell r="D551">
            <v>3017000</v>
          </cell>
        </row>
        <row r="552">
          <cell r="A552" t="str">
            <v>302127-B21</v>
          </cell>
          <cell r="B552" t="str">
            <v>Rapid Deployment Pack - Flexible Quantity License Kit</v>
          </cell>
          <cell r="D552">
            <v>305000</v>
          </cell>
        </row>
        <row r="553">
          <cell r="A553" t="str">
            <v>263825-B21</v>
          </cell>
          <cell r="B553" t="str">
            <v>Integrated Lights-Out Advance Pack - 1 License</v>
          </cell>
          <cell r="C553" t="str">
            <v>DL360G2, DL360G3, ML370G3, DL380G3, DL380G3 Packaged Cluster, DL560, DL580G2, DL740</v>
          </cell>
          <cell r="D553">
            <v>1015000</v>
          </cell>
        </row>
        <row r="554">
          <cell r="A554" t="str">
            <v>302280-B21</v>
          </cell>
          <cell r="B554" t="str">
            <v>Integrated Lights-Out Advance Pack 
- Flexible Quantity License Kit</v>
          </cell>
          <cell r="C554" t="str">
            <v>DL360G2, DL360G3, ML370G3, DL380G3, DL380G3 Packaged Cluster, DL560, DL580G2, DL740</v>
          </cell>
          <cell r="D554">
            <v>1015000</v>
          </cell>
        </row>
        <row r="555">
          <cell r="A555" t="str">
            <v>303284-B21</v>
          </cell>
          <cell r="B555" t="str">
            <v xml:space="preserve">Workload Management Pack v2.0 - 1 License </v>
          </cell>
          <cell r="C555" t="str">
            <v>See Each SVR Spec</v>
          </cell>
          <cell r="D555">
            <v>1279000</v>
          </cell>
        </row>
        <row r="556">
          <cell r="A556" t="str">
            <v>294744-B21</v>
          </cell>
          <cell r="B556" t="str">
            <v xml:space="preserve">Workload Management Pack v2.0 - Flexible Quantity License Kit </v>
          </cell>
          <cell r="D556">
            <v>1279000</v>
          </cell>
        </row>
        <row r="557">
          <cell r="A557" t="str">
            <v>306696-B21</v>
          </cell>
          <cell r="B557" t="str">
            <v>Performance Management Pack - 1 License</v>
          </cell>
          <cell r="C557" t="str">
            <v>See Each SVR Spec</v>
          </cell>
          <cell r="D557">
            <v>238000</v>
          </cell>
        </row>
        <row r="558">
          <cell r="A558" t="str">
            <v>306697-B21</v>
          </cell>
          <cell r="B558" t="str">
            <v>Performance Management Pack - Flexible Quantity License Kit</v>
          </cell>
          <cell r="D558">
            <v>238000</v>
          </cell>
        </row>
        <row r="559">
          <cell r="A559" t="str">
            <v>372906-B21</v>
          </cell>
          <cell r="B559" t="str">
            <v>Intelligent Networking Pack-1 License</v>
          </cell>
          <cell r="C559" t="str">
            <v>See Each SVR Spec</v>
          </cell>
          <cell r="D559">
            <v>278000</v>
          </cell>
        </row>
        <row r="560">
          <cell r="A560" t="str">
            <v>372950-B21</v>
          </cell>
          <cell r="B560" t="str">
            <v>Intelligent Networking Pack - Flexible License</v>
          </cell>
          <cell r="D560">
            <v>278000</v>
          </cell>
        </row>
        <row r="562">
          <cell r="A562" t="str">
            <v>VMWARE</v>
          </cell>
        </row>
        <row r="563">
          <cell r="A563" t="str">
            <v>370666-B21</v>
          </cell>
          <cell r="B563" t="str">
            <v>VMware GSX LX 2P License Software</v>
          </cell>
          <cell r="D563">
            <v>11541000</v>
          </cell>
        </row>
        <row r="564">
          <cell r="A564" t="str">
            <v>370665-B21</v>
          </cell>
          <cell r="B564" t="str">
            <v xml:space="preserve">VMware GSX WIN 2P License Software </v>
          </cell>
          <cell r="D564">
            <v>11541000</v>
          </cell>
        </row>
        <row r="565">
          <cell r="A565" t="str">
            <v>370598-B21</v>
          </cell>
          <cell r="B565" t="str">
            <v xml:space="preserve">VMware ESX 2P License Software </v>
          </cell>
          <cell r="D565">
            <v>17511000</v>
          </cell>
        </row>
        <row r="566">
          <cell r="A566" t="str">
            <v>370600-B21</v>
          </cell>
          <cell r="B566" t="str">
            <v xml:space="preserve">VMware ESX 4P License Software </v>
          </cell>
          <cell r="D566">
            <v>35022000</v>
          </cell>
        </row>
        <row r="567">
          <cell r="A567" t="str">
            <v>370602-B21</v>
          </cell>
          <cell r="B567" t="str">
            <v xml:space="preserve">VMware ESX 8P License Software </v>
          </cell>
          <cell r="D567">
            <v>70044000</v>
          </cell>
        </row>
        <row r="568">
          <cell r="A568" t="str">
            <v>370604-B21</v>
          </cell>
          <cell r="B568" t="str">
            <v xml:space="preserve">VMware SMP ESX 2P License Software </v>
          </cell>
          <cell r="D568">
            <v>5870000</v>
          </cell>
        </row>
        <row r="569">
          <cell r="A569" t="str">
            <v>370606-B21</v>
          </cell>
          <cell r="B569" t="str">
            <v xml:space="preserve">VMware SMP ESX 4P License Software </v>
          </cell>
          <cell r="D569">
            <v>11740000</v>
          </cell>
        </row>
        <row r="570">
          <cell r="A570" t="str">
            <v>370609-B21</v>
          </cell>
          <cell r="B570" t="str">
            <v xml:space="preserve">VMware SMP ESX 8P License Software </v>
          </cell>
          <cell r="D570">
            <v>23480000</v>
          </cell>
        </row>
        <row r="571">
          <cell r="A571" t="str">
            <v>370643-B21</v>
          </cell>
          <cell r="B571" t="str">
            <v xml:space="preserve">VMware VC Management SVR License Software </v>
          </cell>
          <cell r="D571">
            <v>23480000</v>
          </cell>
        </row>
        <row r="572">
          <cell r="A572" t="str">
            <v>370645-B21</v>
          </cell>
          <cell r="B572" t="str">
            <v xml:space="preserve">VMware ESX/VC 2P BL License Software </v>
          </cell>
          <cell r="D572">
            <v>16200000</v>
          </cell>
        </row>
        <row r="573">
          <cell r="A573" t="str">
            <v>370646-B21</v>
          </cell>
          <cell r="B573" t="str">
            <v xml:space="preserve">VMware VIN 16P BL License Software </v>
          </cell>
          <cell r="D573">
            <v>151159000</v>
          </cell>
        </row>
        <row r="574">
          <cell r="A574" t="str">
            <v>366714-B21</v>
          </cell>
          <cell r="B574" t="str">
            <v>VMware VIN 2P SUP License Software</v>
          </cell>
          <cell r="D574">
            <v>23480000</v>
          </cell>
        </row>
        <row r="575">
          <cell r="A575" t="str">
            <v>366714-B22</v>
          </cell>
          <cell r="B575" t="str">
            <v>VMware VIN 4P SUP License Software</v>
          </cell>
          <cell r="D575">
            <v>46960000</v>
          </cell>
        </row>
        <row r="576">
          <cell r="A576" t="str">
            <v>366714-B23</v>
          </cell>
          <cell r="B576" t="str">
            <v>VMware VIN 8P License Software</v>
          </cell>
          <cell r="D576">
            <v>93920000</v>
          </cell>
        </row>
        <row r="577">
          <cell r="A577" t="str">
            <v>Server Options</v>
          </cell>
        </row>
        <row r="578">
          <cell r="A578" t="str">
            <v>Server Modular Smart Array Products</v>
          </cell>
        </row>
        <row r="579">
          <cell r="A579" t="str">
            <v>A7450A</v>
          </cell>
          <cell r="B579" t="str">
            <v>HP MSA1000 Small Business SAN Kit</v>
          </cell>
          <cell r="C579" t="str">
            <v>1Y</v>
          </cell>
          <cell r="D579">
            <v>54470392</v>
          </cell>
          <cell r="E579">
            <v>0</v>
          </cell>
        </row>
        <row r="580">
          <cell r="A580" t="str">
            <v>A7452A</v>
          </cell>
          <cell r="B580" t="str">
            <v>HP MSA1000 Small Business HA Upgrade Kit</v>
          </cell>
          <cell r="C580" t="str">
            <v>1Y</v>
          </cell>
          <cell r="D580">
            <v>40851432</v>
          </cell>
          <cell r="E580">
            <v>0</v>
          </cell>
        </row>
        <row r="581">
          <cell r="A581" t="str">
            <v>A7523A</v>
          </cell>
          <cell r="B581" t="str">
            <v>HP Q200 Fibre Channel HBA</v>
          </cell>
          <cell r="C581" t="str">
            <v>LL</v>
          </cell>
          <cell r="D581">
            <v>3832312</v>
          </cell>
          <cell r="E581">
            <v>0</v>
          </cell>
        </row>
        <row r="583">
          <cell r="A583" t="str">
            <v>StorageWorks - Tape Drives &amp; Entry Autoloader</v>
          </cell>
        </row>
        <row r="584">
          <cell r="A584" t="str">
            <v>Rack products</v>
          </cell>
        </row>
        <row r="585">
          <cell r="A585" t="str">
            <v>254795-001</v>
          </cell>
          <cell r="B585" t="str">
            <v>Alpha Rack Rails for TA III</v>
          </cell>
          <cell r="C585" t="str">
            <v>3C</v>
          </cell>
          <cell r="D585">
            <v>208000</v>
          </cell>
          <cell r="E585">
            <v>0</v>
          </cell>
        </row>
        <row r="586">
          <cell r="A586" t="str">
            <v>274338-B21</v>
          </cell>
          <cell r="B586" t="str">
            <v>HP 3U Rack-Mount Kit</v>
          </cell>
          <cell r="C586" t="str">
            <v>3C</v>
          </cell>
          <cell r="D586">
            <v>2474000</v>
          </cell>
          <cell r="E586">
            <v>0</v>
          </cell>
        </row>
        <row r="587">
          <cell r="A587" t="str">
            <v>274339-B21</v>
          </cell>
          <cell r="B587" t="str">
            <v>HP 5U Rack-Mount Kit</v>
          </cell>
          <cell r="C587" t="str">
            <v>3C</v>
          </cell>
          <cell r="D587">
            <v>5901000</v>
          </cell>
          <cell r="E587">
            <v>0</v>
          </cell>
        </row>
        <row r="588">
          <cell r="A588" t="str">
            <v>280571-001</v>
          </cell>
          <cell r="B588" t="str">
            <v>Alpha Rail Kit for 3U RM</v>
          </cell>
          <cell r="C588" t="str">
            <v>3C</v>
          </cell>
          <cell r="D588">
            <v>211000</v>
          </cell>
          <cell r="E588">
            <v>0</v>
          </cell>
        </row>
        <row r="589">
          <cell r="A589" t="str">
            <v>350544-B21</v>
          </cell>
          <cell r="B589" t="str">
            <v>HP Ultrium 215 3U Rack (1 drv)</v>
          </cell>
          <cell r="C589" t="str">
            <v>3C</v>
          </cell>
          <cell r="D589">
            <v>13185402</v>
          </cell>
          <cell r="E589">
            <v>0</v>
          </cell>
        </row>
        <row r="590">
          <cell r="A590" t="str">
            <v>350545-B21</v>
          </cell>
          <cell r="B590" t="str">
            <v>HP Ultrium 230 3U Rack (1 drv)</v>
          </cell>
          <cell r="C590" t="str">
            <v>3C</v>
          </cell>
          <cell r="D590">
            <v>19536281</v>
          </cell>
          <cell r="E590">
            <v>0</v>
          </cell>
        </row>
        <row r="591">
          <cell r="A591" t="str">
            <v>350546-B21</v>
          </cell>
          <cell r="B591" t="str">
            <v>HP Ultrium 460 3U Rack (1 drv)</v>
          </cell>
          <cell r="C591" t="str">
            <v>3C</v>
          </cell>
          <cell r="D591">
            <v>26864218</v>
          </cell>
          <cell r="E591">
            <v>0</v>
          </cell>
        </row>
        <row r="592">
          <cell r="A592" t="str">
            <v>C7470B</v>
          </cell>
          <cell r="B592" t="str">
            <v>HP Ultrium 230 Array Module</v>
          </cell>
          <cell r="C592" t="str">
            <v>3C</v>
          </cell>
          <cell r="D592">
            <v>18961171</v>
          </cell>
          <cell r="E592">
            <v>0</v>
          </cell>
        </row>
        <row r="593">
          <cell r="A593" t="str">
            <v>C7492B</v>
          </cell>
          <cell r="B593" t="str">
            <v>HP Ultrium 215 Array Module</v>
          </cell>
          <cell r="C593" t="str">
            <v>3C</v>
          </cell>
          <cell r="D593">
            <v>12152851</v>
          </cell>
          <cell r="E593">
            <v>0</v>
          </cell>
        </row>
        <row r="594">
          <cell r="A594" t="str">
            <v>C7496A</v>
          </cell>
          <cell r="B594" t="str">
            <v>PSU/Fan Kit for Tape Array 5300</v>
          </cell>
          <cell r="C594" t="str">
            <v>3C</v>
          </cell>
          <cell r="D594">
            <v>1551324</v>
          </cell>
          <cell r="E594">
            <v>0</v>
          </cell>
        </row>
        <row r="595">
          <cell r="A595" t="str">
            <v>C7497B</v>
          </cell>
          <cell r="B595" t="str">
            <v>HP DAT 40 Array Module</v>
          </cell>
          <cell r="C595" t="str">
            <v>3C</v>
          </cell>
          <cell r="D595">
            <v>5101377</v>
          </cell>
          <cell r="E595">
            <v>0</v>
          </cell>
        </row>
        <row r="596">
          <cell r="A596" t="str">
            <v>C7498A</v>
          </cell>
          <cell r="B596" t="str">
            <v>HP DAT 24 Array Module (flint)</v>
          </cell>
          <cell r="C596" t="str">
            <v>3C</v>
          </cell>
          <cell r="D596">
            <v>4615068</v>
          </cell>
          <cell r="E596">
            <v>0</v>
          </cell>
        </row>
        <row r="597">
          <cell r="A597" t="str">
            <v>C7499B</v>
          </cell>
          <cell r="B597" t="str">
            <v>HP DVD-ROM Array Module</v>
          </cell>
          <cell r="C597" t="str">
            <v>3C</v>
          </cell>
          <cell r="D597">
            <v>2504489</v>
          </cell>
          <cell r="E597">
            <v>0</v>
          </cell>
        </row>
        <row r="598">
          <cell r="A598" t="str">
            <v>C7508A</v>
          </cell>
          <cell r="B598" t="str">
            <v>HP Tape Array 5300</v>
          </cell>
          <cell r="C598" t="str">
            <v>3C</v>
          </cell>
          <cell r="D598">
            <v>3545189</v>
          </cell>
          <cell r="E598">
            <v>0</v>
          </cell>
        </row>
        <row r="599">
          <cell r="A599" t="str">
            <v>C7508AZ</v>
          </cell>
          <cell r="B599" t="str">
            <v>HP Tape Array 5300 (factory-racked)</v>
          </cell>
          <cell r="C599" t="str">
            <v>3C</v>
          </cell>
          <cell r="D599">
            <v>5081924</v>
          </cell>
          <cell r="E599">
            <v>0</v>
          </cell>
        </row>
        <row r="600">
          <cell r="A600" t="str">
            <v>Q1524B</v>
          </cell>
          <cell r="B600" t="str">
            <v>HP DAT 72 Array Module</v>
          </cell>
          <cell r="C600" t="str">
            <v>3C</v>
          </cell>
          <cell r="D600">
            <v>7095242</v>
          </cell>
          <cell r="E600">
            <v>0</v>
          </cell>
        </row>
        <row r="602">
          <cell r="A602" t="str">
            <v>Trade-Ready</v>
          </cell>
        </row>
        <row r="603">
          <cell r="A603" t="str">
            <v>C1554C</v>
          </cell>
          <cell r="B603" t="str">
            <v>HP DDS-3 Trade-Ready Tape Drive</v>
          </cell>
          <cell r="C603" t="str">
            <v>3C</v>
          </cell>
          <cell r="D603">
            <v>2298308</v>
          </cell>
          <cell r="E603">
            <v>0</v>
          </cell>
        </row>
        <row r="604">
          <cell r="A604" t="str">
            <v>C5685C</v>
          </cell>
          <cell r="B604" t="str">
            <v>HP DDS-4 Trade-Ready Tape Drive</v>
          </cell>
          <cell r="C604" t="str">
            <v>3C</v>
          </cell>
          <cell r="D604">
            <v>2394237</v>
          </cell>
          <cell r="E604">
            <v>0</v>
          </cell>
        </row>
        <row r="605">
          <cell r="A605" t="str">
            <v>Q1526A</v>
          </cell>
          <cell r="B605" t="str">
            <v>HP Trade-Ready DAT 72 Tape Drive</v>
          </cell>
          <cell r="C605" t="str">
            <v>3C</v>
          </cell>
          <cell r="D605">
            <v>3457454</v>
          </cell>
          <cell r="E605">
            <v>0</v>
          </cell>
        </row>
        <row r="607">
          <cell r="A607" t="str">
            <v>Ultrium LTO Tape Drives</v>
          </cell>
        </row>
        <row r="608">
          <cell r="A608" t="str">
            <v>A7444A</v>
          </cell>
          <cell r="B608" t="str">
            <v>HP Ultrium 215 1U Rack-mount</v>
          </cell>
          <cell r="C608" t="str">
            <v>3C</v>
          </cell>
          <cell r="D608">
            <v>11226400</v>
          </cell>
          <cell r="E608">
            <v>0</v>
          </cell>
        </row>
        <row r="609">
          <cell r="A609" t="str">
            <v>Q1512B</v>
          </cell>
          <cell r="B609" t="str">
            <v>HP Ultrium 460 Array Module</v>
          </cell>
          <cell r="C609" t="str">
            <v>3C</v>
          </cell>
          <cell r="D609">
            <v>26742108</v>
          </cell>
          <cell r="E609">
            <v>0</v>
          </cell>
        </row>
        <row r="610">
          <cell r="A610" t="str">
            <v>Q1515A</v>
          </cell>
          <cell r="B610" t="str">
            <v>HP Ultrium 230 Internal Tape Drive</v>
          </cell>
          <cell r="C610" t="str">
            <v>3C</v>
          </cell>
          <cell r="D610">
            <v>17093635</v>
          </cell>
          <cell r="E610">
            <v>0</v>
          </cell>
        </row>
        <row r="611">
          <cell r="A611" t="str">
            <v>Q1517A</v>
          </cell>
          <cell r="B611" t="str">
            <v>HP Ultrium 230 External Tape Drive</v>
          </cell>
          <cell r="C611" t="str">
            <v>3C</v>
          </cell>
          <cell r="D611">
            <v>18559222</v>
          </cell>
          <cell r="E611">
            <v>0</v>
          </cell>
        </row>
        <row r="612">
          <cell r="A612" t="str">
            <v>Q1518A</v>
          </cell>
          <cell r="B612" t="str">
            <v>HP Ultrium 460 Internal Tape Drive</v>
          </cell>
          <cell r="C612" t="str">
            <v>3C</v>
          </cell>
          <cell r="D612">
            <v>24421572</v>
          </cell>
          <cell r="E612">
            <v>0</v>
          </cell>
        </row>
        <row r="613">
          <cell r="A613" t="str">
            <v>Q1520A</v>
          </cell>
          <cell r="B613" t="str">
            <v>HP Ultrium 460 External Tape Drive</v>
          </cell>
          <cell r="C613" t="str">
            <v>3C</v>
          </cell>
          <cell r="D613">
            <v>25887160</v>
          </cell>
          <cell r="E613">
            <v>0</v>
          </cell>
        </row>
        <row r="614">
          <cell r="A614" t="str">
            <v>Q1543A</v>
          </cell>
          <cell r="B614" t="str">
            <v>HP Ultrium 215 Internal Tape Drive</v>
          </cell>
          <cell r="C614" t="str">
            <v>3C</v>
          </cell>
          <cell r="D614">
            <v>10742756</v>
          </cell>
          <cell r="E614">
            <v>0</v>
          </cell>
        </row>
        <row r="615">
          <cell r="A615" t="str">
            <v>Q1545A</v>
          </cell>
          <cell r="B615" t="str">
            <v>HP Ultrium 215 External Tape Drive</v>
          </cell>
          <cell r="C615" t="str">
            <v>3C</v>
          </cell>
          <cell r="D615">
            <v>11964079</v>
          </cell>
          <cell r="E615">
            <v>0</v>
          </cell>
        </row>
        <row r="617">
          <cell r="A617" t="str">
            <v>DAT Tape Drive &amp; Autoloaders</v>
          </cell>
        </row>
        <row r="618">
          <cell r="A618" t="str">
            <v>A7443A</v>
          </cell>
          <cell r="B618" t="str">
            <v>HP DAT 72 1U Rack-mount</v>
          </cell>
          <cell r="C618" t="str">
            <v>3C</v>
          </cell>
          <cell r="D618">
            <v>6341108</v>
          </cell>
          <cell r="E618">
            <v>0</v>
          </cell>
        </row>
        <row r="619">
          <cell r="A619" t="str">
            <v>C1555D</v>
          </cell>
          <cell r="B619" t="str">
            <v>HP DAT 24 Internal Tape Drive</v>
          </cell>
          <cell r="C619" t="str">
            <v>3C</v>
          </cell>
          <cell r="D619">
            <v>3946078</v>
          </cell>
          <cell r="E619">
            <v>0</v>
          </cell>
        </row>
        <row r="620">
          <cell r="A620" t="str">
            <v>C1556D</v>
          </cell>
          <cell r="B620" t="str">
            <v>HP DAT 24 External Tape Drive (flint)</v>
          </cell>
          <cell r="C620" t="str">
            <v>3C</v>
          </cell>
          <cell r="D620">
            <v>4604855</v>
          </cell>
          <cell r="E620">
            <v>0</v>
          </cell>
        </row>
        <row r="621">
          <cell r="A621" t="str">
            <v>C5686B</v>
          </cell>
          <cell r="B621" t="str">
            <v>HP DAT 40 Internal Tape Drive</v>
          </cell>
          <cell r="C621" t="str">
            <v>3C</v>
          </cell>
          <cell r="D621">
            <v>4604855</v>
          </cell>
          <cell r="E621">
            <v>0</v>
          </cell>
        </row>
        <row r="622">
          <cell r="A622" t="str">
            <v>C5687C</v>
          </cell>
          <cell r="B622" t="str">
            <v>HP DAT 40 External Tape Drive</v>
          </cell>
          <cell r="C622" t="str">
            <v>3C</v>
          </cell>
          <cell r="D622">
            <v>6251799</v>
          </cell>
          <cell r="E622">
            <v>0</v>
          </cell>
        </row>
        <row r="623">
          <cell r="A623" t="str">
            <v>Q1522A</v>
          </cell>
          <cell r="B623" t="str">
            <v>HP DAT 72 Internal Tape Drive</v>
          </cell>
          <cell r="C623" t="str">
            <v>3C</v>
          </cell>
          <cell r="D623">
            <v>6581188</v>
          </cell>
          <cell r="E623">
            <v>0</v>
          </cell>
        </row>
        <row r="624">
          <cell r="A624" t="str">
            <v>Q1523A</v>
          </cell>
          <cell r="B624" t="str">
            <v>HP DAT 72 External Tape Drive</v>
          </cell>
          <cell r="C624" t="str">
            <v>3C</v>
          </cell>
          <cell r="D624">
            <v>7898743</v>
          </cell>
          <cell r="E624">
            <v>0</v>
          </cell>
        </row>
        <row r="625">
          <cell r="A625" t="str">
            <v>Q1529A</v>
          </cell>
          <cell r="B625" t="str">
            <v>HP DAT 72 Hot-Plug Tape Drive</v>
          </cell>
          <cell r="C625" t="str">
            <v>3C</v>
          </cell>
          <cell r="D625">
            <v>9875076</v>
          </cell>
          <cell r="E625">
            <v>0</v>
          </cell>
        </row>
        <row r="626">
          <cell r="A626" t="str">
            <v>Q1546A</v>
          </cell>
          <cell r="B626" t="str">
            <v>HP DAT 40 Hot-Plug Tape Drive</v>
          </cell>
          <cell r="C626" t="str">
            <v>3C</v>
          </cell>
          <cell r="D626">
            <v>7898743</v>
          </cell>
          <cell r="E626">
            <v>0</v>
          </cell>
        </row>
        <row r="627">
          <cell r="A627" t="str">
            <v>Q1566A</v>
          </cell>
          <cell r="B627" t="str">
            <v>HP DAT 72x6 Internal Tape Autoloader</v>
          </cell>
          <cell r="C627" t="str">
            <v>3C</v>
          </cell>
          <cell r="D627">
            <v>18439185</v>
          </cell>
          <cell r="E627">
            <v>0</v>
          </cell>
        </row>
        <row r="628">
          <cell r="A628" t="str">
            <v>Q1567A</v>
          </cell>
          <cell r="B628" t="str">
            <v>HP DAT 72x6 External Tape Autoloader</v>
          </cell>
          <cell r="C628" t="str">
            <v>3C</v>
          </cell>
          <cell r="D628">
            <v>19756740</v>
          </cell>
          <cell r="E628">
            <v>0</v>
          </cell>
        </row>
        <row r="630">
          <cell r="A630" t="str">
            <v>DLTVS &amp; SDLT Tape Drive</v>
          </cell>
        </row>
        <row r="631">
          <cell r="A631" t="str">
            <v>257319-001</v>
          </cell>
          <cell r="B631" t="str">
            <v>HP SDLT 320 External Drive NA</v>
          </cell>
          <cell r="C631" t="str">
            <v>3C</v>
          </cell>
          <cell r="D631">
            <v>5056000</v>
          </cell>
          <cell r="E631">
            <v>0</v>
          </cell>
        </row>
        <row r="632">
          <cell r="A632" t="str">
            <v>257319-291</v>
          </cell>
          <cell r="B632" t="str">
            <v>HP SDLT 320 External Drive JPN</v>
          </cell>
          <cell r="C632" t="str">
            <v>3C</v>
          </cell>
          <cell r="D632">
            <v>5526000</v>
          </cell>
          <cell r="E632">
            <v>0</v>
          </cell>
        </row>
        <row r="633">
          <cell r="A633" t="str">
            <v>257319-B21</v>
          </cell>
          <cell r="B633" t="str">
            <v>HP SDLT 320 Internal Drive</v>
          </cell>
          <cell r="C633" t="str">
            <v>3C</v>
          </cell>
          <cell r="D633">
            <v>21312306</v>
          </cell>
          <cell r="E633">
            <v>0</v>
          </cell>
        </row>
        <row r="634">
          <cell r="A634" t="str">
            <v>257319-B31</v>
          </cell>
          <cell r="B634" t="str">
            <v>SDLT 160/320 GB Extrn INTL</v>
          </cell>
          <cell r="C634" t="str">
            <v>3C</v>
          </cell>
          <cell r="D634">
            <v>25042893</v>
          </cell>
          <cell r="E634">
            <v>0</v>
          </cell>
        </row>
        <row r="635">
          <cell r="A635" t="str">
            <v>337699-291</v>
          </cell>
          <cell r="B635" t="str">
            <v>HP DLT VS80 External Drive JPN</v>
          </cell>
          <cell r="C635" t="str">
            <v>3C</v>
          </cell>
          <cell r="D635">
            <v>1823000</v>
          </cell>
          <cell r="E635">
            <v>0</v>
          </cell>
        </row>
        <row r="636">
          <cell r="A636" t="str">
            <v>337699-B21</v>
          </cell>
          <cell r="B636" t="str">
            <v>HP DLT VS80 Internal Drive</v>
          </cell>
          <cell r="C636" t="str">
            <v>3C</v>
          </cell>
          <cell r="D636">
            <v>7189373</v>
          </cell>
          <cell r="E636">
            <v>0</v>
          </cell>
        </row>
        <row r="637">
          <cell r="A637" t="str">
            <v>337699-B22</v>
          </cell>
          <cell r="B637" t="str">
            <v>HP DLT VS80 External Drive NA</v>
          </cell>
          <cell r="C637" t="str">
            <v>3C</v>
          </cell>
          <cell r="D637">
            <v>1880000</v>
          </cell>
          <cell r="E637">
            <v>0</v>
          </cell>
        </row>
        <row r="638">
          <cell r="A638" t="str">
            <v>337699-B31</v>
          </cell>
          <cell r="B638" t="str">
            <v>HP DLT VS80 External Drive INTL</v>
          </cell>
          <cell r="C638" t="str">
            <v>3C</v>
          </cell>
          <cell r="D638">
            <v>8260584</v>
          </cell>
          <cell r="E638">
            <v>0</v>
          </cell>
        </row>
        <row r="640">
          <cell r="A640" t="str">
            <v>Others &amp; Misc</v>
          </cell>
        </row>
        <row r="641">
          <cell r="A641" t="str">
            <v>168048-B21</v>
          </cell>
          <cell r="B641" t="str">
            <v>HD-VHD SCSI Cables for 3U RM</v>
          </cell>
          <cell r="C641" t="str">
            <v>3C</v>
          </cell>
          <cell r="D641">
            <v>1155000</v>
          </cell>
          <cell r="E641">
            <v>0</v>
          </cell>
        </row>
        <row r="642">
          <cell r="A642" t="str">
            <v>242381-B21</v>
          </cell>
          <cell r="B642" t="str">
            <v>HD-HD SCSI Cables for 3U RM</v>
          </cell>
          <cell r="C642" t="str">
            <v>3C</v>
          </cell>
          <cell r="D642">
            <v>976000</v>
          </cell>
          <cell r="E642">
            <v>0</v>
          </cell>
        </row>
        <row r="643">
          <cell r="A643" t="str">
            <v>344257-B21</v>
          </cell>
          <cell r="B643" t="str">
            <v>Fan Kit for Full-Ht Tape Drive</v>
          </cell>
          <cell r="C643" t="str">
            <v>3C</v>
          </cell>
          <cell r="D643">
            <v>159882</v>
          </cell>
          <cell r="E643">
            <v>0</v>
          </cell>
        </row>
        <row r="644">
          <cell r="A644" t="str">
            <v>35470-90400</v>
          </cell>
          <cell r="B644" t="str">
            <v>3.5" DDS-3 Black Front Panels (40)</v>
          </cell>
          <cell r="C644" t="str">
            <v>3C</v>
          </cell>
          <cell r="D644">
            <v>404028</v>
          </cell>
          <cell r="E644">
            <v>0</v>
          </cell>
        </row>
        <row r="645">
          <cell r="A645" t="str">
            <v>A7445A</v>
          </cell>
          <cell r="B645" t="str">
            <v>HP 1U Rack-mount kit</v>
          </cell>
          <cell r="C645" t="str">
            <v>3C</v>
          </cell>
          <cell r="D645">
            <v>1949231</v>
          </cell>
          <cell r="E645">
            <v>0</v>
          </cell>
        </row>
        <row r="646">
          <cell r="A646" t="str">
            <v>C5742A</v>
          </cell>
          <cell r="B646" t="str">
            <v>1.5m external SCSI Cable (LVD/SE)</v>
          </cell>
          <cell r="C646" t="str">
            <v>3C</v>
          </cell>
          <cell r="D646">
            <v>120500</v>
          </cell>
          <cell r="E646">
            <v>0</v>
          </cell>
        </row>
        <row r="647">
          <cell r="A647" t="str">
            <v>C7434A</v>
          </cell>
          <cell r="B647" t="str">
            <v>68-pin HD 68-pin VHD SCSI Adapter</v>
          </cell>
          <cell r="C647" t="str">
            <v>3C</v>
          </cell>
          <cell r="D647">
            <v>85059</v>
          </cell>
          <cell r="E647">
            <v>0</v>
          </cell>
        </row>
        <row r="648">
          <cell r="A648" t="str">
            <v>C7474A</v>
          </cell>
          <cell r="B648" t="str">
            <v>Wide Ultra3 SCSI HBA Kit</v>
          </cell>
          <cell r="C648" t="str">
            <v>3C</v>
          </cell>
          <cell r="D648">
            <v>1216438</v>
          </cell>
          <cell r="E648">
            <v>0</v>
          </cell>
        </row>
        <row r="649">
          <cell r="A649" t="str">
            <v>Q1497A</v>
          </cell>
          <cell r="B649" t="str">
            <v>Tape Mounting Kit for TC Netservers</v>
          </cell>
          <cell r="C649" t="str">
            <v>3C</v>
          </cell>
          <cell r="D649">
            <v>6734</v>
          </cell>
          <cell r="E649">
            <v>0</v>
          </cell>
        </row>
        <row r="651">
          <cell r="A651" t="str">
            <v>StorageWorks - Tape media &amp; Labels</v>
          </cell>
        </row>
        <row r="652">
          <cell r="A652" t="str">
            <v>Tape media</v>
          </cell>
        </row>
        <row r="653">
          <cell r="A653" t="str">
            <v>88146J</v>
          </cell>
          <cell r="B653" t="str">
            <v>HP 5.2GB write-once optical disk,2048bps</v>
          </cell>
          <cell r="C653" t="str">
            <v>7A</v>
          </cell>
          <cell r="D653">
            <v>76989</v>
          </cell>
          <cell r="E653">
            <v>0</v>
          </cell>
        </row>
        <row r="654">
          <cell r="A654" t="str">
            <v>88147J</v>
          </cell>
          <cell r="B654" t="str">
            <v>HP 5.2GB rewritable optical disk,2048bps</v>
          </cell>
          <cell r="C654" t="str">
            <v>7A</v>
          </cell>
          <cell r="D654">
            <v>76989</v>
          </cell>
          <cell r="E654">
            <v>0</v>
          </cell>
        </row>
        <row r="655">
          <cell r="A655" t="str">
            <v>92279F</v>
          </cell>
          <cell r="B655" t="str">
            <v>hp 2.3GB rewritable optical disk, 512bps</v>
          </cell>
          <cell r="C655" t="str">
            <v>7A</v>
          </cell>
          <cell r="D655">
            <v>69880</v>
          </cell>
          <cell r="E655">
            <v>0</v>
          </cell>
        </row>
        <row r="656">
          <cell r="A656" t="str">
            <v>92280F</v>
          </cell>
          <cell r="B656" t="str">
            <v>hp 2.6GB rewritable optical disk,1024bps</v>
          </cell>
          <cell r="C656" t="str">
            <v>7A</v>
          </cell>
          <cell r="D656">
            <v>69880</v>
          </cell>
          <cell r="E656">
            <v>0</v>
          </cell>
        </row>
        <row r="657">
          <cell r="A657" t="str">
            <v>92280T</v>
          </cell>
          <cell r="B657" t="str">
            <v>hp 1.3GB rewritable optical disk,1024bps</v>
          </cell>
          <cell r="C657" t="str">
            <v>7A</v>
          </cell>
          <cell r="D657">
            <v>56191</v>
          </cell>
          <cell r="E657">
            <v>0</v>
          </cell>
        </row>
        <row r="658">
          <cell r="A658" t="str">
            <v>92290F</v>
          </cell>
          <cell r="B658" t="str">
            <v>hp 2.6GB write-once optical disk,1024bps</v>
          </cell>
          <cell r="C658" t="str">
            <v>7A</v>
          </cell>
          <cell r="D658">
            <v>69880</v>
          </cell>
          <cell r="E658">
            <v>0</v>
          </cell>
        </row>
        <row r="659">
          <cell r="A659" t="str">
            <v>92290T</v>
          </cell>
          <cell r="B659" t="str">
            <v>hp 1.3GB write-once optical disk,1024bps</v>
          </cell>
          <cell r="C659" t="str">
            <v>7A</v>
          </cell>
          <cell r="D659">
            <v>56191</v>
          </cell>
          <cell r="E659">
            <v>0</v>
          </cell>
        </row>
        <row r="660">
          <cell r="A660" t="str">
            <v>C1571A</v>
          </cell>
          <cell r="B660" t="str">
            <v>hp 1.3GB write-once optical disk,1024bps</v>
          </cell>
          <cell r="C660" t="str">
            <v>7A</v>
          </cell>
          <cell r="D660">
            <v>32147</v>
          </cell>
          <cell r="E660">
            <v>0</v>
          </cell>
        </row>
        <row r="661">
          <cell r="A661" t="str">
            <v>C4425A</v>
          </cell>
          <cell r="B661" t="str">
            <v>HP 8GB Travan data cartridge</v>
          </cell>
          <cell r="C661" t="str">
            <v>7A</v>
          </cell>
          <cell r="D661">
            <v>41531</v>
          </cell>
          <cell r="E661">
            <v>0</v>
          </cell>
        </row>
        <row r="662">
          <cell r="A662" t="str">
            <v>C4429A</v>
          </cell>
          <cell r="B662" t="str">
            <v>HP 5GB Travan data cartridge</v>
          </cell>
          <cell r="C662" t="str">
            <v>7A</v>
          </cell>
          <cell r="D662">
            <v>39742</v>
          </cell>
          <cell r="E662">
            <v>0</v>
          </cell>
        </row>
        <row r="663">
          <cell r="A663" t="str">
            <v>C4435A</v>
          </cell>
          <cell r="B663" t="str">
            <v>HP 20GB Travan data cartridge</v>
          </cell>
          <cell r="C663" t="str">
            <v>7A</v>
          </cell>
          <cell r="D663">
            <v>57129</v>
          </cell>
          <cell r="E663">
            <v>0</v>
          </cell>
        </row>
        <row r="664">
          <cell r="A664" t="str">
            <v>C4436A</v>
          </cell>
          <cell r="B664" t="str">
            <v>HP 14GB Travan data cartridge</v>
          </cell>
          <cell r="C664" t="str">
            <v>7A</v>
          </cell>
          <cell r="D664">
            <v>1111000</v>
          </cell>
          <cell r="E664">
            <v>0</v>
          </cell>
        </row>
        <row r="665">
          <cell r="A665" t="str">
            <v>C5141A</v>
          </cell>
          <cell r="B665" t="str">
            <v>HP DLT IIIXT data cartridge</v>
          </cell>
          <cell r="C665" t="str">
            <v>7A</v>
          </cell>
          <cell r="D665">
            <v>63554</v>
          </cell>
          <cell r="E665">
            <v>0</v>
          </cell>
        </row>
        <row r="666">
          <cell r="A666" t="str">
            <v>C5141F</v>
          </cell>
          <cell r="B666" t="str">
            <v>HP DLT IV data cartridge, 40/70/80GB</v>
          </cell>
          <cell r="C666" t="str">
            <v>7A</v>
          </cell>
          <cell r="D666">
            <v>56500</v>
          </cell>
          <cell r="E666">
            <v>0</v>
          </cell>
        </row>
        <row r="667">
          <cell r="A667" t="str">
            <v>C5142A</v>
          </cell>
          <cell r="B667" t="str">
            <v>HP DLT cleaning cartridge</v>
          </cell>
          <cell r="C667" t="str">
            <v>7A</v>
          </cell>
          <cell r="D667">
            <v>71227</v>
          </cell>
          <cell r="E667">
            <v>0</v>
          </cell>
        </row>
        <row r="668">
          <cell r="A668" t="str">
            <v>C5706A</v>
          </cell>
          <cell r="B668" t="str">
            <v>hp dds-1 data cartridge, 4GB</v>
          </cell>
          <cell r="C668" t="str">
            <v>7A</v>
          </cell>
          <cell r="D668">
            <v>4835</v>
          </cell>
          <cell r="E668">
            <v>0</v>
          </cell>
        </row>
        <row r="669">
          <cell r="A669" t="str">
            <v>C5707A</v>
          </cell>
          <cell r="B669" t="str">
            <v>HP DDS-2 data cartridge, 8GB</v>
          </cell>
          <cell r="C669" t="str">
            <v>7A</v>
          </cell>
          <cell r="D669">
            <v>6331</v>
          </cell>
          <cell r="E669">
            <v>0</v>
          </cell>
        </row>
        <row r="670">
          <cell r="A670" t="str">
            <v>C5708A</v>
          </cell>
          <cell r="B670" t="str">
            <v>HP DDS-3 data cartridge, 24GB</v>
          </cell>
          <cell r="C670" t="str">
            <v>7A</v>
          </cell>
          <cell r="D670">
            <v>6321</v>
          </cell>
          <cell r="E670">
            <v>0</v>
          </cell>
        </row>
        <row r="671">
          <cell r="A671" t="str">
            <v>C5709A</v>
          </cell>
          <cell r="B671" t="str">
            <v>hp dds cleaning cartridge</v>
          </cell>
          <cell r="C671" t="str">
            <v>7A</v>
          </cell>
          <cell r="D671">
            <v>11338</v>
          </cell>
          <cell r="E671">
            <v>0</v>
          </cell>
        </row>
        <row r="672">
          <cell r="A672" t="str">
            <v>C5718A</v>
          </cell>
          <cell r="B672" t="str">
            <v>HP DDS-4 data cartridge, 40GB</v>
          </cell>
          <cell r="C672" t="str">
            <v>7A</v>
          </cell>
          <cell r="D672">
            <v>12314</v>
          </cell>
          <cell r="E672">
            <v>0</v>
          </cell>
        </row>
        <row r="673">
          <cell r="A673" t="str">
            <v>C7971A</v>
          </cell>
          <cell r="B673" t="str">
            <v>HP Ultrium 200GB data cartridge</v>
          </cell>
          <cell r="C673" t="str">
            <v>7A</v>
          </cell>
          <cell r="D673">
            <v>44054</v>
          </cell>
          <cell r="E673">
            <v>0</v>
          </cell>
        </row>
        <row r="674">
          <cell r="A674" t="str">
            <v>C7972A</v>
          </cell>
          <cell r="B674" t="str">
            <v>HP Ultrium data cartridge,400GB</v>
          </cell>
          <cell r="C674" t="str">
            <v>7A</v>
          </cell>
          <cell r="D674">
            <v>85367</v>
          </cell>
          <cell r="E674">
            <v>0</v>
          </cell>
        </row>
        <row r="675">
          <cell r="A675" t="str">
            <v>C7978A</v>
          </cell>
          <cell r="B675" t="str">
            <v>hp ultrium universal cleaning cartridge</v>
          </cell>
          <cell r="C675" t="str">
            <v>7A</v>
          </cell>
          <cell r="D675">
            <v>98505</v>
          </cell>
          <cell r="E675">
            <v>0</v>
          </cell>
        </row>
        <row r="676">
          <cell r="A676" t="str">
            <v>C7980A</v>
          </cell>
          <cell r="B676" t="str">
            <v>HP SDLTtape I data cartridge,220-320GB</v>
          </cell>
          <cell r="C676" t="str">
            <v>7A</v>
          </cell>
          <cell r="D676">
            <v>72540</v>
          </cell>
          <cell r="E676">
            <v>0</v>
          </cell>
        </row>
        <row r="677">
          <cell r="A677" t="str">
            <v>C7982A</v>
          </cell>
          <cell r="B677" t="str">
            <v>hp SDLT cleaning cartridge</v>
          </cell>
          <cell r="C677" t="str">
            <v>7A</v>
          </cell>
          <cell r="D677">
            <v>130178</v>
          </cell>
          <cell r="E677">
            <v>0</v>
          </cell>
        </row>
        <row r="678">
          <cell r="A678" t="str">
            <v>C7983A</v>
          </cell>
          <cell r="B678" t="str">
            <v>HP 9.1GB rewritable optical disk,4096bps</v>
          </cell>
          <cell r="C678" t="str">
            <v>7A</v>
          </cell>
          <cell r="D678">
            <v>103572</v>
          </cell>
          <cell r="E678">
            <v>0</v>
          </cell>
        </row>
        <row r="679">
          <cell r="A679" t="str">
            <v>C7984A</v>
          </cell>
          <cell r="B679" t="str">
            <v>HP 9.1GB write-once optical disk,4096bps</v>
          </cell>
          <cell r="C679" t="str">
            <v>7A</v>
          </cell>
          <cell r="D679">
            <v>103572</v>
          </cell>
          <cell r="E679">
            <v>0</v>
          </cell>
        </row>
        <row r="680">
          <cell r="A680" t="str">
            <v>C7986A</v>
          </cell>
          <cell r="B680" t="str">
            <v>HP 8.6GB write-once optical disk,2048bps</v>
          </cell>
          <cell r="C680" t="str">
            <v>7A</v>
          </cell>
          <cell r="D680">
            <v>103572</v>
          </cell>
          <cell r="E680">
            <v>0</v>
          </cell>
        </row>
        <row r="681">
          <cell r="A681" t="str">
            <v>C7998A</v>
          </cell>
          <cell r="B681" t="str">
            <v>hp dlt vs cleaning cartridge</v>
          </cell>
          <cell r="C681" t="str">
            <v>7A</v>
          </cell>
          <cell r="D681">
            <v>93836</v>
          </cell>
          <cell r="E681">
            <v>0</v>
          </cell>
        </row>
        <row r="682">
          <cell r="A682" t="str">
            <v>C8010A</v>
          </cell>
          <cell r="B682" t="str">
            <v>HP DAT 72 data cartridge,72GB</v>
          </cell>
          <cell r="C682" t="str">
            <v>7A</v>
          </cell>
          <cell r="D682">
            <v>29195</v>
          </cell>
          <cell r="E682">
            <v>0</v>
          </cell>
        </row>
        <row r="683">
          <cell r="A683" t="str">
            <v>Q1996A</v>
          </cell>
          <cell r="B683" t="str">
            <v>hp AIT cleaning cartridge</v>
          </cell>
          <cell r="C683" t="str">
            <v>7A</v>
          </cell>
          <cell r="D683">
            <v>41950</v>
          </cell>
          <cell r="E683">
            <v>0</v>
          </cell>
        </row>
        <row r="684">
          <cell r="A684" t="str">
            <v>Q1997A</v>
          </cell>
          <cell r="B684" t="str">
            <v>HP AIT-1 70GB data cartridge</v>
          </cell>
          <cell r="C684" t="str">
            <v>7A</v>
          </cell>
          <cell r="D684">
            <v>63848</v>
          </cell>
          <cell r="E684">
            <v>0</v>
          </cell>
        </row>
        <row r="685">
          <cell r="A685" t="str">
            <v>Q1998A</v>
          </cell>
          <cell r="B685" t="str">
            <v>HP AIT-2 100GB data cartridge</v>
          </cell>
          <cell r="C685" t="str">
            <v>7A</v>
          </cell>
          <cell r="D685">
            <v>74859</v>
          </cell>
          <cell r="E685">
            <v>0</v>
          </cell>
        </row>
        <row r="686">
          <cell r="A686" t="str">
            <v>Q1999A</v>
          </cell>
          <cell r="B686" t="str">
            <v>HP AIT-3 200GB data cartridge</v>
          </cell>
          <cell r="C686" t="str">
            <v>7A</v>
          </cell>
          <cell r="D686">
            <v>80514</v>
          </cell>
          <cell r="E686">
            <v>0</v>
          </cell>
        </row>
        <row r="687">
          <cell r="A687" t="str">
            <v>Q2001A</v>
          </cell>
          <cell r="B687" t="str">
            <v>HP ultrium 1 bar code label pack</v>
          </cell>
          <cell r="C687" t="str">
            <v>7A</v>
          </cell>
          <cell r="D687">
            <v>102656</v>
          </cell>
          <cell r="E687">
            <v>0</v>
          </cell>
        </row>
        <row r="688">
          <cell r="A688" t="str">
            <v>Q2002A</v>
          </cell>
          <cell r="B688" t="str">
            <v>HP ultrium 2 bar code label pack</v>
          </cell>
          <cell r="C688" t="str">
            <v>7A</v>
          </cell>
          <cell r="D688">
            <v>102656</v>
          </cell>
          <cell r="E688">
            <v>0</v>
          </cell>
        </row>
        <row r="689">
          <cell r="A689" t="str">
            <v>Q2003A</v>
          </cell>
          <cell r="B689" t="str">
            <v>HP SDLT 1 bar code label pack</v>
          </cell>
          <cell r="C689" t="str">
            <v>7A</v>
          </cell>
          <cell r="D689">
            <v>102656</v>
          </cell>
          <cell r="E689">
            <v>0</v>
          </cell>
        </row>
        <row r="690">
          <cell r="A690" t="str">
            <v>Q2004A</v>
          </cell>
          <cell r="B690" t="str">
            <v>HP dlt IV bar code label pack</v>
          </cell>
          <cell r="C690" t="str">
            <v>7A</v>
          </cell>
          <cell r="D690">
            <v>102656</v>
          </cell>
          <cell r="E690">
            <v>0</v>
          </cell>
        </row>
        <row r="691">
          <cell r="A691" t="str">
            <v>Q2005A</v>
          </cell>
          <cell r="B691" t="str">
            <v>HP AIT bar code label pack</v>
          </cell>
          <cell r="C691" t="str">
            <v>7A</v>
          </cell>
          <cell r="D691">
            <v>102656</v>
          </cell>
          <cell r="E691">
            <v>0</v>
          </cell>
        </row>
        <row r="692">
          <cell r="A692" t="str">
            <v>Q2030A</v>
          </cell>
          <cell r="B692" t="str">
            <v>HP UDO 30GB write-once disk</v>
          </cell>
          <cell r="C692" t="str">
            <v>7A</v>
          </cell>
          <cell r="D692">
            <v>76541</v>
          </cell>
          <cell r="E692">
            <v>0</v>
          </cell>
        </row>
        <row r="693">
          <cell r="A693" t="str">
            <v>Q2031A</v>
          </cell>
          <cell r="B693" t="str">
            <v>HP UDO 30GB rewritable disk</v>
          </cell>
          <cell r="C693" t="str">
            <v>7A</v>
          </cell>
          <cell r="D693">
            <v>95931</v>
          </cell>
          <cell r="E693">
            <v>0</v>
          </cell>
        </row>
        <row r="695">
          <cell r="A695" t="str">
            <v>StorageWorks - NAS Storage Server</v>
          </cell>
        </row>
        <row r="696">
          <cell r="A696" t="str">
            <v>NAS 500s</v>
          </cell>
        </row>
        <row r="697">
          <cell r="A697" t="str">
            <v>367984-001</v>
          </cell>
          <cell r="B697" t="str">
            <v>HP ProLiant ML110 320GB Storage Server</v>
          </cell>
          <cell r="C697" t="str">
            <v>LI</v>
          </cell>
          <cell r="D697">
            <v>15813133</v>
          </cell>
          <cell r="E697">
            <v>0</v>
          </cell>
        </row>
        <row r="698">
          <cell r="A698" t="str">
            <v>367984-011</v>
          </cell>
          <cell r="B698" t="str">
            <v>HP ProLiant ML110 320GB Storage Server</v>
          </cell>
          <cell r="C698" t="str">
            <v>LI</v>
          </cell>
          <cell r="D698">
            <v>15813133</v>
          </cell>
          <cell r="E698">
            <v>0</v>
          </cell>
        </row>
        <row r="699">
          <cell r="A699" t="str">
            <v>367984-371</v>
          </cell>
          <cell r="B699" t="str">
            <v>HP ProLiant ML110 320GB Storage Server</v>
          </cell>
          <cell r="C699" t="str">
            <v>LI</v>
          </cell>
          <cell r="D699">
            <v>15813133</v>
          </cell>
          <cell r="E699">
            <v>0</v>
          </cell>
        </row>
        <row r="700">
          <cell r="A700" t="str">
            <v>367985-001</v>
          </cell>
          <cell r="B700" t="str">
            <v>HP ProLiant ML110 640GB Storage Server</v>
          </cell>
          <cell r="C700" t="str">
            <v>LI</v>
          </cell>
          <cell r="D700">
            <v>21086521</v>
          </cell>
          <cell r="E700">
            <v>0</v>
          </cell>
        </row>
        <row r="701">
          <cell r="A701" t="str">
            <v>367985-011</v>
          </cell>
          <cell r="B701" t="str">
            <v>HP ProLiant ML110 640GB Storage Server</v>
          </cell>
          <cell r="C701" t="str">
            <v>LI</v>
          </cell>
          <cell r="D701">
            <v>21086521</v>
          </cell>
          <cell r="E701">
            <v>0</v>
          </cell>
        </row>
        <row r="702">
          <cell r="A702" t="str">
            <v>367985-371</v>
          </cell>
          <cell r="B702" t="str">
            <v>HP ProLiant ML110 640GB Storage Server</v>
          </cell>
          <cell r="C702" t="str">
            <v>LI</v>
          </cell>
          <cell r="D702">
            <v>21086521</v>
          </cell>
          <cell r="E702">
            <v>0</v>
          </cell>
        </row>
        <row r="703">
          <cell r="A703" t="str">
            <v>367986-001</v>
          </cell>
          <cell r="B703" t="str">
            <v>HP ProLiant ML110 1TB Storage Server</v>
          </cell>
          <cell r="C703" t="str">
            <v>LI</v>
          </cell>
          <cell r="D703">
            <v>28469264</v>
          </cell>
          <cell r="E703">
            <v>0</v>
          </cell>
        </row>
        <row r="704">
          <cell r="A704" t="str">
            <v>367986-011</v>
          </cell>
          <cell r="B704" t="str">
            <v>HP ProLiant ML110 1TB Storage Server</v>
          </cell>
          <cell r="C704" t="str">
            <v>LI</v>
          </cell>
          <cell r="D704">
            <v>28469264</v>
          </cell>
          <cell r="E704">
            <v>0</v>
          </cell>
        </row>
        <row r="705">
          <cell r="A705" t="str">
            <v>367986-371</v>
          </cell>
          <cell r="B705" t="str">
            <v>HP ProLiant ML110 1TB Storage Server</v>
          </cell>
          <cell r="C705" t="str">
            <v>LI</v>
          </cell>
          <cell r="D705">
            <v>28469264</v>
          </cell>
          <cell r="E705">
            <v>0</v>
          </cell>
        </row>
        <row r="707">
          <cell r="A707" t="str">
            <v>NAS 1200s</v>
          </cell>
        </row>
        <row r="708">
          <cell r="A708" t="str">
            <v>349037-B21</v>
          </cell>
          <cell r="B708" t="str">
            <v>StorageWorks NAS 1200S 320GB WSS ALL</v>
          </cell>
          <cell r="C708" t="str">
            <v>LI</v>
          </cell>
          <cell r="D708">
            <v>21086521</v>
          </cell>
          <cell r="E708">
            <v>0</v>
          </cell>
        </row>
        <row r="709">
          <cell r="A709" t="str">
            <v>349038-B21</v>
          </cell>
          <cell r="B709" t="str">
            <v>StorageWorks NAS 1200S 640GB WSS ALL</v>
          </cell>
          <cell r="C709" t="str">
            <v>LI</v>
          </cell>
          <cell r="D709">
            <v>35148889</v>
          </cell>
          <cell r="E709">
            <v>0</v>
          </cell>
        </row>
        <row r="710">
          <cell r="A710" t="str">
            <v>349039-B21</v>
          </cell>
          <cell r="B710" t="str">
            <v>StorageWorks NAS 1200S 1 TB WSS ALL</v>
          </cell>
          <cell r="C710" t="str">
            <v>LI</v>
          </cell>
          <cell r="D710">
            <v>49211257</v>
          </cell>
          <cell r="E710">
            <v>0</v>
          </cell>
        </row>
        <row r="712">
          <cell r="A712" t="str">
            <v>NAS 1500s</v>
          </cell>
        </row>
        <row r="713">
          <cell r="A713" t="str">
            <v>367987-B21</v>
          </cell>
          <cell r="B713" t="str">
            <v>HP ProLiant DL100 320 GB Storage Server</v>
          </cell>
          <cell r="C713" t="str">
            <v>LI</v>
          </cell>
          <cell r="D713">
            <v>21086521</v>
          </cell>
          <cell r="E713">
            <v>0</v>
          </cell>
        </row>
        <row r="714">
          <cell r="A714" t="str">
            <v>367988-B21</v>
          </cell>
          <cell r="B714" t="str">
            <v>HP ProLiant DL100 640GB Storage Server</v>
          </cell>
          <cell r="C714" t="str">
            <v>LI</v>
          </cell>
          <cell r="D714">
            <v>35148889</v>
          </cell>
          <cell r="E714">
            <v>0</v>
          </cell>
        </row>
        <row r="715">
          <cell r="A715" t="str">
            <v>367989-B21</v>
          </cell>
          <cell r="B715" t="str">
            <v>HP ProLiant DL100 1TB Storage Server</v>
          </cell>
          <cell r="C715" t="str">
            <v>LI</v>
          </cell>
          <cell r="D715">
            <v>49211257</v>
          </cell>
          <cell r="E715">
            <v>0</v>
          </cell>
        </row>
        <row r="717">
          <cell r="A717" t="str">
            <v>NAS 2000s</v>
          </cell>
        </row>
        <row r="718">
          <cell r="A718" t="str">
            <v>345645-001</v>
          </cell>
          <cell r="B718" t="str">
            <v>NAS 2000s Internal SCSI US</v>
          </cell>
          <cell r="C718" t="str">
            <v>LI</v>
          </cell>
          <cell r="D718">
            <v>58323671</v>
          </cell>
          <cell r="E718">
            <v>0</v>
          </cell>
        </row>
        <row r="719">
          <cell r="A719" t="str">
            <v>345646-001</v>
          </cell>
          <cell r="B719" t="str">
            <v>NAS 2000s External SCSI US</v>
          </cell>
          <cell r="C719" t="str">
            <v>LI</v>
          </cell>
          <cell r="D719">
            <v>93479591</v>
          </cell>
          <cell r="E719">
            <v>0</v>
          </cell>
        </row>
        <row r="720">
          <cell r="A720" t="str">
            <v>364971-B21</v>
          </cell>
          <cell r="B720" t="str">
            <v>NAS 2000s Base WSS</v>
          </cell>
          <cell r="C720" t="str">
            <v>LI</v>
          </cell>
          <cell r="D720">
            <v>40780867</v>
          </cell>
          <cell r="E720">
            <v>0</v>
          </cell>
        </row>
        <row r="722">
          <cell r="A722" t="str">
            <v>NAS 4000s</v>
          </cell>
        </row>
        <row r="723">
          <cell r="A723" t="str">
            <v>348936-B21</v>
          </cell>
          <cell r="B723" t="str">
            <v>StorageWorks NAS 4000S ALL</v>
          </cell>
          <cell r="C723" t="str">
            <v>LI</v>
          </cell>
          <cell r="D723">
            <v>58323671</v>
          </cell>
          <cell r="E723">
            <v>0</v>
          </cell>
        </row>
        <row r="725">
          <cell r="A725" t="str">
            <v>NAS Others</v>
          </cell>
        </row>
        <row r="726">
          <cell r="A726" t="str">
            <v>331474-B21</v>
          </cell>
          <cell r="B726" t="str">
            <v>StorageWorks NAS Cluster Kit ALL</v>
          </cell>
          <cell r="C726" t="str">
            <v>LI</v>
          </cell>
          <cell r="D726">
            <v>17577960</v>
          </cell>
          <cell r="E726">
            <v>0</v>
          </cell>
        </row>
        <row r="727">
          <cell r="A727" t="str">
            <v>348937-B22</v>
          </cell>
          <cell r="B727" t="str">
            <v>HP DL580G2-2.8G Storage Server SAN</v>
          </cell>
          <cell r="C727" t="str">
            <v>LI</v>
          </cell>
          <cell r="D727">
            <v>243398497</v>
          </cell>
          <cell r="E727">
            <v>0</v>
          </cell>
        </row>
        <row r="728">
          <cell r="A728" t="str">
            <v>349040-B21</v>
          </cell>
          <cell r="B728" t="str">
            <v>StorageWorks NAS 1200S WSS Upgd ALL</v>
          </cell>
          <cell r="C728" t="str">
            <v>LI</v>
          </cell>
          <cell r="D728">
            <v>7024153</v>
          </cell>
          <cell r="E728">
            <v>0</v>
          </cell>
        </row>
        <row r="729">
          <cell r="A729" t="str">
            <v>350330-B21</v>
          </cell>
          <cell r="B729" t="str">
            <v>Kit Upgrd WIN Srv 2K/NAS WSS 2K 3/NAS</v>
          </cell>
          <cell r="C729" t="str">
            <v>LI</v>
          </cell>
          <cell r="D729">
            <v>7024153</v>
          </cell>
          <cell r="E729">
            <v>0</v>
          </cell>
        </row>
        <row r="730">
          <cell r="A730" t="str">
            <v>351784-B21</v>
          </cell>
          <cell r="B730" t="str">
            <v>Upgrd Kit NAS 4000s/9000s WSS ALL</v>
          </cell>
          <cell r="C730" t="str">
            <v>LI</v>
          </cell>
          <cell r="D730">
            <v>9133508</v>
          </cell>
          <cell r="E730">
            <v>0</v>
          </cell>
        </row>
        <row r="731">
          <cell r="A731" t="str">
            <v>371224-B21</v>
          </cell>
          <cell r="B731" t="str">
            <v>HP DL380-3.4G Storage Server Base</v>
          </cell>
          <cell r="C731" t="str">
            <v>LI</v>
          </cell>
          <cell r="D731">
            <v>38425421</v>
          </cell>
          <cell r="E731">
            <v>0</v>
          </cell>
        </row>
        <row r="732">
          <cell r="A732" t="str">
            <v>371225-B21</v>
          </cell>
          <cell r="B732" t="str">
            <v>HP DL380-3.4G Storage Server Ext SCSI</v>
          </cell>
          <cell r="C732" t="str">
            <v>LI</v>
          </cell>
          <cell r="D732">
            <v>86835122</v>
          </cell>
          <cell r="E732">
            <v>0</v>
          </cell>
        </row>
        <row r="733">
          <cell r="A733" t="str">
            <v>371226-B21</v>
          </cell>
          <cell r="B733" t="str">
            <v>HP DL380-3.4G Storage Server Ext SATA</v>
          </cell>
          <cell r="C733" t="str">
            <v>LI</v>
          </cell>
          <cell r="D733">
            <v>68905603</v>
          </cell>
          <cell r="E733">
            <v>0</v>
          </cell>
        </row>
        <row r="734">
          <cell r="A734" t="str">
            <v>371227-B21</v>
          </cell>
          <cell r="B734" t="str">
            <v>HP DL380-3.4G HPM Storage Server SAN</v>
          </cell>
          <cell r="C734" t="str">
            <v>LI</v>
          </cell>
          <cell r="D734">
            <v>65741570</v>
          </cell>
          <cell r="E734">
            <v>0</v>
          </cell>
        </row>
        <row r="735">
          <cell r="A735" t="str">
            <v>375637-001</v>
          </cell>
          <cell r="B735" t="str">
            <v>HP ML350-3.0G Storage Server</v>
          </cell>
          <cell r="C735" t="str">
            <v>LI</v>
          </cell>
          <cell r="D735">
            <v>27070058</v>
          </cell>
          <cell r="E735">
            <v>0</v>
          </cell>
        </row>
        <row r="736">
          <cell r="A736" t="str">
            <v>375637-371</v>
          </cell>
          <cell r="B736" t="str">
            <v>HP ML350-3.0G Storage Server AP</v>
          </cell>
          <cell r="C736" t="str">
            <v>LI</v>
          </cell>
          <cell r="D736">
            <v>27070058</v>
          </cell>
          <cell r="E736">
            <v>0</v>
          </cell>
        </row>
        <row r="737">
          <cell r="A737" t="str">
            <v>375638-001</v>
          </cell>
          <cell r="B737" t="str">
            <v>HP ML350-3.2G Storage Server IntSCSI</v>
          </cell>
          <cell r="C737" t="str">
            <v>LI</v>
          </cell>
          <cell r="D737">
            <v>56776811</v>
          </cell>
          <cell r="E737">
            <v>0</v>
          </cell>
        </row>
        <row r="738">
          <cell r="A738" t="str">
            <v>375638-371</v>
          </cell>
          <cell r="B738" t="str">
            <v>HP ML350-3.2G Storage Server AP</v>
          </cell>
          <cell r="C738" t="str">
            <v>LI</v>
          </cell>
          <cell r="D738">
            <v>56776811</v>
          </cell>
          <cell r="E738">
            <v>0</v>
          </cell>
        </row>
        <row r="739">
          <cell r="A739" t="str">
            <v>375639-001</v>
          </cell>
          <cell r="B739" t="str">
            <v>HP ML370-3.4G Storage Server</v>
          </cell>
          <cell r="C739" t="str">
            <v>LI</v>
          </cell>
          <cell r="D739">
            <v>37265275</v>
          </cell>
          <cell r="E739">
            <v>0</v>
          </cell>
        </row>
        <row r="740">
          <cell r="A740" t="str">
            <v>375639-371</v>
          </cell>
          <cell r="B740" t="str">
            <v>HP ML370-3.4G Storage Server AP</v>
          </cell>
          <cell r="C740" t="str">
            <v>LI</v>
          </cell>
          <cell r="D740">
            <v>37265275</v>
          </cell>
          <cell r="E740">
            <v>0</v>
          </cell>
        </row>
        <row r="741">
          <cell r="A741" t="str">
            <v>375640-001</v>
          </cell>
          <cell r="B741" t="str">
            <v>HP ML370-3.4G HPM Storage Server</v>
          </cell>
          <cell r="C741" t="str">
            <v>LI</v>
          </cell>
          <cell r="D741">
            <v>52382321</v>
          </cell>
          <cell r="E741">
            <v>0</v>
          </cell>
        </row>
        <row r="742">
          <cell r="A742" t="str">
            <v>375640-371</v>
          </cell>
          <cell r="B742" t="str">
            <v>HP ML370-3.4G HPM Storage Server AP</v>
          </cell>
          <cell r="C742" t="str">
            <v>LI</v>
          </cell>
          <cell r="D742">
            <v>52382321</v>
          </cell>
          <cell r="E742">
            <v>0</v>
          </cell>
        </row>
        <row r="743">
          <cell r="A743" t="str">
            <v>377385-B21</v>
          </cell>
          <cell r="B743" t="str">
            <v>HP Proliant ML110 Stor Serv Prnt Upgrade</v>
          </cell>
          <cell r="C743" t="str">
            <v>LI</v>
          </cell>
          <cell r="D743">
            <v>3164033</v>
          </cell>
          <cell r="E743">
            <v>0</v>
          </cell>
        </row>
        <row r="744">
          <cell r="A744" t="str">
            <v>A7950A</v>
          </cell>
          <cell r="B744" t="str">
            <v>HP StorageWorks IP 500 320gb US Bundle</v>
          </cell>
          <cell r="C744" t="str">
            <v>LI</v>
          </cell>
          <cell r="D744">
            <v>24426333</v>
          </cell>
          <cell r="E744">
            <v>0</v>
          </cell>
        </row>
        <row r="745">
          <cell r="A745" t="str">
            <v>A7951A</v>
          </cell>
          <cell r="B745" t="str">
            <v>HP StorageWorks IP 500 640gb US Bundle</v>
          </cell>
          <cell r="C745" t="str">
            <v>LI</v>
          </cell>
          <cell r="D745">
            <v>29172382</v>
          </cell>
          <cell r="E745">
            <v>0</v>
          </cell>
        </row>
        <row r="746">
          <cell r="A746" t="str">
            <v>A7952A</v>
          </cell>
          <cell r="B746" t="str">
            <v>HP StorageWorks IP 500 1TB US Bundle</v>
          </cell>
          <cell r="C746" t="str">
            <v>LI</v>
          </cell>
          <cell r="D746">
            <v>36133255</v>
          </cell>
          <cell r="E746">
            <v>0</v>
          </cell>
        </row>
        <row r="747">
          <cell r="A747" t="str">
            <v>A7959A</v>
          </cell>
          <cell r="B747" t="str">
            <v>HP StorageWorks IP 1500 320GB Bundle</v>
          </cell>
          <cell r="C747" t="str">
            <v>LI</v>
          </cell>
          <cell r="D747">
            <v>29172382</v>
          </cell>
          <cell r="E747">
            <v>0</v>
          </cell>
        </row>
        <row r="748">
          <cell r="A748" t="str">
            <v>A7960A</v>
          </cell>
          <cell r="B748" t="str">
            <v>HP StorageWorks IP 1500 640GB Bundle</v>
          </cell>
          <cell r="C748" t="str">
            <v>LI</v>
          </cell>
          <cell r="D748">
            <v>41828514</v>
          </cell>
          <cell r="E748">
            <v>0</v>
          </cell>
        </row>
        <row r="749">
          <cell r="A749" t="str">
            <v>A7961A</v>
          </cell>
          <cell r="B749" t="str">
            <v>HP StorageWorks IP 1500 1TB Bundle</v>
          </cell>
          <cell r="C749" t="str">
            <v>LI</v>
          </cell>
          <cell r="D749">
            <v>54484645</v>
          </cell>
          <cell r="E749">
            <v>0</v>
          </cell>
        </row>
        <row r="750">
          <cell r="A750" t="str">
            <v>T3669A</v>
          </cell>
          <cell r="B750" t="str">
            <v>HP, iSCSI Feature Pack v2</v>
          </cell>
          <cell r="C750" t="str">
            <v>LI</v>
          </cell>
          <cell r="D750">
            <v>13816479</v>
          </cell>
          <cell r="E750">
            <v>0</v>
          </cell>
        </row>
        <row r="751">
          <cell r="A751" t="str">
            <v>T3670A</v>
          </cell>
          <cell r="B751" t="str">
            <v>HP, iSCSI Gateway</v>
          </cell>
          <cell r="C751" t="str">
            <v>LI</v>
          </cell>
          <cell r="D751">
            <v>17952323</v>
          </cell>
          <cell r="E751">
            <v>0</v>
          </cell>
        </row>
        <row r="752">
          <cell r="A752" t="str">
            <v>T3671A</v>
          </cell>
          <cell r="B752" t="str">
            <v>HP, iSCSI Target Snapshot</v>
          </cell>
          <cell r="C752" t="str">
            <v>LI</v>
          </cell>
          <cell r="D752">
            <v>20672053</v>
          </cell>
          <cell r="E752">
            <v>0</v>
          </cell>
        </row>
        <row r="753">
          <cell r="A753" t="str">
            <v>T3672A</v>
          </cell>
          <cell r="B753" t="str">
            <v>HP, iSCSI Target Clustering</v>
          </cell>
          <cell r="C753" t="str">
            <v>LI</v>
          </cell>
          <cell r="D753">
            <v>26861824</v>
          </cell>
          <cell r="E753">
            <v>0</v>
          </cell>
        </row>
        <row r="754">
          <cell r="A754" t="str">
            <v>T3673A</v>
          </cell>
          <cell r="B754" t="str">
            <v>HP, iSCSI Target Backup Enabler</v>
          </cell>
          <cell r="C754" t="str">
            <v>LI</v>
          </cell>
          <cell r="D754">
            <v>26903532</v>
          </cell>
          <cell r="E754">
            <v>0</v>
          </cell>
        </row>
        <row r="755">
          <cell r="A755" t="str">
            <v>T3674A</v>
          </cell>
          <cell r="B755" t="str">
            <v>HP, iSCSI Backup Enabler</v>
          </cell>
          <cell r="C755" t="str">
            <v>LI</v>
          </cell>
          <cell r="D755">
            <v>10304729</v>
          </cell>
          <cell r="E755">
            <v>0</v>
          </cell>
        </row>
        <row r="756">
          <cell r="A756" t="str">
            <v>T3675A</v>
          </cell>
          <cell r="B756" t="str">
            <v>HP, iSCSI Backup Enabler for Gateway</v>
          </cell>
          <cell r="C756" t="str">
            <v>LI</v>
          </cell>
          <cell r="D756">
            <v>13739650</v>
          </cell>
          <cell r="E756">
            <v>0</v>
          </cell>
        </row>
        <row r="758">
          <cell r="A758" t="str">
            <v>StorageWorks - MSA1000 &amp; MSA1500</v>
          </cell>
        </row>
        <row r="759">
          <cell r="A759" t="str">
            <v>MSA1000</v>
          </cell>
        </row>
        <row r="760">
          <cell r="A760" t="str">
            <v>201723-B22</v>
          </cell>
          <cell r="B760" t="str">
            <v>Modular SAN Array 1000</v>
          </cell>
          <cell r="C760" t="str">
            <v>1Y</v>
          </cell>
          <cell r="D760">
            <v>43553434</v>
          </cell>
          <cell r="E760">
            <v>0</v>
          </cell>
        </row>
        <row r="761">
          <cell r="A761" t="str">
            <v>218231-B22</v>
          </cell>
          <cell r="B761" t="str">
            <v>HP MSA1000/1500 Controller 256 Cache All</v>
          </cell>
          <cell r="C761" t="str">
            <v>1Y</v>
          </cell>
          <cell r="D761">
            <v>18859156</v>
          </cell>
          <cell r="E761">
            <v>0</v>
          </cell>
        </row>
        <row r="762">
          <cell r="A762" t="str">
            <v>286763-B21</v>
          </cell>
          <cell r="B762" t="str">
            <v>MSA1000 Embedded 3-port Hub ALL</v>
          </cell>
          <cell r="C762" t="str">
            <v>LL</v>
          </cell>
          <cell r="D762">
            <v>4199897</v>
          </cell>
          <cell r="E762">
            <v>0</v>
          </cell>
        </row>
        <row r="763">
          <cell r="A763" t="str">
            <v>353803-B22</v>
          </cell>
          <cell r="B763" t="str">
            <v>MSA1000 SAN Starter kit</v>
          </cell>
          <cell r="C763" t="str">
            <v>1Y</v>
          </cell>
          <cell r="D763">
            <v>69843094</v>
          </cell>
          <cell r="E763">
            <v>0</v>
          </cell>
        </row>
        <row r="764">
          <cell r="A764" t="str">
            <v>353804-B21</v>
          </cell>
          <cell r="B764" t="str">
            <v>MSA1000 Windows High Availability Kit</v>
          </cell>
          <cell r="C764" t="str">
            <v>1Y</v>
          </cell>
          <cell r="D764">
            <v>62343165</v>
          </cell>
          <cell r="E764">
            <v>0</v>
          </cell>
        </row>
        <row r="765">
          <cell r="A765" t="str">
            <v>353805-B21</v>
          </cell>
          <cell r="B765" t="str">
            <v>MSA1000 Linux High Availability Kit</v>
          </cell>
          <cell r="C765" t="str">
            <v>1Y</v>
          </cell>
          <cell r="D765">
            <v>62343165</v>
          </cell>
          <cell r="E765">
            <v>0</v>
          </cell>
        </row>
        <row r="767">
          <cell r="A767" t="str">
            <v>MSA1500</v>
          </cell>
        </row>
        <row r="768">
          <cell r="A768" t="str">
            <v>AA986A</v>
          </cell>
          <cell r="B768" t="str">
            <v>MSA1500 controller shelf</v>
          </cell>
          <cell r="C768" t="str">
            <v>1Y</v>
          </cell>
          <cell r="D768">
            <v>49001018</v>
          </cell>
          <cell r="E768">
            <v>0</v>
          </cell>
        </row>
        <row r="769">
          <cell r="A769" t="str">
            <v>AA987A</v>
          </cell>
          <cell r="B769" t="str">
            <v>MSA 1500 Fibre Channel I/O Module</v>
          </cell>
          <cell r="C769" t="str">
            <v>1Y</v>
          </cell>
          <cell r="D769">
            <v>1757796</v>
          </cell>
          <cell r="E769">
            <v>0</v>
          </cell>
        </row>
        <row r="770">
          <cell r="A770" t="str">
            <v>AA988A</v>
          </cell>
          <cell r="B770" t="str">
            <v>MSA 1500 Dual Channel SCSI I/O Module</v>
          </cell>
          <cell r="C770" t="str">
            <v>1Y</v>
          </cell>
          <cell r="D770">
            <v>2460914</v>
          </cell>
          <cell r="E770">
            <v>0</v>
          </cell>
        </row>
        <row r="771">
          <cell r="A771" t="str">
            <v>AD509A</v>
          </cell>
          <cell r="B771" t="str">
            <v>MSA1500 cs w/Serial ATA enclosure</v>
          </cell>
          <cell r="C771" t="str">
            <v>1Y</v>
          </cell>
          <cell r="D771">
            <v>54448602</v>
          </cell>
          <cell r="E771">
            <v>0</v>
          </cell>
        </row>
        <row r="772">
          <cell r="A772" t="str">
            <v>AD510A</v>
          </cell>
          <cell r="B772" t="str">
            <v>MSA1500 cs w/SCSI enclosure</v>
          </cell>
          <cell r="C772" t="str">
            <v>1Y</v>
          </cell>
          <cell r="D772">
            <v>54448602</v>
          </cell>
          <cell r="E772">
            <v>0</v>
          </cell>
        </row>
        <row r="773">
          <cell r="A773" t="str">
            <v>AD511A</v>
          </cell>
          <cell r="B773" t="str">
            <v>MSA1500 Upgrade Controller Shelf</v>
          </cell>
          <cell r="C773" t="str">
            <v>1Y</v>
          </cell>
          <cell r="D773">
            <v>23413843</v>
          </cell>
          <cell r="E773">
            <v>0</v>
          </cell>
        </row>
        <row r="775">
          <cell r="A775" t="str">
            <v>MSA Options Others</v>
          </cell>
        </row>
        <row r="776">
          <cell r="A776" t="str">
            <v>150214-B21</v>
          </cell>
          <cell r="B776" t="str">
            <v>SW 4000 39FT CABLE ALL</v>
          </cell>
          <cell r="C776" t="str">
            <v>1Y</v>
          </cell>
          <cell r="D776">
            <v>832000</v>
          </cell>
          <cell r="E776">
            <v>0</v>
          </cell>
        </row>
        <row r="777">
          <cell r="A777" t="str">
            <v>218960-B21</v>
          </cell>
          <cell r="B777" t="str">
            <v>MSA 1000 Fibre Channel I/O Module</v>
          </cell>
          <cell r="C777" t="str">
            <v>1Y</v>
          </cell>
          <cell r="D777">
            <v>1757796</v>
          </cell>
          <cell r="E777">
            <v>0</v>
          </cell>
        </row>
        <row r="778">
          <cell r="A778" t="str">
            <v>338296-B21</v>
          </cell>
          <cell r="B778" t="str">
            <v>Power Supply 499 Watts</v>
          </cell>
          <cell r="C778" t="str">
            <v>1Y</v>
          </cell>
          <cell r="D778">
            <v>1080000</v>
          </cell>
          <cell r="E778">
            <v>0</v>
          </cell>
        </row>
        <row r="779">
          <cell r="A779" t="str">
            <v>338296-B22</v>
          </cell>
          <cell r="B779" t="str">
            <v>Power Supply 499 watts</v>
          </cell>
          <cell r="C779" t="str">
            <v>1Y</v>
          </cell>
          <cell r="D779">
            <v>1080000</v>
          </cell>
          <cell r="E779">
            <v>0</v>
          </cell>
        </row>
        <row r="781">
          <cell r="A781" t="str">
            <v>StorageWorks - Network Infrastructure</v>
          </cell>
        </row>
        <row r="782">
          <cell r="A782" t="str">
            <v>iSCSI router</v>
          </cell>
        </row>
        <row r="783">
          <cell r="A783" t="str">
            <v>350074-B21</v>
          </cell>
          <cell r="B783" t="str">
            <v>HP Storage Router 2122-2</v>
          </cell>
          <cell r="C783" t="str">
            <v>LL</v>
          </cell>
          <cell r="D783">
            <v>63394675</v>
          </cell>
          <cell r="E783">
            <v>0</v>
          </cell>
        </row>
        <row r="785">
          <cell r="A785" t="str">
            <v>M-series FC switch &amp; SW</v>
          </cell>
        </row>
        <row r="786">
          <cell r="A786" t="str">
            <v>302660-B21</v>
          </cell>
          <cell r="B786" t="str">
            <v>8-Flexport Ugd 2/32 ALL</v>
          </cell>
          <cell r="C786" t="str">
            <v>LL</v>
          </cell>
          <cell r="D786">
            <v>41195973</v>
          </cell>
          <cell r="E786">
            <v>0</v>
          </cell>
        </row>
        <row r="787">
          <cell r="A787" t="str">
            <v>316095-B21</v>
          </cell>
          <cell r="B787" t="str">
            <v>HP StorageWorks Edge Switch 2/24</v>
          </cell>
          <cell r="C787" t="str">
            <v>LL</v>
          </cell>
          <cell r="D787">
            <v>48391269</v>
          </cell>
          <cell r="E787">
            <v>0</v>
          </cell>
        </row>
        <row r="788">
          <cell r="A788" t="str">
            <v>316096-B21</v>
          </cell>
          <cell r="B788" t="str">
            <v>hp StorageWorks 8 port upg</v>
          </cell>
          <cell r="C788" t="str">
            <v>LL</v>
          </cell>
          <cell r="D788">
            <v>37276069</v>
          </cell>
          <cell r="E788">
            <v>0</v>
          </cell>
        </row>
        <row r="789">
          <cell r="A789" t="str">
            <v>317069-B21</v>
          </cell>
          <cell r="B789" t="str">
            <v>2/16 Santegrity BD LC LTU</v>
          </cell>
          <cell r="C789" t="str">
            <v>LL</v>
          </cell>
          <cell r="D789">
            <v>11881219</v>
          </cell>
          <cell r="E789">
            <v>0</v>
          </cell>
        </row>
        <row r="790">
          <cell r="A790" t="str">
            <v>317070-B21</v>
          </cell>
          <cell r="B790" t="str">
            <v>2/24 Santegrity BD LC LTU</v>
          </cell>
          <cell r="C790" t="str">
            <v>LL</v>
          </cell>
          <cell r="D790">
            <v>12145363</v>
          </cell>
          <cell r="E790">
            <v>0</v>
          </cell>
        </row>
        <row r="791">
          <cell r="A791" t="str">
            <v>317071-B21</v>
          </cell>
          <cell r="B791" t="str">
            <v>2/32 Santegrity BD LC LTU</v>
          </cell>
          <cell r="C791" t="str">
            <v>LL</v>
          </cell>
          <cell r="D791">
            <v>15843386</v>
          </cell>
          <cell r="E791">
            <v>0</v>
          </cell>
        </row>
        <row r="792">
          <cell r="A792" t="str">
            <v>348406-B21</v>
          </cell>
          <cell r="B792" t="str">
            <v>Edge Switch 2/12 ALL</v>
          </cell>
          <cell r="C792" t="str">
            <v>LL</v>
          </cell>
          <cell r="D792">
            <v>30508687</v>
          </cell>
          <cell r="E792">
            <v>0</v>
          </cell>
        </row>
        <row r="793">
          <cell r="A793" t="str">
            <v>348407-B21</v>
          </cell>
          <cell r="B793" t="str">
            <v>Upg Kit, 4 Port 2/12 ALL</v>
          </cell>
          <cell r="C793" t="str">
            <v>LL</v>
          </cell>
          <cell r="D793">
            <v>3164451</v>
          </cell>
          <cell r="E793">
            <v>0</v>
          </cell>
        </row>
        <row r="794">
          <cell r="A794" t="str">
            <v>348408-B21</v>
          </cell>
          <cell r="B794" t="str">
            <v>2/12 E-Port License ALL</v>
          </cell>
          <cell r="C794" t="str">
            <v>LL</v>
          </cell>
          <cell r="D794">
            <v>10560496</v>
          </cell>
          <cell r="E794">
            <v>0</v>
          </cell>
        </row>
        <row r="796">
          <cell r="A796" t="str">
            <v>FC HBAs</v>
          </cell>
        </row>
        <row r="797">
          <cell r="A797" t="str">
            <v>281541-B21</v>
          </cell>
          <cell r="B797" t="str">
            <v>FCA2214 2Gb FC HBA for Linux and Windows</v>
          </cell>
          <cell r="C797" t="str">
            <v>LL</v>
          </cell>
          <cell r="D797">
            <v>11078866</v>
          </cell>
          <cell r="E797">
            <v>0</v>
          </cell>
        </row>
        <row r="798">
          <cell r="A798" t="str">
            <v>305573-B21</v>
          </cell>
          <cell r="B798" t="str">
            <v>FCA2404 PCIx 2GB FC HBA for Win</v>
          </cell>
          <cell r="C798" t="str">
            <v>LL</v>
          </cell>
          <cell r="D798">
            <v>10800152</v>
          </cell>
          <cell r="E798">
            <v>0</v>
          </cell>
        </row>
        <row r="799">
          <cell r="A799" t="str">
            <v>308540-B21</v>
          </cell>
          <cell r="B799" t="str">
            <v>2Gb FC PCI Host Bus Adapter W2K</v>
          </cell>
          <cell r="C799" t="str">
            <v>LL</v>
          </cell>
          <cell r="D799">
            <v>19196399</v>
          </cell>
          <cell r="E799">
            <v>0</v>
          </cell>
        </row>
        <row r="800">
          <cell r="A800" t="str">
            <v>321835-B21</v>
          </cell>
          <cell r="B800" t="str">
            <v>2GB Dual Channel PCIx FC HBA</v>
          </cell>
          <cell r="C800" t="str">
            <v>LL</v>
          </cell>
          <cell r="D800">
            <v>17419600</v>
          </cell>
          <cell r="E800">
            <v>0</v>
          </cell>
        </row>
        <row r="801">
          <cell r="A801" t="str">
            <v>323264-B21</v>
          </cell>
          <cell r="B801" t="str">
            <v>FCA2404DC 2GB Dual Channel PCI-X for Win</v>
          </cell>
          <cell r="C801" t="str">
            <v>LL</v>
          </cell>
          <cell r="D801">
            <v>17419600</v>
          </cell>
          <cell r="E801">
            <v>0</v>
          </cell>
        </row>
        <row r="802">
          <cell r="A802" t="str">
            <v>343073-B21</v>
          </cell>
          <cell r="B802" t="str">
            <v>E982 PCIx 2GB Fibre Channel HBA All</v>
          </cell>
          <cell r="C802" t="str">
            <v>LL</v>
          </cell>
          <cell r="D802">
            <v>10103368</v>
          </cell>
          <cell r="E802">
            <v>0</v>
          </cell>
        </row>
        <row r="803">
          <cell r="A803" t="str">
            <v>A7387A</v>
          </cell>
          <cell r="B803" t="str">
            <v>2GB PCI-X 64 BIT 133Mhz Dual Channel</v>
          </cell>
          <cell r="C803" t="str">
            <v>LL</v>
          </cell>
          <cell r="D803">
            <v>17071208</v>
          </cell>
          <cell r="E803">
            <v>0</v>
          </cell>
        </row>
        <row r="804">
          <cell r="A804" t="str">
            <v>A7388A</v>
          </cell>
          <cell r="B804" t="str">
            <v>PCI-X 64 bit 133mhz 2GB for Windows</v>
          </cell>
          <cell r="C804" t="str">
            <v>LL</v>
          </cell>
          <cell r="D804">
            <v>10591117</v>
          </cell>
          <cell r="E804">
            <v>0</v>
          </cell>
        </row>
        <row r="805">
          <cell r="A805" t="str">
            <v>AB232A</v>
          </cell>
          <cell r="B805" t="str">
            <v>2Gb PCI-X FC HBA for Windows, 64 bit</v>
          </cell>
          <cell r="C805" t="str">
            <v>LL</v>
          </cell>
          <cell r="D805">
            <v>8188479</v>
          </cell>
          <cell r="E805">
            <v>0</v>
          </cell>
        </row>
        <row r="807">
          <cell r="A807" t="str">
            <v>B-series FC switch &amp; SW</v>
          </cell>
        </row>
        <row r="808">
          <cell r="A808" t="str">
            <v>240603-B21</v>
          </cell>
          <cell r="B808" t="str">
            <v>32 Port SAN 2 GB ALL</v>
          </cell>
          <cell r="C808" t="str">
            <v>LL</v>
          </cell>
          <cell r="D808">
            <v>199339273</v>
          </cell>
          <cell r="E808">
            <v>0</v>
          </cell>
        </row>
        <row r="809">
          <cell r="A809" t="str">
            <v>288247-B21</v>
          </cell>
          <cell r="B809" t="str">
            <v>MSA SAN Switch 2/8</v>
          </cell>
          <cell r="C809" t="str">
            <v>LL</v>
          </cell>
          <cell r="D809">
            <v>33810493</v>
          </cell>
          <cell r="E809">
            <v>0</v>
          </cell>
        </row>
        <row r="810">
          <cell r="A810" t="str">
            <v>313448-B21</v>
          </cell>
          <cell r="B810" t="str">
            <v>HP StgWks 32-prt PwrPk License</v>
          </cell>
          <cell r="C810" t="str">
            <v>LL</v>
          </cell>
          <cell r="D810">
            <v>63394675</v>
          </cell>
          <cell r="E810">
            <v>0</v>
          </cell>
        </row>
        <row r="811">
          <cell r="A811" t="str">
            <v>313450-B21</v>
          </cell>
          <cell r="B811" t="str">
            <v>San Switch 2/32 Adv Perf Monitor LTU ALL</v>
          </cell>
          <cell r="C811" t="str">
            <v>LL</v>
          </cell>
          <cell r="D811">
            <v>21791920</v>
          </cell>
          <cell r="E811">
            <v>0</v>
          </cell>
        </row>
        <row r="812">
          <cell r="A812" t="str">
            <v>313452-B21</v>
          </cell>
          <cell r="B812" t="str">
            <v>2/32 ISL Trunking LTU ALL</v>
          </cell>
          <cell r="C812" t="str">
            <v>LL</v>
          </cell>
          <cell r="D812">
            <v>27735170</v>
          </cell>
          <cell r="E812">
            <v>0</v>
          </cell>
        </row>
        <row r="813">
          <cell r="A813" t="str">
            <v>313454-B21</v>
          </cell>
          <cell r="B813" t="str">
            <v>2/32 Fabric Watch LTU ALL</v>
          </cell>
          <cell r="C813" t="str">
            <v>LL</v>
          </cell>
          <cell r="D813">
            <v>19810836</v>
          </cell>
          <cell r="E813">
            <v>0</v>
          </cell>
        </row>
        <row r="814">
          <cell r="A814" t="str">
            <v>313458-B21</v>
          </cell>
          <cell r="B814" t="str">
            <v>Extended Fabrics, SAN Switch 2/32</v>
          </cell>
          <cell r="C814" t="str">
            <v>LL</v>
          </cell>
          <cell r="D814">
            <v>21791920</v>
          </cell>
          <cell r="E814">
            <v>0</v>
          </cell>
        </row>
        <row r="815">
          <cell r="A815" t="str">
            <v>313460-B21</v>
          </cell>
          <cell r="B815" t="str">
            <v>Remote Switch, SAN Switch 2/32</v>
          </cell>
          <cell r="C815" t="str">
            <v>LL</v>
          </cell>
          <cell r="D815">
            <v>43583839</v>
          </cell>
          <cell r="E815">
            <v>0</v>
          </cell>
        </row>
        <row r="816">
          <cell r="A816" t="str">
            <v>322118-B21</v>
          </cell>
          <cell r="B816" t="str">
            <v>SAN Switch 2/16 BS</v>
          </cell>
          <cell r="C816" t="str">
            <v>LL</v>
          </cell>
          <cell r="D816">
            <v>102709940</v>
          </cell>
          <cell r="E816">
            <v>0</v>
          </cell>
        </row>
        <row r="817">
          <cell r="A817" t="str">
            <v>324504-B21</v>
          </cell>
          <cell r="B817" t="str">
            <v>Fabric Watch 2GB SAN SW LTU</v>
          </cell>
          <cell r="C817" t="str">
            <v>LL</v>
          </cell>
          <cell r="D817">
            <v>13201941</v>
          </cell>
          <cell r="E817">
            <v>0</v>
          </cell>
        </row>
        <row r="818">
          <cell r="A818" t="str">
            <v>324505-B21</v>
          </cell>
          <cell r="B818" t="str">
            <v>Extended Fabric 2/8, 2/16 SAN SW LTU</v>
          </cell>
          <cell r="C818" t="str">
            <v>LL</v>
          </cell>
          <cell r="D818">
            <v>20603269</v>
          </cell>
          <cell r="E818">
            <v>0</v>
          </cell>
        </row>
        <row r="819">
          <cell r="A819" t="str">
            <v>324506-B21</v>
          </cell>
          <cell r="B819" t="str">
            <v>ISL Trunking 2/8, 2/16 SAN SW LTU</v>
          </cell>
          <cell r="C819" t="str">
            <v>LL</v>
          </cell>
          <cell r="D819">
            <v>20074980</v>
          </cell>
          <cell r="E819">
            <v>0</v>
          </cell>
        </row>
        <row r="820">
          <cell r="A820" t="str">
            <v>324507-B21</v>
          </cell>
          <cell r="B820" t="str">
            <v>Advanced Perf Monitor 2/8 SAN SW LTU</v>
          </cell>
          <cell r="C820" t="str">
            <v>LL</v>
          </cell>
          <cell r="D820">
            <v>12678935</v>
          </cell>
          <cell r="E820">
            <v>0</v>
          </cell>
        </row>
        <row r="821">
          <cell r="A821" t="str">
            <v>324508-B21</v>
          </cell>
          <cell r="B821" t="str">
            <v>Quickloop 2/8, 2/16 SAN SW LTU</v>
          </cell>
          <cell r="C821" t="str">
            <v>LL</v>
          </cell>
          <cell r="D821">
            <v>4754601</v>
          </cell>
          <cell r="E821">
            <v>0</v>
          </cell>
        </row>
        <row r="822">
          <cell r="A822" t="str">
            <v>325888-B21</v>
          </cell>
          <cell r="B822" t="str">
            <v>San Switch 2/8-EL Upgrade</v>
          </cell>
          <cell r="C822" t="str">
            <v>LL</v>
          </cell>
          <cell r="D822">
            <v>15848669</v>
          </cell>
          <cell r="E822">
            <v>0</v>
          </cell>
        </row>
        <row r="823">
          <cell r="A823" t="str">
            <v>325889-B21</v>
          </cell>
          <cell r="B823" t="str">
            <v>San Switch 2/16-EL Upgrade</v>
          </cell>
          <cell r="C823" t="str">
            <v>LL</v>
          </cell>
          <cell r="D823">
            <v>73960454</v>
          </cell>
          <cell r="E823">
            <v>0</v>
          </cell>
        </row>
        <row r="824">
          <cell r="A824" t="str">
            <v>325891-B21</v>
          </cell>
          <cell r="B824" t="str">
            <v>Remote Switch 2/8, 2/16 SAN SW LTU</v>
          </cell>
          <cell r="C824" t="str">
            <v>LL</v>
          </cell>
          <cell r="D824">
            <v>15848669</v>
          </cell>
          <cell r="E824">
            <v>0</v>
          </cell>
        </row>
        <row r="825">
          <cell r="A825" t="str">
            <v>325892-B21</v>
          </cell>
          <cell r="B825" t="str">
            <v>Power Pac Bundle 2/8,2/16 LTU</v>
          </cell>
          <cell r="C825" t="str">
            <v>LL</v>
          </cell>
          <cell r="D825">
            <v>43319695</v>
          </cell>
          <cell r="E825">
            <v>0</v>
          </cell>
        </row>
        <row r="826">
          <cell r="A826" t="str">
            <v>332923-B21</v>
          </cell>
          <cell r="B826" t="str">
            <v>SAN Security 1Gb/s SAN Switches V2.6.1FW</v>
          </cell>
          <cell r="C826" t="str">
            <v>LL</v>
          </cell>
          <cell r="D826">
            <v>23244714</v>
          </cell>
          <cell r="E826">
            <v>0</v>
          </cell>
        </row>
        <row r="827">
          <cell r="A827" t="str">
            <v>332924-B21</v>
          </cell>
          <cell r="B827" t="str">
            <v>SAN Security 2/8EL-2/16 Switches V3.1 FW</v>
          </cell>
          <cell r="C827" t="str">
            <v>LL</v>
          </cell>
          <cell r="D827">
            <v>23244714</v>
          </cell>
          <cell r="E827">
            <v>0</v>
          </cell>
        </row>
        <row r="828">
          <cell r="A828" t="str">
            <v>332925-B21</v>
          </cell>
          <cell r="B828" t="str">
            <v>SAN Security SAN Switch 2/32 w/4.1 FW</v>
          </cell>
          <cell r="C828" t="str">
            <v>LL</v>
          </cell>
          <cell r="D828">
            <v>39621672</v>
          </cell>
          <cell r="E828">
            <v>0</v>
          </cell>
        </row>
        <row r="829">
          <cell r="A829" t="str">
            <v>332927-B21</v>
          </cell>
          <cell r="B829" t="str">
            <v>SAN Security V 261 KIT ALL</v>
          </cell>
          <cell r="C829" t="str">
            <v>LL</v>
          </cell>
          <cell r="D829">
            <v>528289</v>
          </cell>
          <cell r="E829">
            <v>0</v>
          </cell>
        </row>
        <row r="830">
          <cell r="A830" t="str">
            <v>332928-B21</v>
          </cell>
          <cell r="B830" t="str">
            <v>SAN Security V3.1 KIT ALL</v>
          </cell>
          <cell r="C830" t="str">
            <v>LL</v>
          </cell>
          <cell r="D830">
            <v>528289</v>
          </cell>
          <cell r="E830">
            <v>0</v>
          </cell>
        </row>
        <row r="831">
          <cell r="A831" t="str">
            <v>332929-B21</v>
          </cell>
          <cell r="B831" t="str">
            <v>SAN Security 2/32 and 2/64 DOC KIT</v>
          </cell>
          <cell r="C831" t="str">
            <v>LL</v>
          </cell>
          <cell r="D831">
            <v>528289</v>
          </cell>
          <cell r="E831">
            <v>0</v>
          </cell>
        </row>
        <row r="832">
          <cell r="A832" t="str">
            <v>333764-B21</v>
          </cell>
          <cell r="B832" t="str">
            <v>HPSW SAN Switch 2/32 PowerPak ALL</v>
          </cell>
          <cell r="C832" t="str">
            <v>LL</v>
          </cell>
          <cell r="D832">
            <v>263579211</v>
          </cell>
          <cell r="E832">
            <v>0</v>
          </cell>
        </row>
        <row r="833">
          <cell r="A833" t="str">
            <v>AA975A</v>
          </cell>
          <cell r="B833" t="str">
            <v>HP StorageWorks 2/8V full fabric Upg LTU</v>
          </cell>
          <cell r="C833" t="str">
            <v>LL</v>
          </cell>
          <cell r="D833">
            <v>13735513</v>
          </cell>
          <cell r="E833">
            <v>0</v>
          </cell>
        </row>
        <row r="834">
          <cell r="A834" t="str">
            <v>AA976A</v>
          </cell>
          <cell r="B834" t="str">
            <v>HP StorageWorks 2/16V FullFabric Upg LTU</v>
          </cell>
          <cell r="C834" t="str">
            <v>LL</v>
          </cell>
          <cell r="D834">
            <v>28527604</v>
          </cell>
          <cell r="E834">
            <v>0</v>
          </cell>
        </row>
        <row r="835">
          <cell r="A835" t="str">
            <v>AA977A</v>
          </cell>
          <cell r="B835" t="str">
            <v>HP StorageWorks SAN switch 2/16N Pwr Pak</v>
          </cell>
          <cell r="C835" t="str">
            <v>LL</v>
          </cell>
          <cell r="D835">
            <v>118865016</v>
          </cell>
          <cell r="E835">
            <v>0</v>
          </cell>
        </row>
        <row r="836">
          <cell r="A836" t="str">
            <v>AA978A</v>
          </cell>
          <cell r="B836" t="str">
            <v>HP StorageWorks SAN switch 2/16V</v>
          </cell>
          <cell r="C836" t="str">
            <v>LL</v>
          </cell>
          <cell r="D836">
            <v>66036120</v>
          </cell>
          <cell r="E836">
            <v>0</v>
          </cell>
        </row>
        <row r="837">
          <cell r="A837" t="str">
            <v>AA979A</v>
          </cell>
          <cell r="B837" t="str">
            <v>HP StorageWorks SAN switch 2/8V</v>
          </cell>
          <cell r="C837" t="str">
            <v>LL</v>
          </cell>
          <cell r="D837">
            <v>26414448</v>
          </cell>
          <cell r="E837">
            <v>0</v>
          </cell>
        </row>
        <row r="838">
          <cell r="A838" t="str">
            <v>AA980A</v>
          </cell>
          <cell r="B838" t="str">
            <v>HP StorageWorks SAN switch 2/8V pwr pack</v>
          </cell>
          <cell r="C838" t="str">
            <v>LL</v>
          </cell>
          <cell r="D838">
            <v>50187451</v>
          </cell>
          <cell r="E838">
            <v>0</v>
          </cell>
        </row>
        <row r="839">
          <cell r="A839" t="str">
            <v>AA990A</v>
          </cell>
          <cell r="B839" t="str">
            <v>HP StorageWorks SAN Sw 2/16N full fabric</v>
          </cell>
          <cell r="C839" t="str">
            <v>LL</v>
          </cell>
          <cell r="D839">
            <v>87167678</v>
          </cell>
          <cell r="E839">
            <v>0</v>
          </cell>
        </row>
        <row r="840">
          <cell r="A840" t="str">
            <v>T3572A</v>
          </cell>
          <cell r="B840" t="str">
            <v>HP StorageWorks 2/16V 2-4 switch Upg LTU</v>
          </cell>
          <cell r="C840" t="str">
            <v>LL</v>
          </cell>
          <cell r="D840">
            <v>14263802</v>
          </cell>
          <cell r="E840">
            <v>0</v>
          </cell>
        </row>
        <row r="841">
          <cell r="A841" t="str">
            <v>T3573A</v>
          </cell>
          <cell r="B841" t="str">
            <v>HP StorageWorks 2/8V Pwr Pak Upgrade LTU</v>
          </cell>
          <cell r="C841" t="str">
            <v>LL</v>
          </cell>
          <cell r="D841">
            <v>28527604</v>
          </cell>
          <cell r="E841">
            <v>0</v>
          </cell>
        </row>
        <row r="842">
          <cell r="A842" t="str">
            <v>T3574A</v>
          </cell>
          <cell r="B842" t="str">
            <v>HP StorageWorks 2/16V Pwr Pak Upg LTU</v>
          </cell>
          <cell r="C842" t="str">
            <v>LL</v>
          </cell>
          <cell r="D842">
            <v>34338782</v>
          </cell>
          <cell r="E842">
            <v>0</v>
          </cell>
        </row>
        <row r="844">
          <cell r="A844" t="str">
            <v>Cables &amp; Transceivers</v>
          </cell>
        </row>
        <row r="845">
          <cell r="A845" t="str">
            <v>164604-B21</v>
          </cell>
          <cell r="B845" t="str">
            <v>24FT SCSI CABLE ALL ALL</v>
          </cell>
          <cell r="C845" t="str">
            <v>LL</v>
          </cell>
          <cell r="D845">
            <v>708000</v>
          </cell>
          <cell r="E845">
            <v>0</v>
          </cell>
        </row>
        <row r="846">
          <cell r="A846" t="str">
            <v>221470-B21</v>
          </cell>
          <cell r="B846" t="str">
            <v>2Gb SFF-SW Trncvr Kit ALL</v>
          </cell>
          <cell r="C846" t="str">
            <v>LL</v>
          </cell>
          <cell r="D846">
            <v>1934937</v>
          </cell>
          <cell r="E846">
            <v>0</v>
          </cell>
        </row>
        <row r="847">
          <cell r="A847" t="str">
            <v>221691-B21</v>
          </cell>
          <cell r="B847" t="str">
            <v>2m SW LC/SC FC Cable ALL</v>
          </cell>
          <cell r="C847" t="str">
            <v>LL</v>
          </cell>
          <cell r="D847">
            <v>536524</v>
          </cell>
          <cell r="E847">
            <v>0</v>
          </cell>
        </row>
        <row r="848">
          <cell r="A848" t="str">
            <v>221691-B22</v>
          </cell>
          <cell r="B848" t="str">
            <v>5m SW LC/SC FC Cable ALL</v>
          </cell>
          <cell r="C848" t="str">
            <v>LL</v>
          </cell>
          <cell r="D848">
            <v>571363</v>
          </cell>
          <cell r="E848">
            <v>0</v>
          </cell>
        </row>
        <row r="849">
          <cell r="A849" t="str">
            <v>221691-B23</v>
          </cell>
          <cell r="B849" t="str">
            <v>15m SW LC/SC FC Cable ALL</v>
          </cell>
          <cell r="C849" t="str">
            <v>LL</v>
          </cell>
          <cell r="D849">
            <v>717688</v>
          </cell>
          <cell r="E849">
            <v>0</v>
          </cell>
        </row>
        <row r="850">
          <cell r="A850" t="str">
            <v>221691-B26</v>
          </cell>
          <cell r="B850" t="str">
            <v>F/C cable,LC-SC, SW,30M ALL</v>
          </cell>
          <cell r="C850" t="str">
            <v>LL</v>
          </cell>
          <cell r="D850">
            <v>933691</v>
          </cell>
          <cell r="E850">
            <v>0</v>
          </cell>
        </row>
        <row r="851">
          <cell r="A851" t="str">
            <v>221691-B27</v>
          </cell>
          <cell r="B851" t="str">
            <v>F/C cable,LC-SC, SW,50M ALL</v>
          </cell>
          <cell r="C851" t="str">
            <v>LL</v>
          </cell>
          <cell r="D851">
            <v>1337825</v>
          </cell>
          <cell r="E851">
            <v>0</v>
          </cell>
        </row>
        <row r="852">
          <cell r="A852" t="str">
            <v>221692-B21</v>
          </cell>
          <cell r="B852" t="str">
            <v>Storage Works LC/LC 2m Cable</v>
          </cell>
          <cell r="C852" t="str">
            <v>LL</v>
          </cell>
          <cell r="D852">
            <v>536524</v>
          </cell>
          <cell r="E852">
            <v>0</v>
          </cell>
        </row>
        <row r="853">
          <cell r="A853" t="str">
            <v>221692-B22</v>
          </cell>
          <cell r="B853" t="str">
            <v>5m SW LC/LC FC Cable ALL</v>
          </cell>
          <cell r="C853" t="str">
            <v>LL</v>
          </cell>
          <cell r="D853">
            <v>571363</v>
          </cell>
          <cell r="E853">
            <v>0</v>
          </cell>
        </row>
        <row r="854">
          <cell r="A854" t="str">
            <v>221692-B23</v>
          </cell>
          <cell r="B854" t="str">
            <v>Storage Works LC/LC 15m Cable</v>
          </cell>
          <cell r="C854" t="str">
            <v>LL</v>
          </cell>
          <cell r="D854">
            <v>717688</v>
          </cell>
          <cell r="E854">
            <v>0</v>
          </cell>
        </row>
        <row r="855">
          <cell r="A855" t="str">
            <v>221692-B26</v>
          </cell>
          <cell r="B855" t="str">
            <v>F/C cable,LC-LC, SW,30M ALL</v>
          </cell>
          <cell r="C855" t="str">
            <v>LL</v>
          </cell>
          <cell r="D855">
            <v>933691</v>
          </cell>
          <cell r="E855">
            <v>0</v>
          </cell>
        </row>
        <row r="856">
          <cell r="A856" t="str">
            <v>221692-B27</v>
          </cell>
          <cell r="B856" t="str">
            <v>F/C cable,LC-LC, SW,50M ALL</v>
          </cell>
          <cell r="C856" t="str">
            <v>LL</v>
          </cell>
          <cell r="D856">
            <v>1337825</v>
          </cell>
          <cell r="E856">
            <v>0</v>
          </cell>
        </row>
        <row r="857">
          <cell r="A857" t="str">
            <v>234457-B22</v>
          </cell>
          <cell r="B857" t="str">
            <v>Fbre Ch Cable-SW 5m ALL</v>
          </cell>
          <cell r="C857" t="str">
            <v>LL</v>
          </cell>
          <cell r="D857">
            <v>794334</v>
          </cell>
          <cell r="E857">
            <v>0</v>
          </cell>
        </row>
        <row r="858">
          <cell r="A858" t="str">
            <v>234457-B23</v>
          </cell>
          <cell r="B858" t="str">
            <v>Fbre Ch Cable-SW 15m ALL</v>
          </cell>
          <cell r="C858" t="str">
            <v>LL</v>
          </cell>
          <cell r="D858">
            <v>1191501</v>
          </cell>
          <cell r="E858">
            <v>0</v>
          </cell>
        </row>
        <row r="859">
          <cell r="A859" t="str">
            <v>234457-B24</v>
          </cell>
          <cell r="B859" t="str">
            <v>Fbre CH Cable-SW 30m ALL</v>
          </cell>
          <cell r="C859" t="str">
            <v>LL</v>
          </cell>
          <cell r="D859">
            <v>1978867</v>
          </cell>
          <cell r="E859">
            <v>0</v>
          </cell>
        </row>
        <row r="860">
          <cell r="A860" t="str">
            <v>234457-B25</v>
          </cell>
          <cell r="B860" t="str">
            <v>Fbre Ch Cable SW 50M ALL</v>
          </cell>
          <cell r="C860" t="str">
            <v>LL</v>
          </cell>
          <cell r="D860">
            <v>2376033</v>
          </cell>
          <cell r="E860">
            <v>0</v>
          </cell>
        </row>
        <row r="861">
          <cell r="A861" t="str">
            <v>300834-B21</v>
          </cell>
          <cell r="B861" t="str">
            <v>500m Optical Tran  ALL</v>
          </cell>
          <cell r="C861" t="str">
            <v>LL</v>
          </cell>
          <cell r="D861">
            <v>1934937</v>
          </cell>
          <cell r="E861">
            <v>0</v>
          </cell>
        </row>
        <row r="862">
          <cell r="A862" t="str">
            <v>300835-B21</v>
          </cell>
          <cell r="B862" t="str">
            <v>10Km LD Opti Tran  ALL</v>
          </cell>
          <cell r="C862" t="str">
            <v>LL</v>
          </cell>
          <cell r="D862">
            <v>3164451</v>
          </cell>
          <cell r="E862">
            <v>0</v>
          </cell>
        </row>
        <row r="863">
          <cell r="A863" t="str">
            <v>300836-B21</v>
          </cell>
          <cell r="B863" t="str">
            <v>35Km ExtRch Opti Trankit ALL</v>
          </cell>
          <cell r="C863" t="str">
            <v>LL</v>
          </cell>
          <cell r="D863">
            <v>8975629</v>
          </cell>
          <cell r="E863">
            <v>0</v>
          </cell>
        </row>
        <row r="864">
          <cell r="A864" t="str">
            <v>328215-001</v>
          </cell>
          <cell r="B864" t="str">
            <v>SCSI, Diff. Cable/ 5m US</v>
          </cell>
          <cell r="C864" t="str">
            <v>LL</v>
          </cell>
          <cell r="D864">
            <v>480781</v>
          </cell>
          <cell r="E864">
            <v>0</v>
          </cell>
        </row>
        <row r="865">
          <cell r="A865" t="str">
            <v>328215-002</v>
          </cell>
          <cell r="B865" t="str">
            <v>SCSI Diff. Cable/ 10m US</v>
          </cell>
          <cell r="C865" t="str">
            <v>LL</v>
          </cell>
          <cell r="D865">
            <v>708000</v>
          </cell>
          <cell r="E865">
            <v>0</v>
          </cell>
        </row>
        <row r="866">
          <cell r="A866" t="str">
            <v>328215-003</v>
          </cell>
          <cell r="B866" t="str">
            <v>SCSI Diff. Cable/ 15m US</v>
          </cell>
          <cell r="C866" t="str">
            <v>LL</v>
          </cell>
          <cell r="D866">
            <v>905819</v>
          </cell>
          <cell r="E866">
            <v>0</v>
          </cell>
        </row>
        <row r="867">
          <cell r="A867" t="str">
            <v>328215-004</v>
          </cell>
          <cell r="B867" t="str">
            <v>SCSI Diff. Cable/ 20m US</v>
          </cell>
          <cell r="C867" t="str">
            <v>LL</v>
          </cell>
          <cell r="D867">
            <v>1123000</v>
          </cell>
          <cell r="E867">
            <v>0</v>
          </cell>
        </row>
        <row r="868">
          <cell r="A868" t="str">
            <v>341174-B21</v>
          </cell>
          <cell r="B868" t="str">
            <v>Cable 6ft Ext VHDCI/VHDCI</v>
          </cell>
          <cell r="C868" t="str">
            <v>LL</v>
          </cell>
          <cell r="D868">
            <v>397167</v>
          </cell>
          <cell r="E868">
            <v>0</v>
          </cell>
        </row>
        <row r="869">
          <cell r="A869" t="str">
            <v>341175-B21</v>
          </cell>
          <cell r="B869" t="str">
            <v>VHDCI/VHDCI 12ft Ext All</v>
          </cell>
          <cell r="C869" t="str">
            <v>LL</v>
          </cell>
          <cell r="D869">
            <v>599234</v>
          </cell>
          <cell r="E869">
            <v>0</v>
          </cell>
        </row>
        <row r="870">
          <cell r="A870" t="str">
            <v>341176-B21</v>
          </cell>
          <cell r="B870" t="str">
            <v>Cable Offset 6ft Ext VHDCI/WIDE</v>
          </cell>
          <cell r="C870" t="str">
            <v>LL</v>
          </cell>
          <cell r="D870">
            <v>397167</v>
          </cell>
          <cell r="E870">
            <v>0</v>
          </cell>
        </row>
        <row r="871">
          <cell r="A871" t="str">
            <v>341177-B21</v>
          </cell>
          <cell r="B871" t="str">
            <v>Cable Offset 12ft Ext VHDCI/WIDE</v>
          </cell>
          <cell r="C871" t="str">
            <v>LL</v>
          </cell>
          <cell r="D871">
            <v>599234</v>
          </cell>
          <cell r="E871">
            <v>0</v>
          </cell>
        </row>
        <row r="872">
          <cell r="A872" t="str">
            <v>400982-002</v>
          </cell>
          <cell r="B872" t="str">
            <v>VHDCI 2.0M SHLD CBL US</v>
          </cell>
          <cell r="C872" t="str">
            <v>LL</v>
          </cell>
          <cell r="D872">
            <v>734000</v>
          </cell>
          <cell r="E872">
            <v>0</v>
          </cell>
        </row>
        <row r="873">
          <cell r="A873" t="str">
            <v>400983-005</v>
          </cell>
          <cell r="B873" t="str">
            <v>VHDCI 5.0M SHLD CBL US</v>
          </cell>
          <cell r="C873" t="str">
            <v>LL</v>
          </cell>
          <cell r="D873">
            <v>923000</v>
          </cell>
          <cell r="E873">
            <v>0</v>
          </cell>
        </row>
        <row r="874">
          <cell r="A874" t="str">
            <v>A6515A</v>
          </cell>
          <cell r="B874" t="str">
            <v>Short Wave SFP - Field Install</v>
          </cell>
          <cell r="C874" t="str">
            <v>LL</v>
          </cell>
          <cell r="D874">
            <v>1934937</v>
          </cell>
          <cell r="E874">
            <v>0</v>
          </cell>
        </row>
        <row r="875">
          <cell r="A875" t="str">
            <v>A6516A</v>
          </cell>
          <cell r="B875" t="str">
            <v>Long Wave SFP - Field Install</v>
          </cell>
          <cell r="C875" t="str">
            <v>LL</v>
          </cell>
          <cell r="D875">
            <v>3555385</v>
          </cell>
          <cell r="E875">
            <v>0</v>
          </cell>
        </row>
        <row r="876">
          <cell r="A876" t="str">
            <v>A7428A</v>
          </cell>
          <cell r="B876" t="str">
            <v>Transceiver, SFF Pluggable Short Wave</v>
          </cell>
          <cell r="C876" t="str">
            <v>LL</v>
          </cell>
          <cell r="D876">
            <v>1584867</v>
          </cell>
          <cell r="E876">
            <v>0</v>
          </cell>
        </row>
        <row r="877">
          <cell r="A877" t="str">
            <v>A7429A</v>
          </cell>
          <cell r="B877" t="str">
            <v>Transceiver, SFF Pluggable Long Wave</v>
          </cell>
          <cell r="C877" t="str">
            <v>LL</v>
          </cell>
          <cell r="D877">
            <v>6423994</v>
          </cell>
          <cell r="E877">
            <v>0</v>
          </cell>
        </row>
        <row r="878">
          <cell r="A878" t="str">
            <v>A7485A</v>
          </cell>
          <cell r="B878" t="str">
            <v>Fibre Cable LC/SC 1 Meter</v>
          </cell>
          <cell r="C878" t="str">
            <v>LL</v>
          </cell>
          <cell r="D878">
            <v>1086983</v>
          </cell>
          <cell r="E878">
            <v>0</v>
          </cell>
        </row>
        <row r="879">
          <cell r="A879" t="str">
            <v>A7486A</v>
          </cell>
          <cell r="B879" t="str">
            <v>Fibre Cable LC/SC 5 Meter</v>
          </cell>
          <cell r="C879" t="str">
            <v>LL</v>
          </cell>
          <cell r="D879">
            <v>1240276</v>
          </cell>
          <cell r="E879">
            <v>0</v>
          </cell>
        </row>
        <row r="880">
          <cell r="A880" t="str">
            <v>A7487A</v>
          </cell>
          <cell r="B880" t="str">
            <v>1Gb Ethernet &amp; 1/2Gb FC SW SFP, LC</v>
          </cell>
          <cell r="C880" t="str">
            <v>LL</v>
          </cell>
          <cell r="D880">
            <v>5256475</v>
          </cell>
          <cell r="E880">
            <v>0</v>
          </cell>
        </row>
        <row r="881">
          <cell r="A881" t="str">
            <v>A7488A</v>
          </cell>
          <cell r="B881" t="str">
            <v>1Gb Ethernet &amp; 1/2Gb FC LW SFP, LC</v>
          </cell>
          <cell r="C881" t="str">
            <v>LL</v>
          </cell>
          <cell r="D881">
            <v>10539365</v>
          </cell>
          <cell r="E881">
            <v>0</v>
          </cell>
        </row>
        <row r="883">
          <cell r="A883" t="str">
            <v>C-series FC switch &amp; SW</v>
          </cell>
        </row>
        <row r="884">
          <cell r="A884" t="str">
            <v>A7426A</v>
          </cell>
          <cell r="B884" t="str">
            <v>Cisco MDS 9120 Multi Layer Fabric Switch</v>
          </cell>
          <cell r="C884" t="str">
            <v>LL</v>
          </cell>
          <cell r="D884">
            <v>81356500</v>
          </cell>
          <cell r="E884">
            <v>0</v>
          </cell>
        </row>
        <row r="885">
          <cell r="A885" t="str">
            <v>A7427A</v>
          </cell>
          <cell r="B885" t="str">
            <v>Cisco MDS 9140 Multi Layer Fabric Switch</v>
          </cell>
          <cell r="C885" t="str">
            <v>LL</v>
          </cell>
          <cell r="D885">
            <v>141845586</v>
          </cell>
          <cell r="E885">
            <v>0</v>
          </cell>
        </row>
        <row r="886">
          <cell r="A886" t="str">
            <v>A7430A</v>
          </cell>
          <cell r="B886" t="str">
            <v>MDS 9000 Port Analyzer Adapter</v>
          </cell>
          <cell r="C886" t="str">
            <v>LL</v>
          </cell>
          <cell r="D886">
            <v>25357870</v>
          </cell>
          <cell r="E886">
            <v>0</v>
          </cell>
        </row>
        <row r="887">
          <cell r="A887" t="str">
            <v>A7512A</v>
          </cell>
          <cell r="B887" t="str">
            <v>MDS 9100 Fab Mgr Server Lic for 1 Switch</v>
          </cell>
          <cell r="C887" t="str">
            <v>LL</v>
          </cell>
          <cell r="D887">
            <v>61524090</v>
          </cell>
          <cell r="E887">
            <v>0</v>
          </cell>
        </row>
        <row r="888">
          <cell r="A888" t="str">
            <v>A7515A</v>
          </cell>
          <cell r="B888" t="str">
            <v>MDS 9100 Enterprise Package License</v>
          </cell>
          <cell r="C888" t="str">
            <v>LL</v>
          </cell>
          <cell r="D888">
            <v>67150851</v>
          </cell>
          <cell r="E888">
            <v>0</v>
          </cell>
        </row>
        <row r="890">
          <cell r="A890" t="str">
            <v>Others</v>
          </cell>
        </row>
        <row r="891">
          <cell r="A891" t="str">
            <v>331148-B21</v>
          </cell>
          <cell r="B891" t="str">
            <v>Rack Mount Kit for 2/8, 2/16, 2/32</v>
          </cell>
          <cell r="C891" t="str">
            <v>LL</v>
          </cell>
          <cell r="D891">
            <v>2905589</v>
          </cell>
          <cell r="E891">
            <v>0</v>
          </cell>
        </row>
        <row r="892">
          <cell r="A892" t="str">
            <v>A7389A</v>
          </cell>
          <cell r="B892" t="str">
            <v>Fabric Manager Enterprise Edition S/W</v>
          </cell>
          <cell r="C892" t="str">
            <v>LL</v>
          </cell>
          <cell r="D892">
            <v>143095698</v>
          </cell>
          <cell r="E892">
            <v>0</v>
          </cell>
        </row>
        <row r="893">
          <cell r="A893" t="str">
            <v>A7390A</v>
          </cell>
          <cell r="B893" t="str">
            <v>Fabric Manager Base Edition S/W</v>
          </cell>
          <cell r="C893" t="str">
            <v>LL</v>
          </cell>
          <cell r="D893">
            <v>91060899</v>
          </cell>
          <cell r="E893">
            <v>0</v>
          </cell>
        </row>
        <row r="894">
          <cell r="A894" t="str">
            <v>A7391A</v>
          </cell>
          <cell r="B894" t="str">
            <v>Fabric Mgr v3 to v4 Enterprise LTU Upgr.</v>
          </cell>
          <cell r="C894" t="str">
            <v>LL</v>
          </cell>
          <cell r="D894">
            <v>97168200</v>
          </cell>
          <cell r="E894">
            <v>0</v>
          </cell>
        </row>
        <row r="895">
          <cell r="A895" t="str">
            <v>A7392A</v>
          </cell>
          <cell r="B895" t="str">
            <v>Fabric Mgr Base to Enterprise LTU Upgr.</v>
          </cell>
          <cell r="C895" t="str">
            <v>LL</v>
          </cell>
          <cell r="D895">
            <v>87640810</v>
          </cell>
          <cell r="E895">
            <v>0</v>
          </cell>
        </row>
        <row r="896">
          <cell r="A896" t="str">
            <v>A7489A</v>
          </cell>
          <cell r="B896" t="str">
            <v>HA Fabric Manager Appliance</v>
          </cell>
          <cell r="C896" t="str">
            <v>LL</v>
          </cell>
          <cell r="D896">
            <v>126670527</v>
          </cell>
          <cell r="E896">
            <v>0</v>
          </cell>
        </row>
        <row r="897">
          <cell r="A897" t="str">
            <v>A7490A</v>
          </cell>
          <cell r="B897" t="str">
            <v>HAFM Fabric Mgr SW Upgrade Kit</v>
          </cell>
          <cell r="C897" t="str">
            <v>LL</v>
          </cell>
          <cell r="D897">
            <v>1558452</v>
          </cell>
          <cell r="E897">
            <v>0</v>
          </cell>
        </row>
        <row r="898">
          <cell r="A898" t="str">
            <v>A7491A</v>
          </cell>
          <cell r="B898" t="str">
            <v>HAFN Planning, PFE</v>
          </cell>
          <cell r="C898" t="str">
            <v>LL</v>
          </cell>
          <cell r="D898">
            <v>45976355</v>
          </cell>
          <cell r="E898">
            <v>0</v>
          </cell>
        </row>
        <row r="899">
          <cell r="A899" t="str">
            <v>A7492A</v>
          </cell>
          <cell r="B899" t="str">
            <v>HAFM Performance Monitoring-512 Port PFE</v>
          </cell>
          <cell r="C899" t="str">
            <v>LL</v>
          </cell>
          <cell r="D899">
            <v>529154523</v>
          </cell>
          <cell r="E899">
            <v>0</v>
          </cell>
        </row>
        <row r="900">
          <cell r="A900" t="str">
            <v>A7493A</v>
          </cell>
          <cell r="B900" t="str">
            <v>HAFM Event Management-512 Port,PFE</v>
          </cell>
          <cell r="C900" t="str">
            <v>LL</v>
          </cell>
          <cell r="D900">
            <v>261495682</v>
          </cell>
          <cell r="E900">
            <v>0</v>
          </cell>
        </row>
        <row r="901">
          <cell r="A901" t="str">
            <v>A7494A</v>
          </cell>
          <cell r="B901" t="str">
            <v>HAFM Performance Monitoring-64 Port,PFE</v>
          </cell>
          <cell r="C901" t="str">
            <v>LL</v>
          </cell>
          <cell r="D901">
            <v>78502188</v>
          </cell>
          <cell r="E901">
            <v>0</v>
          </cell>
        </row>
        <row r="902">
          <cell r="A902" t="str">
            <v>A7495A</v>
          </cell>
          <cell r="B902" t="str">
            <v>HAFM Event Management-64 Port, PFE</v>
          </cell>
          <cell r="C902" t="str">
            <v>LL</v>
          </cell>
          <cell r="D902">
            <v>33332903</v>
          </cell>
          <cell r="E902">
            <v>0</v>
          </cell>
        </row>
        <row r="903">
          <cell r="A903" t="str">
            <v>A7496A</v>
          </cell>
          <cell r="B903" t="str">
            <v>Element Manager 2/24, PFE</v>
          </cell>
          <cell r="C903" t="str">
            <v>LL</v>
          </cell>
          <cell r="D903">
            <v>25103860</v>
          </cell>
          <cell r="E903">
            <v>0</v>
          </cell>
        </row>
        <row r="904">
          <cell r="A904" t="str">
            <v>A7497A</v>
          </cell>
          <cell r="B904" t="str">
            <v>Element Manager 2/32, PFE</v>
          </cell>
          <cell r="C904" t="str">
            <v>LL</v>
          </cell>
          <cell r="D904">
            <v>42693052</v>
          </cell>
          <cell r="E904">
            <v>0</v>
          </cell>
        </row>
        <row r="905">
          <cell r="A905" t="str">
            <v>A7498A</v>
          </cell>
          <cell r="B905" t="str">
            <v>Full Volatility PFE</v>
          </cell>
          <cell r="C905" t="str">
            <v>LL</v>
          </cell>
          <cell r="D905">
            <v>41369459</v>
          </cell>
          <cell r="E905">
            <v>0</v>
          </cell>
        </row>
        <row r="906">
          <cell r="A906" t="str">
            <v>A7503A</v>
          </cell>
          <cell r="B906" t="str">
            <v>Open Trunking, 2/24, PFE</v>
          </cell>
          <cell r="C906" t="str">
            <v>LL</v>
          </cell>
          <cell r="D906">
            <v>24820868</v>
          </cell>
          <cell r="E906">
            <v>0</v>
          </cell>
        </row>
        <row r="907">
          <cell r="A907" t="str">
            <v>A7504A</v>
          </cell>
          <cell r="B907" t="str">
            <v>Open Trunking, 2/32, PFE</v>
          </cell>
          <cell r="C907" t="str">
            <v>LL</v>
          </cell>
          <cell r="D907">
            <v>49668150</v>
          </cell>
          <cell r="E907">
            <v>0</v>
          </cell>
        </row>
        <row r="908">
          <cell r="A908" t="str">
            <v>A7507A</v>
          </cell>
          <cell r="B908" t="str">
            <v>HAFM Perf Mgt, Event Mgt, 512 Port,PFE</v>
          </cell>
          <cell r="C908" t="str">
            <v>LL</v>
          </cell>
          <cell r="D908">
            <v>630083266</v>
          </cell>
          <cell r="E908">
            <v>0</v>
          </cell>
        </row>
        <row r="909">
          <cell r="A909" t="str">
            <v>A7508A</v>
          </cell>
          <cell r="B909" t="str">
            <v>HAFM Perf Mgt,Event Mgt,64 port,PFE</v>
          </cell>
          <cell r="C909" t="str">
            <v>LL</v>
          </cell>
          <cell r="D909">
            <v>92099745</v>
          </cell>
          <cell r="E909">
            <v>0</v>
          </cell>
        </row>
        <row r="910">
          <cell r="A910" t="str">
            <v>A7509A</v>
          </cell>
          <cell r="B910" t="str">
            <v>HAFM Appliance W/O HAFM</v>
          </cell>
          <cell r="C910" t="str">
            <v>LL</v>
          </cell>
          <cell r="D910">
            <v>36953813</v>
          </cell>
          <cell r="E910">
            <v>0</v>
          </cell>
        </row>
        <row r="911">
          <cell r="A911" t="str">
            <v>A7511A</v>
          </cell>
          <cell r="B911" t="str">
            <v>HP Rack Mount Kit for B-Series Switches</v>
          </cell>
          <cell r="C911" t="str">
            <v>LL</v>
          </cell>
          <cell r="D911">
            <v>2905589</v>
          </cell>
          <cell r="E911">
            <v>0</v>
          </cell>
        </row>
        <row r="913">
          <cell r="A913" t="str">
            <v>StorageWorks - Tape Autoloader &amp; Tape Library</v>
          </cell>
        </row>
        <row r="914">
          <cell r="A914" t="str">
            <v>MSL tape library</v>
          </cell>
        </row>
        <row r="915">
          <cell r="A915" t="str">
            <v>255102-B21</v>
          </cell>
          <cell r="B915" t="str">
            <v>MSL5052, 0 DR, LVDS RM Library</v>
          </cell>
          <cell r="C915" t="str">
            <v>LJ</v>
          </cell>
          <cell r="D915">
            <v>71520668</v>
          </cell>
          <cell r="E915">
            <v>0</v>
          </cell>
        </row>
        <row r="916">
          <cell r="A916" t="str">
            <v>293472-B21</v>
          </cell>
          <cell r="B916" t="str">
            <v>MSL5026S2, 0 drive, RM Library</v>
          </cell>
          <cell r="C916" t="str">
            <v>LJ</v>
          </cell>
          <cell r="D916">
            <v>29311750</v>
          </cell>
          <cell r="E916">
            <v>0</v>
          </cell>
        </row>
        <row r="917">
          <cell r="A917" t="str">
            <v>293472-B22</v>
          </cell>
          <cell r="B917" t="str">
            <v>MSL5026S2, 1 dr SDLT320, RM Library</v>
          </cell>
          <cell r="C917" t="str">
            <v>LJ</v>
          </cell>
          <cell r="D917">
            <v>71520668</v>
          </cell>
          <cell r="E917">
            <v>0</v>
          </cell>
        </row>
        <row r="918">
          <cell r="A918" t="str">
            <v>293472-B23</v>
          </cell>
          <cell r="B918" t="str">
            <v>MSL5026S2, 2 dr SDLT320, RM Library</v>
          </cell>
          <cell r="C918" t="str">
            <v>LJ</v>
          </cell>
          <cell r="D918">
            <v>113729586</v>
          </cell>
          <cell r="E918">
            <v>0</v>
          </cell>
        </row>
        <row r="919">
          <cell r="A919" t="str">
            <v>293472-B24</v>
          </cell>
          <cell r="B919" t="str">
            <v>MSL5026S2, 1 dr SDLT320, RM Library FC</v>
          </cell>
          <cell r="C919" t="str">
            <v>LJ</v>
          </cell>
          <cell r="D919">
            <v>112557116</v>
          </cell>
          <cell r="E919">
            <v>0</v>
          </cell>
        </row>
        <row r="920">
          <cell r="A920" t="str">
            <v>293472-B25</v>
          </cell>
          <cell r="B920" t="str">
            <v>MSL5026S2, 2 dr SDLT320, RM Library FC</v>
          </cell>
          <cell r="C920" t="str">
            <v>LJ</v>
          </cell>
          <cell r="D920">
            <v>154766035</v>
          </cell>
          <cell r="E920">
            <v>0</v>
          </cell>
        </row>
        <row r="921">
          <cell r="A921" t="str">
            <v>293473-B21</v>
          </cell>
          <cell r="B921" t="str">
            <v>MSL5026S2, 1 dr SDLT320, TT Library</v>
          </cell>
          <cell r="C921" t="str">
            <v>LJ</v>
          </cell>
          <cell r="D921">
            <v>71520668</v>
          </cell>
          <cell r="E921">
            <v>0</v>
          </cell>
        </row>
        <row r="922">
          <cell r="A922" t="str">
            <v>293473-B22</v>
          </cell>
          <cell r="B922" t="str">
            <v>MSL5026S2, 2 dr SDLT320, TT Library</v>
          </cell>
          <cell r="C922" t="str">
            <v>LJ</v>
          </cell>
          <cell r="D922">
            <v>113729586</v>
          </cell>
          <cell r="E922">
            <v>0</v>
          </cell>
        </row>
        <row r="923">
          <cell r="A923" t="str">
            <v>293474-B21</v>
          </cell>
          <cell r="B923" t="str">
            <v>MSL5052S2, 2 dr SDLT320, RM Library</v>
          </cell>
          <cell r="C923" t="str">
            <v>LJ</v>
          </cell>
          <cell r="D923">
            <v>155938505</v>
          </cell>
          <cell r="E923">
            <v>0</v>
          </cell>
        </row>
        <row r="924">
          <cell r="A924" t="str">
            <v>293474-B24</v>
          </cell>
          <cell r="B924" t="str">
            <v>MSL5052S2, 2 dr SDLT320, RM Library FC</v>
          </cell>
          <cell r="C924" t="str">
            <v>LJ</v>
          </cell>
          <cell r="D924">
            <v>196974954</v>
          </cell>
          <cell r="E924">
            <v>0</v>
          </cell>
        </row>
        <row r="925">
          <cell r="A925" t="str">
            <v>293476-B21</v>
          </cell>
          <cell r="B925" t="str">
            <v>MSL5052S2, 2 dr SDLT320, TT Library</v>
          </cell>
          <cell r="C925" t="str">
            <v>LJ</v>
          </cell>
          <cell r="D925">
            <v>155938505</v>
          </cell>
          <cell r="E925">
            <v>0</v>
          </cell>
        </row>
        <row r="926">
          <cell r="A926" t="str">
            <v>301897-B21</v>
          </cell>
          <cell r="B926" t="str">
            <v>MSL5030, 0 drive, Rackmount Library</v>
          </cell>
          <cell r="C926" t="str">
            <v>LJ</v>
          </cell>
          <cell r="D926">
            <v>30894584</v>
          </cell>
          <cell r="E926">
            <v>0</v>
          </cell>
        </row>
        <row r="927">
          <cell r="A927" t="str">
            <v>301897-B22</v>
          </cell>
          <cell r="B927" t="str">
            <v>MSL5030, 1 Dr Ultrium 230, RM Library</v>
          </cell>
          <cell r="C927" t="str">
            <v>LJ</v>
          </cell>
          <cell r="D927">
            <v>76327795</v>
          </cell>
          <cell r="E927">
            <v>0</v>
          </cell>
        </row>
        <row r="928">
          <cell r="A928" t="str">
            <v>301897-B23</v>
          </cell>
          <cell r="B928" t="str">
            <v>MSL5030, 2 Dr Ultrium 230, RM Library</v>
          </cell>
          <cell r="C928" t="str">
            <v>LJ</v>
          </cell>
          <cell r="D928">
            <v>121761006</v>
          </cell>
          <cell r="E928">
            <v>0</v>
          </cell>
        </row>
        <row r="929">
          <cell r="A929" t="str">
            <v>301897-B24</v>
          </cell>
          <cell r="B929" t="str">
            <v>MSL5030, 1 Dr Ultrium 230, RM Libr w/ FC</v>
          </cell>
          <cell r="C929" t="str">
            <v>LJ</v>
          </cell>
          <cell r="D929">
            <v>117364243</v>
          </cell>
          <cell r="E929">
            <v>0</v>
          </cell>
        </row>
        <row r="930">
          <cell r="A930" t="str">
            <v>301897-B25</v>
          </cell>
          <cell r="B930" t="str">
            <v>MSL5030, 2 Dr Ultrium 230, RM Libr w/ FC</v>
          </cell>
          <cell r="C930" t="str">
            <v>LJ</v>
          </cell>
          <cell r="D930">
            <v>162797454</v>
          </cell>
          <cell r="E930">
            <v>0</v>
          </cell>
        </row>
        <row r="931">
          <cell r="A931" t="str">
            <v>301898-B21</v>
          </cell>
          <cell r="B931" t="str">
            <v>MSL5030, 1 Dr Ultrium 230, TT Library</v>
          </cell>
          <cell r="C931" t="str">
            <v>LJ</v>
          </cell>
          <cell r="D931">
            <v>76327795</v>
          </cell>
          <cell r="E931">
            <v>0</v>
          </cell>
        </row>
        <row r="932">
          <cell r="A932" t="str">
            <v>301898-B22</v>
          </cell>
          <cell r="B932" t="str">
            <v>MSL5030, 2 Dr Ultrium 230, TT Library</v>
          </cell>
          <cell r="C932" t="str">
            <v>LJ</v>
          </cell>
          <cell r="D932">
            <v>121761006</v>
          </cell>
          <cell r="E932">
            <v>0</v>
          </cell>
        </row>
        <row r="933">
          <cell r="A933" t="str">
            <v>301899-B21</v>
          </cell>
          <cell r="B933" t="str">
            <v>MSL5060, 0 drive, Rackmount Library</v>
          </cell>
          <cell r="C933" t="str">
            <v>LJ</v>
          </cell>
          <cell r="D933">
            <v>61789167</v>
          </cell>
          <cell r="E933">
            <v>0</v>
          </cell>
        </row>
        <row r="934">
          <cell r="A934" t="str">
            <v>301899-B22</v>
          </cell>
          <cell r="B934" t="str">
            <v>MSL5060, 2 Dr Ultrium 230, RM Library</v>
          </cell>
          <cell r="C934" t="str">
            <v>LJ</v>
          </cell>
          <cell r="D934">
            <v>152655589</v>
          </cell>
          <cell r="E934">
            <v>0</v>
          </cell>
        </row>
        <row r="935">
          <cell r="A935" t="str">
            <v>301899-B23</v>
          </cell>
          <cell r="B935" t="str">
            <v>MSL5060, 2 Dr Ultrium 230, RM Libr w/ FC</v>
          </cell>
          <cell r="C935" t="str">
            <v>LJ</v>
          </cell>
          <cell r="D935">
            <v>193692038</v>
          </cell>
          <cell r="E935">
            <v>0</v>
          </cell>
        </row>
        <row r="936">
          <cell r="A936" t="str">
            <v>301900-B21</v>
          </cell>
          <cell r="B936" t="str">
            <v>MSL5060, 2 Dr Ultrium 230, TT Library</v>
          </cell>
          <cell r="C936" t="str">
            <v>LJ</v>
          </cell>
          <cell r="D936">
            <v>152655589</v>
          </cell>
          <cell r="E936">
            <v>0</v>
          </cell>
        </row>
        <row r="937">
          <cell r="A937" t="str">
            <v>330731-B21</v>
          </cell>
          <cell r="B937" t="str">
            <v>MSL6030 0-dr, Ultrium 460, LVDS, RM Lib</v>
          </cell>
          <cell r="C937" t="str">
            <v>LJ</v>
          </cell>
          <cell r="D937">
            <v>30894584</v>
          </cell>
          <cell r="E937">
            <v>0</v>
          </cell>
        </row>
        <row r="938">
          <cell r="A938" t="str">
            <v>330731-B22</v>
          </cell>
          <cell r="B938" t="str">
            <v>MSL6030 1-dr, Ultrium 460, LVDS, RM Lib</v>
          </cell>
          <cell r="C938" t="str">
            <v>LJ</v>
          </cell>
          <cell r="D938">
            <v>87524883</v>
          </cell>
          <cell r="E938">
            <v>0</v>
          </cell>
        </row>
        <row r="939">
          <cell r="A939" t="str">
            <v>330731-B23</v>
          </cell>
          <cell r="B939" t="str">
            <v>MSL6030 2-dr, Ultrium 460, LVDS, RM Lib</v>
          </cell>
          <cell r="C939" t="str">
            <v>LJ</v>
          </cell>
          <cell r="D939">
            <v>144155182</v>
          </cell>
          <cell r="E939">
            <v>0</v>
          </cell>
        </row>
        <row r="940">
          <cell r="A940" t="str">
            <v>330731-B24</v>
          </cell>
          <cell r="B940" t="str">
            <v>MSL6030 1-dr, Ultrium 460, Fibre, RM Lib</v>
          </cell>
          <cell r="C940" t="str">
            <v>LJ</v>
          </cell>
          <cell r="D940">
            <v>128561331</v>
          </cell>
          <cell r="E940">
            <v>0</v>
          </cell>
        </row>
        <row r="941">
          <cell r="A941" t="str">
            <v>330731-B25</v>
          </cell>
          <cell r="B941" t="str">
            <v>MSL6030 2-dr, Ultrium 460, Fibre, RM Lib</v>
          </cell>
          <cell r="C941" t="str">
            <v>LJ</v>
          </cell>
          <cell r="D941">
            <v>185191631</v>
          </cell>
          <cell r="E941">
            <v>0</v>
          </cell>
        </row>
        <row r="942">
          <cell r="A942" t="str">
            <v>330788-B21</v>
          </cell>
          <cell r="B942" t="str">
            <v>MSL6030 1-dr, Ultrium 460, LVDS, TT Lib</v>
          </cell>
          <cell r="C942" t="str">
            <v>LJ</v>
          </cell>
          <cell r="D942">
            <v>87524883</v>
          </cell>
          <cell r="E942">
            <v>0</v>
          </cell>
        </row>
        <row r="943">
          <cell r="A943" t="str">
            <v>330788-B22</v>
          </cell>
          <cell r="B943" t="str">
            <v>MSL6030 2-dr, Ultrium 460, LVDS, TT Lib</v>
          </cell>
          <cell r="C943" t="str">
            <v>LJ</v>
          </cell>
          <cell r="D943">
            <v>144155182</v>
          </cell>
          <cell r="E943">
            <v>0</v>
          </cell>
        </row>
        <row r="944">
          <cell r="A944" t="str">
            <v>331195-B21</v>
          </cell>
          <cell r="B944" t="str">
            <v>MSL6060 2-dr, Ultrium 460, LVDS, TT Lib</v>
          </cell>
          <cell r="C944" t="str">
            <v>LJ</v>
          </cell>
          <cell r="D944">
            <v>175049765</v>
          </cell>
          <cell r="E944">
            <v>0</v>
          </cell>
        </row>
        <row r="945">
          <cell r="A945" t="str">
            <v>331196-B21</v>
          </cell>
          <cell r="B945" t="str">
            <v>MSL6060 2-dr, Ultrium 460, LVDS, RM Lib</v>
          </cell>
          <cell r="C945" t="str">
            <v>LJ</v>
          </cell>
          <cell r="D945">
            <v>175049765</v>
          </cell>
          <cell r="E945">
            <v>0</v>
          </cell>
        </row>
        <row r="946">
          <cell r="A946" t="str">
            <v>331196-B22</v>
          </cell>
          <cell r="B946" t="str">
            <v>MSL6060 2-dr, Ultrium 460, Fibre, RM Lib</v>
          </cell>
          <cell r="C946" t="str">
            <v>LJ</v>
          </cell>
          <cell r="D946">
            <v>216086214</v>
          </cell>
          <cell r="E946">
            <v>0</v>
          </cell>
        </row>
        <row r="947">
          <cell r="A947" t="str">
            <v>331196-B23</v>
          </cell>
          <cell r="B947" t="str">
            <v>MSL6060 0-dr, Ultrium 460, LVDS, RM Lib</v>
          </cell>
          <cell r="C947" t="str">
            <v>LJ</v>
          </cell>
          <cell r="D947">
            <v>61789167</v>
          </cell>
          <cell r="E947">
            <v>0</v>
          </cell>
        </row>
        <row r="949">
          <cell r="A949" t="str">
            <v>MSL tape library options</v>
          </cell>
        </row>
        <row r="950">
          <cell r="A950" t="str">
            <v>231824-B22</v>
          </cell>
          <cell r="B950" t="str">
            <v>MSL5000 5U Pass Thru Extender</v>
          </cell>
          <cell r="C950" t="str">
            <v>LJ</v>
          </cell>
          <cell r="D950">
            <v>3265329</v>
          </cell>
          <cell r="E950">
            <v>0</v>
          </cell>
        </row>
        <row r="951">
          <cell r="A951" t="str">
            <v>231824-B23</v>
          </cell>
          <cell r="B951" t="str">
            <v>MSL5052 Pass Thru Extender, 10U</v>
          </cell>
          <cell r="C951" t="str">
            <v>LJ</v>
          </cell>
          <cell r="D951">
            <v>3517410</v>
          </cell>
          <cell r="E951">
            <v>0</v>
          </cell>
        </row>
        <row r="952">
          <cell r="A952" t="str">
            <v>231894-B21</v>
          </cell>
          <cell r="B952" t="str">
            <v>MSL5026 Rackmount Kit, Alpha servers</v>
          </cell>
          <cell r="C952" t="str">
            <v>LJ</v>
          </cell>
          <cell r="D952">
            <v>3224292</v>
          </cell>
          <cell r="E952">
            <v>0</v>
          </cell>
        </row>
        <row r="953">
          <cell r="A953" t="str">
            <v>231894-B22</v>
          </cell>
          <cell r="B953" t="str">
            <v>MSL5026 Rackmount Kit, ProLiant servers</v>
          </cell>
          <cell r="C953" t="str">
            <v>LJ</v>
          </cell>
          <cell r="D953">
            <v>2333215</v>
          </cell>
          <cell r="E953">
            <v>0</v>
          </cell>
        </row>
        <row r="954">
          <cell r="A954" t="str">
            <v>232136-B21</v>
          </cell>
          <cell r="B954" t="str">
            <v>MSL5000 Dual Magazine Kit</v>
          </cell>
          <cell r="C954" t="str">
            <v>LJ</v>
          </cell>
          <cell r="D954">
            <v>2403563</v>
          </cell>
          <cell r="E954">
            <v>0</v>
          </cell>
        </row>
        <row r="955">
          <cell r="A955" t="str">
            <v>280823-B21</v>
          </cell>
          <cell r="B955" t="str">
            <v>NSR 1x2 LVD SCSI Serverless</v>
          </cell>
          <cell r="C955" t="str">
            <v>LJ</v>
          </cell>
          <cell r="D955">
            <v>43340441</v>
          </cell>
          <cell r="E955">
            <v>0</v>
          </cell>
        </row>
        <row r="956">
          <cell r="A956" t="str">
            <v>293475-B21</v>
          </cell>
          <cell r="B956" t="str">
            <v>MSL5000 SDLT320 Drive Upgrade Kit</v>
          </cell>
          <cell r="C956" t="str">
            <v>LJ</v>
          </cell>
          <cell r="D956">
            <v>42208919</v>
          </cell>
          <cell r="E956">
            <v>0</v>
          </cell>
        </row>
        <row r="957">
          <cell r="A957" t="str">
            <v>301901-B21</v>
          </cell>
          <cell r="B957" t="str">
            <v>MSL5000 Ultrium 230 Drive Upgrade Kit</v>
          </cell>
          <cell r="C957" t="str">
            <v>LJ</v>
          </cell>
          <cell r="D957">
            <v>45433211</v>
          </cell>
          <cell r="E957">
            <v>0</v>
          </cell>
        </row>
        <row r="958">
          <cell r="A958" t="str">
            <v>301902-B21</v>
          </cell>
          <cell r="B958" t="str">
            <v>MSL5000 Dual Magazine Kit, Ultrium</v>
          </cell>
          <cell r="C958" t="str">
            <v>LJ</v>
          </cell>
          <cell r="D958">
            <v>2397701</v>
          </cell>
          <cell r="E958">
            <v>0</v>
          </cell>
        </row>
        <row r="959">
          <cell r="A959" t="str">
            <v>304825-B21</v>
          </cell>
          <cell r="B959" t="str">
            <v>MSL5000 Universal Pass-thru Mech Kit</v>
          </cell>
          <cell r="C959" t="str">
            <v>LJ</v>
          </cell>
          <cell r="D959">
            <v>15922142</v>
          </cell>
          <cell r="E959">
            <v>0</v>
          </cell>
        </row>
        <row r="960">
          <cell r="A960" t="str">
            <v>304826-B21</v>
          </cell>
          <cell r="B960" t="str">
            <v>MSL Tape Library Rackmount Kit</v>
          </cell>
          <cell r="C960" t="str">
            <v>LJ</v>
          </cell>
          <cell r="D960">
            <v>3224292</v>
          </cell>
          <cell r="E960">
            <v>0</v>
          </cell>
        </row>
        <row r="961">
          <cell r="A961" t="str">
            <v>330728-B21</v>
          </cell>
          <cell r="B961" t="str">
            <v>MSL e1200-160 Fibre Card Kit</v>
          </cell>
          <cell r="C961" t="str">
            <v>LJ</v>
          </cell>
          <cell r="D961">
            <v>41036449</v>
          </cell>
          <cell r="E961">
            <v>0</v>
          </cell>
        </row>
        <row r="962">
          <cell r="A962" t="str">
            <v>330729-B21</v>
          </cell>
          <cell r="B962" t="str">
            <v>MSL6000 Ultrium 460 Drive Upgrade Kit</v>
          </cell>
          <cell r="C962" t="str">
            <v>LJ</v>
          </cell>
          <cell r="D962">
            <v>56630299</v>
          </cell>
          <cell r="E962">
            <v>0</v>
          </cell>
        </row>
        <row r="963">
          <cell r="A963" t="str">
            <v>AB128A</v>
          </cell>
          <cell r="B963" t="str">
            <v>OEM E2400-160 Fibre Interface Controller</v>
          </cell>
          <cell r="C963" t="str">
            <v>LJ</v>
          </cell>
          <cell r="D963">
            <v>14111000</v>
          </cell>
          <cell r="E963">
            <v>0</v>
          </cell>
        </row>
        <row r="965">
          <cell r="A965" t="str">
            <v>1/8 Autoloader</v>
          </cell>
        </row>
        <row r="966">
          <cell r="A966" t="str">
            <v>AA926A</v>
          </cell>
          <cell r="B966" t="str">
            <v>HP StorageWorks 1/8 SDLT 320 autoloader</v>
          </cell>
          <cell r="C966" t="str">
            <v>LJ</v>
          </cell>
          <cell r="D966">
            <v>39271881</v>
          </cell>
          <cell r="E966">
            <v>0</v>
          </cell>
        </row>
        <row r="967">
          <cell r="A967" t="str">
            <v>AA927A</v>
          </cell>
          <cell r="B967" t="str">
            <v>HP StorageWorks 1/8 Ultrium 460 autoldr</v>
          </cell>
          <cell r="C967" t="str">
            <v>LJ</v>
          </cell>
          <cell r="D967">
            <v>49237876</v>
          </cell>
          <cell r="E967">
            <v>0</v>
          </cell>
        </row>
        <row r="968">
          <cell r="A968" t="str">
            <v>C9264CB</v>
          </cell>
          <cell r="B968" t="str">
            <v>HP StorageWorks 1/8 DLT VS 80 autoloader</v>
          </cell>
          <cell r="C968" t="str">
            <v>LJ</v>
          </cell>
          <cell r="D968">
            <v>19808880</v>
          </cell>
          <cell r="E968">
            <v>0</v>
          </cell>
        </row>
        <row r="969">
          <cell r="A969" t="str">
            <v>C9268R</v>
          </cell>
          <cell r="B969" t="str">
            <v>HP 1/8 Tape Autoloader Rack Kit</v>
          </cell>
          <cell r="C969" t="str">
            <v>LJ</v>
          </cell>
          <cell r="D969">
            <v>1319029</v>
          </cell>
          <cell r="E969">
            <v>0</v>
          </cell>
        </row>
        <row r="970">
          <cell r="A970" t="str">
            <v>C9572CB</v>
          </cell>
          <cell r="B970" t="str">
            <v>HP StorageWorks 1/8 Ultrium 230 autoldr</v>
          </cell>
          <cell r="C970" t="str">
            <v>LJ</v>
          </cell>
          <cell r="D970">
            <v>33995767</v>
          </cell>
          <cell r="E970">
            <v>0</v>
          </cell>
        </row>
        <row r="972">
          <cell r="A972" t="str">
            <v>SSL Autoloader</v>
          </cell>
        </row>
        <row r="973">
          <cell r="A973" t="str">
            <v>268664-B22</v>
          </cell>
          <cell r="B973" t="str">
            <v>HP StorageWorks SSL1016 DLT Magazine Kit</v>
          </cell>
          <cell r="C973" t="str">
            <v>LJ</v>
          </cell>
          <cell r="D973">
            <v>5856487</v>
          </cell>
          <cell r="E973">
            <v>0</v>
          </cell>
        </row>
        <row r="974">
          <cell r="A974" t="str">
            <v>330816-B21</v>
          </cell>
          <cell r="B974" t="str">
            <v>SSL1016 SDLT 320 Tape Autoloader</v>
          </cell>
          <cell r="C974" t="str">
            <v>LJ</v>
          </cell>
          <cell r="D974">
            <v>57304470</v>
          </cell>
          <cell r="E974">
            <v>0</v>
          </cell>
        </row>
        <row r="975">
          <cell r="A975" t="str">
            <v>330821-B21</v>
          </cell>
          <cell r="B975" t="str">
            <v>HP SSL1016 Ultrium 460 tape autoloader</v>
          </cell>
          <cell r="C975" t="str">
            <v>LJ</v>
          </cell>
          <cell r="D975">
            <v>62697831</v>
          </cell>
          <cell r="E975">
            <v>0</v>
          </cell>
        </row>
        <row r="976">
          <cell r="A976" t="str">
            <v>330823-B21</v>
          </cell>
          <cell r="B976" t="str">
            <v>HP StorageWorks SSL1016 Ultrium Mag Kit</v>
          </cell>
          <cell r="C976" t="str">
            <v>LJ</v>
          </cell>
          <cell r="D976">
            <v>5862350</v>
          </cell>
          <cell r="E976">
            <v>0</v>
          </cell>
        </row>
        <row r="978">
          <cell r="A978" t="str">
            <v>StorageWorks - Software</v>
          </cell>
        </row>
        <row r="979">
          <cell r="A979" t="str">
            <v>OpenView SRM</v>
          </cell>
        </row>
        <row r="980">
          <cell r="A980" t="str">
            <v>B7038AA</v>
          </cell>
          <cell r="B980" t="str">
            <v>OV Data Protector adv backup to disk LTU</v>
          </cell>
          <cell r="C980" t="str">
            <v>LK</v>
          </cell>
          <cell r="D980">
            <v>16211968</v>
          </cell>
          <cell r="E980">
            <v>0</v>
          </cell>
        </row>
        <row r="981">
          <cell r="A981" t="str">
            <v>T2557AA</v>
          </cell>
          <cell r="B981" t="str">
            <v>HP OV SM v4.3 MS media_doc 60d</v>
          </cell>
          <cell r="C981" t="str">
            <v>LK</v>
          </cell>
          <cell r="D981">
            <v>551093</v>
          </cell>
          <cell r="E981">
            <v>0</v>
          </cell>
        </row>
        <row r="982">
          <cell r="A982" t="str">
            <v>T2558AA</v>
          </cell>
          <cell r="B982" t="str">
            <v>HP OpenView SM v4.4 Media/Doc Kit</v>
          </cell>
          <cell r="C982" t="str">
            <v>LK</v>
          </cell>
          <cell r="D982">
            <v>551093</v>
          </cell>
          <cell r="E982">
            <v>0</v>
          </cell>
        </row>
        <row r="983">
          <cell r="A983" t="str">
            <v>T3591A</v>
          </cell>
          <cell r="B983" t="str">
            <v>hp OpenView VR Doc/Media kit</v>
          </cell>
          <cell r="C983" t="str">
            <v>LK</v>
          </cell>
          <cell r="D983">
            <v>570096</v>
          </cell>
          <cell r="E983">
            <v>0</v>
          </cell>
        </row>
        <row r="985">
          <cell r="A985" t="str">
            <v>Host-based Virtualization</v>
          </cell>
        </row>
        <row r="986">
          <cell r="A986" t="str">
            <v>345276-B21</v>
          </cell>
          <cell r="B986" t="str">
            <v>VolGrwth CD/LTU/DOC all</v>
          </cell>
          <cell r="C986" t="str">
            <v>LK</v>
          </cell>
          <cell r="D986">
            <v>1565864</v>
          </cell>
          <cell r="E986">
            <v>0</v>
          </cell>
        </row>
        <row r="988">
          <cell r="A988" t="str">
            <v>Backup &amp; Recovery</v>
          </cell>
        </row>
        <row r="989">
          <cell r="A989" t="str">
            <v>B6951AA</v>
          </cell>
          <cell r="B989" t="str">
            <v>OV Data Protector Cell Manager HP-UX LTU</v>
          </cell>
          <cell r="C989" t="str">
            <v>LK</v>
          </cell>
          <cell r="D989">
            <v>29150595</v>
          </cell>
          <cell r="E989">
            <v>0</v>
          </cell>
        </row>
        <row r="990">
          <cell r="A990" t="str">
            <v>B6951BA</v>
          </cell>
          <cell r="B990" t="str">
            <v>OV Data Protector Cell Mg HP-UX LTU only</v>
          </cell>
          <cell r="C990" t="str">
            <v>LK</v>
          </cell>
          <cell r="D990">
            <v>28591297</v>
          </cell>
          <cell r="E990">
            <v>0</v>
          </cell>
        </row>
        <row r="991">
          <cell r="A991" t="str">
            <v>B6951CA</v>
          </cell>
          <cell r="B991" t="str">
            <v>OV Data Protector Solaris Cell Mgr LTU</v>
          </cell>
          <cell r="C991" t="str">
            <v>LK</v>
          </cell>
          <cell r="D991">
            <v>28591297</v>
          </cell>
          <cell r="E991">
            <v>0</v>
          </cell>
        </row>
        <row r="992">
          <cell r="A992" t="str">
            <v>B6951DA</v>
          </cell>
          <cell r="B992" t="str">
            <v>OV Data Protector Cell Mgr Solaris LTU</v>
          </cell>
          <cell r="C992" t="str">
            <v>LK</v>
          </cell>
          <cell r="D992">
            <v>29150595</v>
          </cell>
          <cell r="E992">
            <v>0</v>
          </cell>
        </row>
        <row r="993">
          <cell r="A993" t="str">
            <v>B6953AA</v>
          </cell>
          <cell r="B993" t="str">
            <v>OV Data Protector one Drive UNIX etc LTU</v>
          </cell>
          <cell r="C993" t="str">
            <v>LK</v>
          </cell>
          <cell r="D993">
            <v>25606809</v>
          </cell>
          <cell r="E993">
            <v>0</v>
          </cell>
        </row>
        <row r="994">
          <cell r="A994" t="str">
            <v>B6955BA</v>
          </cell>
          <cell r="B994" t="str">
            <v>OV Data Protector On-line ext. UNIX LTU</v>
          </cell>
          <cell r="C994" t="str">
            <v>LK</v>
          </cell>
          <cell r="D994">
            <v>36142971</v>
          </cell>
          <cell r="E994">
            <v>0</v>
          </cell>
        </row>
        <row r="995">
          <cell r="A995" t="str">
            <v>B6956AA</v>
          </cell>
          <cell r="B995" t="str">
            <v>OV Data Protector MoM UNIX LTU</v>
          </cell>
          <cell r="C995" t="str">
            <v>LK</v>
          </cell>
          <cell r="D995">
            <v>25606809</v>
          </cell>
          <cell r="E995">
            <v>0</v>
          </cell>
        </row>
        <row r="996">
          <cell r="A996" t="str">
            <v>B6957BA</v>
          </cell>
          <cell r="B996" t="str">
            <v>OV Data Protector 61-250 library LTU</v>
          </cell>
          <cell r="C996" t="str">
            <v>LK</v>
          </cell>
          <cell r="D996">
            <v>44724971</v>
          </cell>
          <cell r="E996">
            <v>0</v>
          </cell>
        </row>
        <row r="997">
          <cell r="A997" t="str">
            <v>B6958BA</v>
          </cell>
          <cell r="B997" t="str">
            <v>OV Data Protector unlimited libr. LTU</v>
          </cell>
          <cell r="C997" t="str">
            <v>LK</v>
          </cell>
          <cell r="D997">
            <v>92429777</v>
          </cell>
          <cell r="E997">
            <v>0</v>
          </cell>
        </row>
        <row r="998">
          <cell r="A998" t="str">
            <v>B6959CA</v>
          </cell>
          <cell r="B998" t="str">
            <v>OV Data Protector ZDB EMC 1 TB LTU</v>
          </cell>
          <cell r="C998" t="str">
            <v>LK</v>
          </cell>
          <cell r="D998">
            <v>96184856</v>
          </cell>
          <cell r="E998">
            <v>0</v>
          </cell>
        </row>
        <row r="999">
          <cell r="A999" t="str">
            <v>B6960BA</v>
          </cell>
          <cell r="B999" t="str">
            <v>OV Omniback 4.x all media &amp; manuals</v>
          </cell>
          <cell r="C999" t="str">
            <v>LK</v>
          </cell>
          <cell r="D999">
            <v>1396929</v>
          </cell>
          <cell r="E999">
            <v>0</v>
          </cell>
        </row>
        <row r="1000">
          <cell r="A1000" t="str">
            <v>B6960BD</v>
          </cell>
          <cell r="B1000" t="str">
            <v>OV Omniback 4.x all media&amp;manuals-German</v>
          </cell>
          <cell r="C1000" t="str">
            <v>LK</v>
          </cell>
          <cell r="D1000">
            <v>965000</v>
          </cell>
          <cell r="E1000">
            <v>0</v>
          </cell>
        </row>
        <row r="1001">
          <cell r="A1001" t="str">
            <v>B6960BF</v>
          </cell>
          <cell r="B1001" t="str">
            <v>OV Omniback 4.x all media &amp; mnls French</v>
          </cell>
          <cell r="C1001" t="str">
            <v>LK</v>
          </cell>
          <cell r="D1001">
            <v>965000</v>
          </cell>
          <cell r="E1001">
            <v>0</v>
          </cell>
        </row>
        <row r="1002">
          <cell r="A1002" t="str">
            <v>B6960BJ</v>
          </cell>
          <cell r="B1002" t="str">
            <v>OV Omniback 4.x all media, mnls Japanese</v>
          </cell>
          <cell r="C1002" t="str">
            <v>LK</v>
          </cell>
          <cell r="D1002">
            <v>785000</v>
          </cell>
          <cell r="E1002">
            <v>0</v>
          </cell>
        </row>
        <row r="1003">
          <cell r="A1003" t="str">
            <v>B6960EA</v>
          </cell>
          <cell r="B1003" t="str">
            <v>OV Data Protector Funct. Extens. manuals</v>
          </cell>
          <cell r="C1003" t="str">
            <v>LK</v>
          </cell>
          <cell r="D1003">
            <v>1396929</v>
          </cell>
          <cell r="E1003">
            <v>0</v>
          </cell>
        </row>
        <row r="1004">
          <cell r="A1004" t="str">
            <v>B6960LA</v>
          </cell>
          <cell r="B1004" t="str">
            <v>OV Data Protector Cell Manager manuals</v>
          </cell>
          <cell r="C1004" t="str">
            <v>LK</v>
          </cell>
          <cell r="D1004">
            <v>1396929</v>
          </cell>
          <cell r="E1004">
            <v>0</v>
          </cell>
        </row>
        <row r="1005">
          <cell r="A1005" t="str">
            <v>B6960MA</v>
          </cell>
          <cell r="B1005" t="str">
            <v>OV Data Protector Cell Manager media</v>
          </cell>
          <cell r="C1005" t="str">
            <v>LK</v>
          </cell>
          <cell r="D1005">
            <v>692114</v>
          </cell>
          <cell r="E1005">
            <v>0</v>
          </cell>
        </row>
        <row r="1006">
          <cell r="A1006" t="str">
            <v>B6961AA</v>
          </cell>
          <cell r="B1006" t="str">
            <v>OV Data Protector Cell Manag Win. LTU CD</v>
          </cell>
          <cell r="C1006" t="str">
            <v>LK</v>
          </cell>
          <cell r="D1006">
            <v>5938441</v>
          </cell>
          <cell r="E1006">
            <v>0</v>
          </cell>
        </row>
        <row r="1007">
          <cell r="A1007" t="str">
            <v>B6961AF</v>
          </cell>
          <cell r="B1007" t="str">
            <v>OV Data Protector CellMgr Win French LTU</v>
          </cell>
          <cell r="C1007" t="str">
            <v>LK</v>
          </cell>
          <cell r="D1007">
            <v>2713000</v>
          </cell>
          <cell r="E1007">
            <v>0</v>
          </cell>
        </row>
        <row r="1008">
          <cell r="A1008" t="str">
            <v>B6961BA</v>
          </cell>
          <cell r="B1008" t="str">
            <v>OV Data Protector Cell Mgr Win LTU only</v>
          </cell>
          <cell r="C1008" t="str">
            <v>LK</v>
          </cell>
          <cell r="D1008">
            <v>5425971</v>
          </cell>
          <cell r="E1008">
            <v>0</v>
          </cell>
        </row>
        <row r="1009">
          <cell r="A1009" t="str">
            <v>B6963AA</v>
          </cell>
          <cell r="B1009" t="str">
            <v>OV Data Protector Drive Windows etc LTU</v>
          </cell>
          <cell r="C1009" t="str">
            <v>LK</v>
          </cell>
          <cell r="D1009">
            <v>4197321</v>
          </cell>
          <cell r="E1009">
            <v>0</v>
          </cell>
        </row>
        <row r="1010">
          <cell r="A1010" t="str">
            <v>B6965BA</v>
          </cell>
          <cell r="B1010" t="str">
            <v>OV Data Protector On-line ext Win, LTU</v>
          </cell>
          <cell r="C1010" t="str">
            <v>LK</v>
          </cell>
          <cell r="D1010">
            <v>6413273</v>
          </cell>
          <cell r="E1010">
            <v>0</v>
          </cell>
        </row>
        <row r="1011">
          <cell r="A1011" t="str">
            <v>B6966AA</v>
          </cell>
          <cell r="B1011" t="str">
            <v>OV Data Protector MoM Windows LTU</v>
          </cell>
          <cell r="C1011" t="str">
            <v>LK</v>
          </cell>
          <cell r="D1011">
            <v>6413273</v>
          </cell>
          <cell r="E1011">
            <v>0</v>
          </cell>
        </row>
        <row r="1012">
          <cell r="A1012" t="str">
            <v>B7020AA</v>
          </cell>
          <cell r="B1012" t="str">
            <v>OV Data Protector SSE HP-UX LTU</v>
          </cell>
          <cell r="C1012" t="str">
            <v>LK</v>
          </cell>
          <cell r="D1012">
            <v>15068744</v>
          </cell>
          <cell r="E1012">
            <v>0</v>
          </cell>
        </row>
        <row r="1013">
          <cell r="A1013" t="str">
            <v>B7020BA</v>
          </cell>
          <cell r="B1013" t="str">
            <v>OV Data Protector SSE HP-UX LTU only</v>
          </cell>
          <cell r="C1013" t="str">
            <v>LK</v>
          </cell>
          <cell r="D1013">
            <v>14499786</v>
          </cell>
          <cell r="E1013">
            <v>0</v>
          </cell>
        </row>
        <row r="1014">
          <cell r="A1014" t="str">
            <v>B7020CA</v>
          </cell>
          <cell r="B1014" t="str">
            <v>OV Data Protector SSE Solaris LTU only</v>
          </cell>
          <cell r="C1014" t="str">
            <v>LK</v>
          </cell>
          <cell r="D1014">
            <v>14499786</v>
          </cell>
          <cell r="E1014">
            <v>0</v>
          </cell>
        </row>
        <row r="1015">
          <cell r="A1015" t="str">
            <v>B7020DA</v>
          </cell>
          <cell r="B1015" t="str">
            <v>OV Data Protector SSE Solaris LTU, CD&amp;ma</v>
          </cell>
          <cell r="C1015" t="str">
            <v>LK</v>
          </cell>
          <cell r="D1015">
            <v>14626372</v>
          </cell>
          <cell r="E1015">
            <v>0</v>
          </cell>
        </row>
        <row r="1016">
          <cell r="A1016" t="str">
            <v>B7020UA</v>
          </cell>
          <cell r="B1016" t="str">
            <v>OV Upgd to OB Single Serv Edition UX LTU</v>
          </cell>
          <cell r="C1016" t="str">
            <v>LK</v>
          </cell>
          <cell r="D1016">
            <v>14771696</v>
          </cell>
          <cell r="E1016">
            <v>0</v>
          </cell>
        </row>
        <row r="1017">
          <cell r="A1017" t="str">
            <v>B7021AA</v>
          </cell>
          <cell r="B1017" t="str">
            <v>OV Data Protector SSE Migr. HP-UX LTU</v>
          </cell>
          <cell r="C1017" t="str">
            <v>LK</v>
          </cell>
          <cell r="D1017">
            <v>17180615</v>
          </cell>
          <cell r="E1017">
            <v>0</v>
          </cell>
        </row>
        <row r="1018">
          <cell r="A1018" t="str">
            <v>B7021DA</v>
          </cell>
          <cell r="B1018" t="str">
            <v>OV Data Protector SSE Solaris Migrat LTU</v>
          </cell>
          <cell r="C1018" t="str">
            <v>LK</v>
          </cell>
          <cell r="D1018">
            <v>17180615</v>
          </cell>
          <cell r="E1018">
            <v>0</v>
          </cell>
        </row>
        <row r="1019">
          <cell r="A1019" t="str">
            <v>B7022BA</v>
          </cell>
          <cell r="B1019" t="str">
            <v>OV Data Protector Direct Backup NDMP LTU</v>
          </cell>
          <cell r="C1019" t="str">
            <v>LK</v>
          </cell>
          <cell r="D1019">
            <v>34351734</v>
          </cell>
          <cell r="E1019">
            <v>0</v>
          </cell>
        </row>
        <row r="1020">
          <cell r="A1020" t="str">
            <v>B7023CA</v>
          </cell>
          <cell r="B1020" t="str">
            <v>OV Data Protector ZDB for XP, 1 TB LTU</v>
          </cell>
          <cell r="C1020" t="str">
            <v>LK</v>
          </cell>
          <cell r="D1020">
            <v>96184856</v>
          </cell>
          <cell r="E1020">
            <v>0</v>
          </cell>
        </row>
        <row r="1021">
          <cell r="A1021" t="str">
            <v>B7025CA</v>
          </cell>
          <cell r="B1021" t="str">
            <v>OV Data Protector ZDB EVA/VA, 1 TB LTU</v>
          </cell>
          <cell r="C1021" t="str">
            <v>LK</v>
          </cell>
          <cell r="D1021">
            <v>47268199</v>
          </cell>
          <cell r="E1021">
            <v>0</v>
          </cell>
        </row>
        <row r="1022">
          <cell r="A1022" t="str">
            <v>B7026CA</v>
          </cell>
          <cell r="B1022" t="str">
            <v>OV Data Protector Inst. Rec. XP 1 TB LTU</v>
          </cell>
          <cell r="C1022" t="str">
            <v>LK</v>
          </cell>
          <cell r="D1022">
            <v>47268199</v>
          </cell>
          <cell r="E1022">
            <v>0</v>
          </cell>
        </row>
        <row r="1023">
          <cell r="A1023" t="str">
            <v>B7028AA</v>
          </cell>
          <cell r="B1023" t="str">
            <v>OV Data Protector IR EVA/VA 1 TB LTU</v>
          </cell>
          <cell r="C1023" t="str">
            <v>LK</v>
          </cell>
          <cell r="D1023">
            <v>24052564</v>
          </cell>
          <cell r="E1023">
            <v>0</v>
          </cell>
        </row>
        <row r="1024">
          <cell r="A1024" t="str">
            <v>B7030AA</v>
          </cell>
          <cell r="B1024" t="str">
            <v>OV Data Protector Single Serv Ed Win LTU</v>
          </cell>
          <cell r="C1024" t="str">
            <v>LK</v>
          </cell>
          <cell r="D1024">
            <v>2272036</v>
          </cell>
          <cell r="E1024">
            <v>0</v>
          </cell>
        </row>
        <row r="1025">
          <cell r="A1025" t="str">
            <v>B7030AJ</v>
          </cell>
          <cell r="B1025" t="str">
            <v>OV Data Protector SSE Windows JPN LTU</v>
          </cell>
          <cell r="C1025" t="str">
            <v>LK</v>
          </cell>
          <cell r="D1025">
            <v>1622000</v>
          </cell>
          <cell r="E1025">
            <v>0</v>
          </cell>
        </row>
        <row r="1026">
          <cell r="A1026" t="str">
            <v>B7030BA</v>
          </cell>
          <cell r="B1026" t="str">
            <v>OV Data Protector SSE Win LTU only</v>
          </cell>
          <cell r="C1026" t="str">
            <v>LK</v>
          </cell>
          <cell r="D1026">
            <v>1964426</v>
          </cell>
          <cell r="E1026">
            <v>0</v>
          </cell>
        </row>
        <row r="1027">
          <cell r="A1027" t="str">
            <v>B7030UA</v>
          </cell>
          <cell r="B1027" t="str">
            <v>OV Upgd to OB Single Serv Edition NT LTU</v>
          </cell>
          <cell r="C1027" t="str">
            <v>LK</v>
          </cell>
          <cell r="D1027">
            <v>2044278</v>
          </cell>
          <cell r="E1027">
            <v>0</v>
          </cell>
        </row>
        <row r="1028">
          <cell r="A1028" t="str">
            <v>B7031AA</v>
          </cell>
          <cell r="B1028" t="str">
            <v>OV Data Protector SSE Migr. Win. LTU</v>
          </cell>
          <cell r="C1028" t="str">
            <v>LK</v>
          </cell>
          <cell r="D1028">
            <v>3865933</v>
          </cell>
          <cell r="E1028">
            <v>0</v>
          </cell>
        </row>
        <row r="1029">
          <cell r="A1029" t="str">
            <v>BA152AA</v>
          </cell>
          <cell r="B1029" t="str">
            <v>OV Data Protector open file media v.9</v>
          </cell>
          <cell r="C1029" t="str">
            <v>LK</v>
          </cell>
          <cell r="D1029">
            <v>1238186</v>
          </cell>
          <cell r="E1029">
            <v>0</v>
          </cell>
        </row>
        <row r="1030">
          <cell r="A1030" t="str">
            <v>BA153AA</v>
          </cell>
          <cell r="B1030" t="str">
            <v>OV Data Protector open file serv v.9 LTU</v>
          </cell>
          <cell r="C1030" t="str">
            <v>LK</v>
          </cell>
          <cell r="D1030">
            <v>4120938</v>
          </cell>
          <cell r="E1030">
            <v>0</v>
          </cell>
        </row>
        <row r="1031">
          <cell r="A1031" t="str">
            <v>BA153BA</v>
          </cell>
          <cell r="B1031" t="str">
            <v>OV Data Protector open file 10-sv v9 LTU</v>
          </cell>
          <cell r="C1031" t="str">
            <v>LK</v>
          </cell>
          <cell r="D1031">
            <v>41209382</v>
          </cell>
          <cell r="E1031">
            <v>0</v>
          </cell>
        </row>
        <row r="1032">
          <cell r="A1032" t="str">
            <v>BA154AA</v>
          </cell>
          <cell r="B1032" t="str">
            <v>OV Data Protector open file 5-wk v.9 LTU</v>
          </cell>
          <cell r="C1032" t="str">
            <v>LK</v>
          </cell>
          <cell r="D1032">
            <v>1555670</v>
          </cell>
          <cell r="E1032">
            <v>0</v>
          </cell>
        </row>
        <row r="1033">
          <cell r="A1033" t="str">
            <v>BA155AA</v>
          </cell>
          <cell r="B1033" t="str">
            <v>OV Data Protector open file entsv v9 LTU</v>
          </cell>
          <cell r="C1033" t="str">
            <v>LK</v>
          </cell>
          <cell r="D1033">
            <v>6317925</v>
          </cell>
          <cell r="E1033">
            <v>0</v>
          </cell>
        </row>
        <row r="1035">
          <cell r="A1035" t="str">
            <v>Remote Replication</v>
          </cell>
        </row>
        <row r="1036">
          <cell r="A1036" t="str">
            <v>336243-B21</v>
          </cell>
          <cell r="B1036" t="str">
            <v>OV SM v4.4 Svr LTU 1</v>
          </cell>
          <cell r="C1036" t="str">
            <v>LK</v>
          </cell>
          <cell r="D1036">
            <v>9482597</v>
          </cell>
          <cell r="E1036">
            <v>0</v>
          </cell>
        </row>
        <row r="1037">
          <cell r="A1037" t="str">
            <v>336245-B21</v>
          </cell>
          <cell r="B1037" t="str">
            <v>OV SM v4.4 Svr LTU 25</v>
          </cell>
          <cell r="C1037" t="str">
            <v>LK</v>
          </cell>
          <cell r="D1037">
            <v>237064920</v>
          </cell>
          <cell r="E1037">
            <v>0</v>
          </cell>
        </row>
        <row r="1038">
          <cell r="A1038" t="str">
            <v>336247-B21</v>
          </cell>
          <cell r="B1038" t="str">
            <v>OV SM v4.4 AdvSvr LTU 1</v>
          </cell>
          <cell r="C1038" t="str">
            <v>LK</v>
          </cell>
          <cell r="D1038">
            <v>17083877</v>
          </cell>
          <cell r="E1038">
            <v>0</v>
          </cell>
        </row>
        <row r="1039">
          <cell r="A1039" t="str">
            <v>336249-B21</v>
          </cell>
          <cell r="B1039" t="str">
            <v>OV SM v4.4 AdvSvr LTU 25</v>
          </cell>
          <cell r="C1039" t="str">
            <v>LK</v>
          </cell>
          <cell r="D1039">
            <v>427096920</v>
          </cell>
          <cell r="E1039">
            <v>0</v>
          </cell>
        </row>
        <row r="1040">
          <cell r="A1040" t="str">
            <v>344954-B21</v>
          </cell>
          <cell r="B1040" t="str">
            <v>OV SM v4.4 wrkgr NAS edition LTU 1</v>
          </cell>
          <cell r="C1040" t="str">
            <v>LK</v>
          </cell>
          <cell r="D1040">
            <v>11190961</v>
          </cell>
          <cell r="E1040">
            <v>0</v>
          </cell>
        </row>
        <row r="1041">
          <cell r="A1041" t="str">
            <v>T2536AA</v>
          </cell>
          <cell r="B1041" t="str">
            <v>HPOV SM 4.4 Workgroup NAS ed. 25 LTU</v>
          </cell>
          <cell r="C1041" t="str">
            <v>LK</v>
          </cell>
          <cell r="D1041">
            <v>255403008</v>
          </cell>
          <cell r="E1041">
            <v>0</v>
          </cell>
        </row>
        <row r="1043">
          <cell r="A1043" t="str">
            <v>Secure Path - Workgroup</v>
          </cell>
        </row>
        <row r="1044">
          <cell r="A1044" t="str">
            <v>213076-B26</v>
          </cell>
          <cell r="B1044" t="str">
            <v>SP WIN Work Edition 1 LTU/CD 4.0C</v>
          </cell>
          <cell r="C1044" t="str">
            <v>LK</v>
          </cell>
          <cell r="D1044">
            <v>7601280</v>
          </cell>
          <cell r="E1044">
            <v>0</v>
          </cell>
        </row>
        <row r="1045">
          <cell r="A1045" t="str">
            <v>222411-B22</v>
          </cell>
          <cell r="B1045" t="str">
            <v>Secure Path V3.0C for Netware Workgroup</v>
          </cell>
          <cell r="C1045" t="str">
            <v>LK</v>
          </cell>
          <cell r="D1045">
            <v>7601280</v>
          </cell>
          <cell r="E1045">
            <v>0</v>
          </cell>
        </row>
        <row r="1046">
          <cell r="A1046" t="str">
            <v>231316-B26</v>
          </cell>
          <cell r="B1046" t="str">
            <v>SP WIN Work Edition 5 LTU/CD 4.0C all</v>
          </cell>
          <cell r="C1046" t="str">
            <v>LK</v>
          </cell>
          <cell r="D1046">
            <v>34205760</v>
          </cell>
          <cell r="E1046">
            <v>0</v>
          </cell>
        </row>
        <row r="1047">
          <cell r="A1047" t="str">
            <v>231317-B26</v>
          </cell>
          <cell r="B1047" t="str">
            <v>SP WIN Work Edition 10 LTU/CD 4.0C</v>
          </cell>
          <cell r="C1047" t="str">
            <v>LK</v>
          </cell>
          <cell r="D1047">
            <v>61570368</v>
          </cell>
          <cell r="E1047">
            <v>0</v>
          </cell>
        </row>
        <row r="1048">
          <cell r="A1048" t="str">
            <v>231318-B26</v>
          </cell>
          <cell r="B1048" t="str">
            <v>SP WIN Work Edition 25 LTU/CD 4.0C</v>
          </cell>
          <cell r="C1048" t="str">
            <v>LK</v>
          </cell>
          <cell r="D1048">
            <v>138533328</v>
          </cell>
          <cell r="E1048">
            <v>0</v>
          </cell>
        </row>
        <row r="1049">
          <cell r="A1049" t="str">
            <v>231319-B26</v>
          </cell>
          <cell r="B1049" t="str">
            <v>SP WIN Work Edition 50 LTU/CD 4.0C</v>
          </cell>
          <cell r="C1049" t="str">
            <v>LK</v>
          </cell>
          <cell r="D1049">
            <v>249359990</v>
          </cell>
          <cell r="E1049">
            <v>0</v>
          </cell>
        </row>
        <row r="1050">
          <cell r="A1050" t="str">
            <v>231324-B22</v>
          </cell>
          <cell r="B1050" t="str">
            <v>Secure Path V3.0C for Netware Workgroup</v>
          </cell>
          <cell r="C1050" t="str">
            <v>LK</v>
          </cell>
          <cell r="D1050">
            <v>34205760</v>
          </cell>
          <cell r="E1050">
            <v>0</v>
          </cell>
        </row>
        <row r="1051">
          <cell r="A1051" t="str">
            <v>231325-B22</v>
          </cell>
          <cell r="B1051" t="str">
            <v>Secure Path V3.0C for Netware Workgroup</v>
          </cell>
          <cell r="C1051" t="str">
            <v>LK</v>
          </cell>
          <cell r="D1051">
            <v>61570368</v>
          </cell>
          <cell r="E1051">
            <v>0</v>
          </cell>
        </row>
        <row r="1052">
          <cell r="A1052" t="str">
            <v>231326-B22</v>
          </cell>
          <cell r="B1052" t="str">
            <v>Secure Path V3.0C for Netware Workgroup</v>
          </cell>
          <cell r="C1052" t="str">
            <v>LK</v>
          </cell>
          <cell r="D1052">
            <v>138533328</v>
          </cell>
          <cell r="E1052">
            <v>0</v>
          </cell>
        </row>
        <row r="1053">
          <cell r="A1053" t="str">
            <v>231327-B22</v>
          </cell>
          <cell r="B1053" t="str">
            <v>Secure Path V3.0C for Netware Workgroup</v>
          </cell>
          <cell r="C1053" t="str">
            <v>LK</v>
          </cell>
          <cell r="D1053">
            <v>249359990</v>
          </cell>
          <cell r="E1053">
            <v>0</v>
          </cell>
        </row>
        <row r="1054">
          <cell r="A1054" t="str">
            <v>261715-B24</v>
          </cell>
          <cell r="B1054" t="str">
            <v>SP WIN Work Edition Upg LTU/CD 4.0C</v>
          </cell>
          <cell r="C1054" t="str">
            <v>LK</v>
          </cell>
          <cell r="D1054">
            <v>2280384</v>
          </cell>
          <cell r="E1054">
            <v>0</v>
          </cell>
        </row>
        <row r="1055">
          <cell r="A1055" t="str">
            <v>325634-B23</v>
          </cell>
          <cell r="B1055" t="str">
            <v>SP WIN Work Edition 8 LTU/CD 4.0C</v>
          </cell>
          <cell r="C1055" t="str">
            <v>LK</v>
          </cell>
          <cell r="D1055">
            <v>30405120</v>
          </cell>
          <cell r="E1055">
            <v>0</v>
          </cell>
        </row>
        <row r="1056">
          <cell r="A1056" t="str">
            <v>T3554A</v>
          </cell>
          <cell r="B1056" t="str">
            <v>SecurePath HP-UX WE 1 LTU/CD Kit</v>
          </cell>
          <cell r="C1056" t="str">
            <v>LK</v>
          </cell>
          <cell r="D1056">
            <v>7601280</v>
          </cell>
          <cell r="E1056">
            <v>0</v>
          </cell>
        </row>
        <row r="1057">
          <cell r="A1057" t="str">
            <v>T3554B</v>
          </cell>
          <cell r="B1057" t="str">
            <v>HP SecurePath HP-UX V3.0E WE 1 LTU/CD</v>
          </cell>
          <cell r="C1057" t="str">
            <v>LK</v>
          </cell>
          <cell r="D1057">
            <v>7601280</v>
          </cell>
          <cell r="E1057">
            <v>0</v>
          </cell>
        </row>
        <row r="1058">
          <cell r="A1058" t="str">
            <v>T3555A</v>
          </cell>
          <cell r="B1058" t="str">
            <v>SecurePath HP-UX WE 5 LTU/CD Kit</v>
          </cell>
          <cell r="C1058" t="str">
            <v>LK</v>
          </cell>
          <cell r="D1058">
            <v>34205760</v>
          </cell>
          <cell r="E1058">
            <v>0</v>
          </cell>
        </row>
        <row r="1059">
          <cell r="A1059" t="str">
            <v>T3555B</v>
          </cell>
          <cell r="B1059" t="str">
            <v>HP SecurePath HP-UX V3.0E WE 5 LTU/CD</v>
          </cell>
          <cell r="C1059" t="str">
            <v>LK</v>
          </cell>
          <cell r="D1059">
            <v>34205760</v>
          </cell>
          <cell r="E1059">
            <v>0</v>
          </cell>
        </row>
        <row r="1060">
          <cell r="A1060" t="str">
            <v>T3556A</v>
          </cell>
          <cell r="B1060" t="str">
            <v>Secure Path HP-UX WE 10 LTU/CD Kit</v>
          </cell>
          <cell r="C1060" t="str">
            <v>LK</v>
          </cell>
          <cell r="D1060">
            <v>61570368</v>
          </cell>
          <cell r="E1060">
            <v>0</v>
          </cell>
        </row>
        <row r="1061">
          <cell r="A1061" t="str">
            <v>T3556B</v>
          </cell>
          <cell r="B1061" t="str">
            <v>HP SecurePath HP-UX V3.0E WE 10 LTU/CD</v>
          </cell>
          <cell r="C1061" t="str">
            <v>LK</v>
          </cell>
          <cell r="D1061">
            <v>61570368</v>
          </cell>
          <cell r="E1061">
            <v>0</v>
          </cell>
        </row>
        <row r="1062">
          <cell r="A1062" t="str">
            <v>T3557A</v>
          </cell>
          <cell r="B1062" t="str">
            <v>Secure Path HP-UX WE 25 LTU/CD Kit</v>
          </cell>
          <cell r="C1062" t="str">
            <v>LK</v>
          </cell>
          <cell r="D1062">
            <v>138533328</v>
          </cell>
          <cell r="E1062">
            <v>0</v>
          </cell>
        </row>
        <row r="1063">
          <cell r="A1063" t="str">
            <v>T3557B</v>
          </cell>
          <cell r="B1063" t="str">
            <v>HP SecurePath HP-UX V3.0E WE 25 LTU/CD</v>
          </cell>
          <cell r="C1063" t="str">
            <v>LK</v>
          </cell>
          <cell r="D1063">
            <v>138533328</v>
          </cell>
          <cell r="E1063">
            <v>0</v>
          </cell>
        </row>
        <row r="1064">
          <cell r="A1064" t="str">
            <v>T3558A</v>
          </cell>
          <cell r="B1064" t="str">
            <v>SecurePath HP-UX WE 50 LTU/CD Kit</v>
          </cell>
          <cell r="C1064" t="str">
            <v>LK</v>
          </cell>
          <cell r="D1064">
            <v>249359990</v>
          </cell>
          <cell r="E1064">
            <v>0</v>
          </cell>
        </row>
        <row r="1065">
          <cell r="A1065" t="str">
            <v>T3558B</v>
          </cell>
          <cell r="B1065" t="str">
            <v>HP SecurePath HP-UX V3.0E WE 50 LTU/CD</v>
          </cell>
          <cell r="C1065" t="str">
            <v>LK</v>
          </cell>
          <cell r="D1065">
            <v>249359990</v>
          </cell>
          <cell r="E1065">
            <v>0</v>
          </cell>
        </row>
        <row r="1066">
          <cell r="A1066" t="str">
            <v>T3581A</v>
          </cell>
          <cell r="B1066" t="str">
            <v>Secure Path Linux WE 1 LTU/CD 3.0C</v>
          </cell>
          <cell r="C1066" t="str">
            <v>LK</v>
          </cell>
          <cell r="D1066">
            <v>7601280</v>
          </cell>
          <cell r="E1066">
            <v>0</v>
          </cell>
        </row>
        <row r="1067">
          <cell r="A1067" t="str">
            <v>T3582A</v>
          </cell>
          <cell r="B1067" t="str">
            <v>Secure Path Linux WE 5 LTU/CD 3.0C</v>
          </cell>
          <cell r="C1067" t="str">
            <v>LK</v>
          </cell>
          <cell r="D1067">
            <v>34205760</v>
          </cell>
          <cell r="E1067">
            <v>0</v>
          </cell>
        </row>
        <row r="1068">
          <cell r="A1068" t="str">
            <v>T3583A</v>
          </cell>
          <cell r="B1068" t="str">
            <v>Secure Path Linux WE 8 LTU/CD 3.0C</v>
          </cell>
          <cell r="C1068" t="str">
            <v>LK</v>
          </cell>
          <cell r="D1068">
            <v>30405120</v>
          </cell>
          <cell r="E1068">
            <v>0</v>
          </cell>
        </row>
        <row r="1069">
          <cell r="A1069" t="str">
            <v>T3584A</v>
          </cell>
          <cell r="B1069" t="str">
            <v>Secure Path Linux WE 10 LTU/CD 3.0C</v>
          </cell>
          <cell r="C1069" t="str">
            <v>LK</v>
          </cell>
          <cell r="D1069">
            <v>61570368</v>
          </cell>
          <cell r="E1069">
            <v>0</v>
          </cell>
        </row>
        <row r="1070">
          <cell r="A1070" t="str">
            <v>T3585A</v>
          </cell>
          <cell r="B1070" t="str">
            <v>Secure Path Linux WE 25 LTU/CD 3.0C</v>
          </cell>
          <cell r="C1070" t="str">
            <v>LK</v>
          </cell>
          <cell r="D1070">
            <v>138533328</v>
          </cell>
          <cell r="E1070">
            <v>0</v>
          </cell>
        </row>
        <row r="1071">
          <cell r="A1071" t="str">
            <v>T3586A</v>
          </cell>
          <cell r="B1071" t="str">
            <v>Secure Path Linux WE 50 LTU/CD 3.0C</v>
          </cell>
          <cell r="C1071" t="str">
            <v>LK</v>
          </cell>
          <cell r="D1071">
            <v>249359990</v>
          </cell>
          <cell r="E1071">
            <v>0</v>
          </cell>
        </row>
        <row r="1073">
          <cell r="A1073" t="str">
            <v>Software Products</v>
          </cell>
        </row>
        <row r="1074">
          <cell r="A1074" t="str">
            <v>Storage Software Products</v>
          </cell>
        </row>
        <row r="1075">
          <cell r="A1075" t="str">
            <v>B7027AA</v>
          </cell>
          <cell r="B1075" t="str">
            <v>OV Data Protector Direct B. XP 1TB LTU</v>
          </cell>
          <cell r="C1075" t="str">
            <v>LK</v>
          </cell>
          <cell r="D1075">
            <v>19530000</v>
          </cell>
          <cell r="E1075">
            <v>0</v>
          </cell>
        </row>
        <row r="1076">
          <cell r="A1076" t="str">
            <v>J5367AA</v>
          </cell>
          <cell r="B1076" t="str">
            <v>HP OV Storage Area Manager 50TB LTU</v>
          </cell>
          <cell r="C1076" t="str">
            <v>LK</v>
          </cell>
          <cell r="D1076">
            <v>1666789320</v>
          </cell>
          <cell r="E1076">
            <v>0</v>
          </cell>
        </row>
        <row r="1077">
          <cell r="A1077" t="str">
            <v>T3592A</v>
          </cell>
          <cell r="B1077" t="str">
            <v>hp OpenView Virtual Replicator Upg kit</v>
          </cell>
          <cell r="C1077" t="str">
            <v>LK</v>
          </cell>
          <cell r="D1077">
            <v>570096</v>
          </cell>
          <cell r="E1077">
            <v>0</v>
          </cell>
        </row>
        <row r="1078">
          <cell r="A1078" t="str">
            <v>T3593A</v>
          </cell>
          <cell r="B1078" t="str">
            <v>hp OpenView Virtual Replicator 1 Sys LTU</v>
          </cell>
          <cell r="C1078" t="str">
            <v>LK</v>
          </cell>
          <cell r="D1078">
            <v>19212235</v>
          </cell>
          <cell r="E1078">
            <v>0</v>
          </cell>
        </row>
        <row r="1079">
          <cell r="A1079" t="str">
            <v>T3594A</v>
          </cell>
          <cell r="B1079" t="str">
            <v>hp OpenView Virtual Repli 10 Sys LTU</v>
          </cell>
          <cell r="C1079" t="str">
            <v>LK</v>
          </cell>
          <cell r="D1079">
            <v>96201800</v>
          </cell>
          <cell r="E1079">
            <v>0</v>
          </cell>
        </row>
        <row r="1080">
          <cell r="A1080" t="str">
            <v>T3597A</v>
          </cell>
          <cell r="B1080" t="str">
            <v>hp OpenView Virtual Replicator 5 Sys LTU</v>
          </cell>
          <cell r="C1080" t="str">
            <v>LK</v>
          </cell>
          <cell r="D1080">
            <v>56116450</v>
          </cell>
          <cell r="E1080">
            <v>0</v>
          </cell>
        </row>
        <row r="1081">
          <cell r="A1081" t="str">
            <v>T3598A</v>
          </cell>
          <cell r="B1081" t="str">
            <v>hp OpenView Virtual Replicator 3 Sys LTU</v>
          </cell>
          <cell r="C1081" t="str">
            <v>LK</v>
          </cell>
          <cell r="D1081">
            <v>37607333</v>
          </cell>
          <cell r="E1081">
            <v>0</v>
          </cell>
        </row>
        <row r="1082">
          <cell r="A1082" t="str">
            <v>T3599A</v>
          </cell>
          <cell r="B1082" t="str">
            <v>hp OpenView Virtual Repli 1 Sys Upg LTU</v>
          </cell>
          <cell r="C1082" t="str">
            <v>LK</v>
          </cell>
          <cell r="D1082">
            <v>5765571</v>
          </cell>
          <cell r="E1082">
            <v>0</v>
          </cell>
        </row>
        <row r="1083">
          <cell r="A1083" t="str">
            <v>T3600A</v>
          </cell>
          <cell r="B1083" t="str">
            <v>hp OpenView Virtual Repli 10 Sys Upg LTU</v>
          </cell>
          <cell r="C1083" t="str">
            <v>LK</v>
          </cell>
          <cell r="D1083">
            <v>28862060</v>
          </cell>
          <cell r="E1083">
            <v>0</v>
          </cell>
        </row>
        <row r="1084">
          <cell r="A1084" t="str">
            <v>T3603A</v>
          </cell>
          <cell r="B1084" t="str">
            <v>hp OpenView Virtual Repli 5 Sys Upg LTU</v>
          </cell>
          <cell r="C1084" t="str">
            <v>LK</v>
          </cell>
          <cell r="D1084">
            <v>16836835</v>
          </cell>
          <cell r="E1084">
            <v>0</v>
          </cell>
        </row>
        <row r="1085">
          <cell r="A1085" t="str">
            <v>T3604A</v>
          </cell>
          <cell r="B1085" t="str">
            <v>hp OpenView Virtual Replic 3 Sys Upg LTU</v>
          </cell>
          <cell r="C1085" t="str">
            <v>LK</v>
          </cell>
          <cell r="D1085">
            <v>11284100</v>
          </cell>
          <cell r="E1085">
            <v>0</v>
          </cell>
        </row>
        <row r="1087">
          <cell r="A1087" t="str">
            <v>HP Care Packs</v>
          </cell>
        </row>
        <row r="1088">
          <cell r="A1088" t="str">
            <v>HP Care Packs (Storage Software)</v>
          </cell>
        </row>
        <row r="1089">
          <cell r="A1089" t="str">
            <v>U2507</v>
          </cell>
          <cell r="B1089" t="str">
            <v>OpenView FibreNet Onsite supp LTU</v>
          </cell>
          <cell r="C1089" t="str">
            <v>R8</v>
          </cell>
          <cell r="D1089">
            <v>313000</v>
          </cell>
          <cell r="E1089">
            <v>0</v>
          </cell>
        </row>
        <row r="1090">
          <cell r="A1090" t="str">
            <v>U9541E</v>
          </cell>
          <cell r="B1090" t="str">
            <v>HP 1y 24x7 SPWIN WE LTU4.0C SW Support</v>
          </cell>
          <cell r="C1090" t="str">
            <v>R8</v>
          </cell>
          <cell r="D1090">
            <v>159000</v>
          </cell>
          <cell r="E1090">
            <v>0</v>
          </cell>
        </row>
        <row r="1091">
          <cell r="A1091" t="str">
            <v>U9542E</v>
          </cell>
          <cell r="B1091" t="str">
            <v>HP 3y 24x7 SPWIN WE LTU4.0C SW Support</v>
          </cell>
          <cell r="C1091" t="str">
            <v>R8</v>
          </cell>
          <cell r="D1091">
            <v>465000</v>
          </cell>
          <cell r="E1091">
            <v>0</v>
          </cell>
        </row>
        <row r="1092">
          <cell r="A1092" t="str">
            <v>U9543E</v>
          </cell>
          <cell r="B1092" t="str">
            <v>HP 1y 24x7 SPWI/LX/HP/Nt WE1LT SW Supp</v>
          </cell>
          <cell r="C1092" t="str">
            <v>R8</v>
          </cell>
          <cell r="D1092">
            <v>607000</v>
          </cell>
          <cell r="E1092">
            <v>0</v>
          </cell>
        </row>
        <row r="1093">
          <cell r="A1093" t="str">
            <v>U9544E</v>
          </cell>
          <cell r="B1093" t="str">
            <v>HP 3y 24x7 SPWI/LX/HP/Nt WE1LT SW Supp</v>
          </cell>
          <cell r="C1093" t="str">
            <v>R8</v>
          </cell>
          <cell r="D1093">
            <v>1767000</v>
          </cell>
          <cell r="E1093">
            <v>0</v>
          </cell>
        </row>
        <row r="1094">
          <cell r="A1094" t="str">
            <v>U9545E</v>
          </cell>
          <cell r="B1094" t="str">
            <v>HP 1y 24x7 SPWIN/LNX WE 8 LTU SW Support</v>
          </cell>
          <cell r="C1094" t="str">
            <v>R8</v>
          </cell>
          <cell r="D1094">
            <v>2558000</v>
          </cell>
          <cell r="E1094">
            <v>0</v>
          </cell>
        </row>
        <row r="1095">
          <cell r="A1095" t="str">
            <v>U9546E</v>
          </cell>
          <cell r="B1095" t="str">
            <v>HP 3y 24x7 SPWIN/LNX WE 8 LTU SW Support</v>
          </cell>
          <cell r="C1095" t="str">
            <v>R8</v>
          </cell>
          <cell r="D1095">
            <v>7443000</v>
          </cell>
          <cell r="E1095">
            <v>0</v>
          </cell>
        </row>
        <row r="1096">
          <cell r="A1096" t="str">
            <v>U9547E</v>
          </cell>
          <cell r="B1096" t="str">
            <v>HP 1y 24x7 SPWIN/LX/HP WE 5LT SW Support</v>
          </cell>
          <cell r="C1096" t="str">
            <v>R8</v>
          </cell>
          <cell r="D1096">
            <v>2878000</v>
          </cell>
          <cell r="E1096">
            <v>0</v>
          </cell>
        </row>
        <row r="1097">
          <cell r="A1097" t="str">
            <v>U9548E</v>
          </cell>
          <cell r="B1097" t="str">
            <v>HP 3y 24x7 SPWIN/LX/HP WE 5LT SW Support</v>
          </cell>
          <cell r="C1097" t="str">
            <v>R8</v>
          </cell>
          <cell r="D1097">
            <v>8361000</v>
          </cell>
          <cell r="E1097">
            <v>0</v>
          </cell>
        </row>
        <row r="1098">
          <cell r="A1098" t="str">
            <v>U9549E</v>
          </cell>
          <cell r="B1098" t="str">
            <v>HP 1y 24x7 SPWIN/LX/HP WE10LT SW Support</v>
          </cell>
          <cell r="C1098" t="str">
            <v>R8</v>
          </cell>
          <cell r="D1098">
            <v>5275000</v>
          </cell>
          <cell r="E1098">
            <v>0</v>
          </cell>
        </row>
        <row r="1099">
          <cell r="A1099" t="str">
            <v>U9550E</v>
          </cell>
          <cell r="B1099" t="str">
            <v>HP 3y 24x7 SPWIN/LX/HP WE10LT SW Support</v>
          </cell>
          <cell r="C1099" t="str">
            <v>R8</v>
          </cell>
          <cell r="D1099">
            <v>15352000</v>
          </cell>
          <cell r="E1099">
            <v>0</v>
          </cell>
        </row>
        <row r="1101">
          <cell r="A1101" t="str">
            <v>HP Care Packs (Miscellaneous Products)</v>
          </cell>
        </row>
        <row r="1102">
          <cell r="A1102" t="str">
            <v>U2508</v>
          </cell>
          <cell r="B1102" t="str">
            <v>OpenView FibreNet Hrly Phone Supp LTU</v>
          </cell>
          <cell r="C1102" t="str">
            <v>R8</v>
          </cell>
          <cell r="D1102">
            <v>65000</v>
          </cell>
          <cell r="E1102">
            <v>0</v>
          </cell>
        </row>
        <row r="1103">
          <cell r="A1103" t="str">
            <v>UA827E</v>
          </cell>
          <cell r="B1103" t="str">
            <v>HP 3y 24x7 SPWIN/LX/HP WE25LT SW Support</v>
          </cell>
          <cell r="C1103" t="str">
            <v>R8</v>
          </cell>
          <cell r="D1103">
            <v>32101000</v>
          </cell>
          <cell r="E1103">
            <v>0</v>
          </cell>
        </row>
        <row r="1104">
          <cell r="A1104" t="str">
            <v>UA829E</v>
          </cell>
          <cell r="B1104" t="str">
            <v>HP 3y 24x7 SPWIN/LX/HP WE50LT SW Support</v>
          </cell>
          <cell r="C1104" t="str">
            <v>R8</v>
          </cell>
          <cell r="D1104">
            <v>58155000</v>
          </cell>
          <cell r="E1104">
            <v>0</v>
          </cell>
        </row>
        <row r="1105">
          <cell r="A1105" t="str">
            <v>309620-B23</v>
          </cell>
          <cell r="B1105" t="str">
            <v xml:space="preserve">EVA 2C2D-C, 50Hz-graphite </v>
          </cell>
          <cell r="D1105">
            <v>353313432</v>
          </cell>
        </row>
        <row r="1106">
          <cell r="A1106" t="str">
            <v>309620-B24</v>
          </cell>
          <cell r="B1106" t="str">
            <v xml:space="preserve">EVA 2C2D-C, 60Hz-graphite </v>
          </cell>
          <cell r="D1106">
            <v>353313432</v>
          </cell>
        </row>
        <row r="1107">
          <cell r="A1107" t="str">
            <v>AD543A</v>
          </cell>
          <cell r="B1107" t="str">
            <v>EVA3000 2C1D-C wFound Serv Sol</v>
          </cell>
          <cell r="D1107">
            <v>161157623</v>
          </cell>
        </row>
        <row r="1109">
          <cell r="A1109" t="str">
            <v>A7368A</v>
          </cell>
          <cell r="B1109" t="str">
            <v>EVA 2C2D 50hz Enhanced Proactive Service Solution</v>
          </cell>
          <cell r="D1109">
            <v>339549178</v>
          </cell>
        </row>
        <row r="1110">
          <cell r="A1110" t="str">
            <v>A7369A</v>
          </cell>
          <cell r="B1110" t="str">
            <v>EVA 2C2D 50hz Proactive Service Solution</v>
          </cell>
          <cell r="D1110">
            <v>339549178</v>
          </cell>
        </row>
        <row r="1111">
          <cell r="A1111" t="str">
            <v>A7370A</v>
          </cell>
          <cell r="B1111" t="str">
            <v>EVA 2C2D 60hz Enhanced Proactive Service Solution</v>
          </cell>
          <cell r="D1111">
            <v>339549178</v>
          </cell>
        </row>
        <row r="1112">
          <cell r="A1112" t="str">
            <v>A7371A</v>
          </cell>
          <cell r="B1112" t="str">
            <v>EVA 2C2D 60hz Proactive Service Solution</v>
          </cell>
          <cell r="D1112">
            <v>339549178</v>
          </cell>
        </row>
        <row r="1113">
          <cell r="D1113">
            <v>0</v>
          </cell>
        </row>
        <row r="1114">
          <cell r="A1114" t="str">
            <v>324394-B21</v>
          </cell>
          <cell r="B1114" t="str">
            <v>Cable FC Copper SFP 2m</v>
          </cell>
          <cell r="D1114">
            <v>779131</v>
          </cell>
        </row>
        <row r="1115">
          <cell r="A1115" t="str">
            <v>325584-888</v>
          </cell>
          <cell r="B1115" t="str">
            <v>EVA3K CTO Flag Storage</v>
          </cell>
          <cell r="D1115">
            <v>3801</v>
          </cell>
        </row>
        <row r="1116">
          <cell r="A1116" t="str">
            <v>344818-B21</v>
          </cell>
          <cell r="B1116" t="str">
            <v xml:space="preserve">EVA3K Cntrlr pair w/encl                </v>
          </cell>
          <cell r="D1116">
            <v>135461496</v>
          </cell>
        </row>
        <row r="1117">
          <cell r="A1117" t="str">
            <v>344818-B21  0D1</v>
          </cell>
          <cell r="B1117" t="str">
            <v>EVA3K Cntrlr pair w/encl - Factory integrated</v>
          </cell>
          <cell r="D1117">
            <v>0</v>
          </cell>
        </row>
        <row r="1118">
          <cell r="A1118" t="str">
            <v>344820-B21</v>
          </cell>
          <cell r="B1118" t="str">
            <v>EVA3K 2C2D-C 16x36 GB/15k</v>
          </cell>
          <cell r="D1118">
            <v>278485913</v>
          </cell>
        </row>
        <row r="1119">
          <cell r="A1119" t="str">
            <v>344820-B21  0D1</v>
          </cell>
          <cell r="B1119" t="str">
            <v>EVA3K 2C2D-C 16x36 GB/15k - Factory integrated</v>
          </cell>
          <cell r="D1119">
            <v>0</v>
          </cell>
        </row>
        <row r="1120">
          <cell r="A1120" t="str">
            <v>344821-B21</v>
          </cell>
          <cell r="B1120" t="str">
            <v xml:space="preserve">EVA3K 2C2D-C 8x72 GB/10k                </v>
          </cell>
          <cell r="D1120">
            <v>237147619</v>
          </cell>
        </row>
        <row r="1121">
          <cell r="A1121" t="str">
            <v>344821-B21  0D1</v>
          </cell>
          <cell r="B1121" t="str">
            <v>EVA3K 2C2D-C 8x72 GB/10k - Factory integrated</v>
          </cell>
          <cell r="D1121">
            <v>0</v>
          </cell>
        </row>
        <row r="1122">
          <cell r="A1122" t="str">
            <v>344822-B21</v>
          </cell>
          <cell r="B1122" t="str">
            <v xml:space="preserve">EVA3K 2C2D-C 8x72 GB/15k </v>
          </cell>
          <cell r="D1122">
            <v>260259311</v>
          </cell>
        </row>
        <row r="1123">
          <cell r="A1123" t="str">
            <v>344822-B21  0D1</v>
          </cell>
          <cell r="B1123" t="str">
            <v>EVA3K 2C2D-C 8x72 GB/15k  - Factory integrated</v>
          </cell>
          <cell r="D1123">
            <v>0</v>
          </cell>
        </row>
        <row r="1124">
          <cell r="A1124" t="str">
            <v>344823-B21</v>
          </cell>
          <cell r="B1124" t="str">
            <v>EVA3K 2C2D-C 8x146 GB/10k</v>
          </cell>
          <cell r="D1124">
            <v>267092862</v>
          </cell>
        </row>
        <row r="1125">
          <cell r="A1125" t="str">
            <v>344823-B21  0D1</v>
          </cell>
          <cell r="B1125" t="str">
            <v>EVA3K 2C2D-C 8x146 GB/10k - Factory integrated</v>
          </cell>
          <cell r="D1125">
            <v>0</v>
          </cell>
        </row>
        <row r="1126">
          <cell r="A1126" t="str">
            <v>AD517A</v>
          </cell>
          <cell r="B1126" t="str">
            <v>EVA3000 2C2D-C 8x250GB</v>
          </cell>
          <cell r="D1126">
            <v>226258786</v>
          </cell>
        </row>
        <row r="1128">
          <cell r="A1128" t="str">
            <v>345438-B21</v>
          </cell>
          <cell r="B1128" t="str">
            <v>EVA3K Cntrlr Accessory Kit</v>
          </cell>
          <cell r="D1128">
            <v>5434915</v>
          </cell>
        </row>
        <row r="1129">
          <cell r="A1129" t="str">
            <v>345438-B21  0D1</v>
          </cell>
          <cell r="B1129" t="str">
            <v>EVA3K Cntrlr Accessory Kit - Factory integrated</v>
          </cell>
          <cell r="D1129">
            <v>0</v>
          </cell>
        </row>
        <row r="1130">
          <cell r="D1130">
            <v>0</v>
          </cell>
        </row>
        <row r="1131">
          <cell r="A1131" t="str">
            <v>238590-B22</v>
          </cell>
          <cell r="B1131" t="str">
            <v>Hard Disk Drive INT noS/W 36G 10K Upgrd</v>
          </cell>
          <cell r="D1131">
            <v>4674787</v>
          </cell>
        </row>
        <row r="1132">
          <cell r="A1132" t="str">
            <v>238921-B22</v>
          </cell>
          <cell r="B1132" t="str">
            <v>Hard Disk Drive INT noS/W 72G 10K Upgrd</v>
          </cell>
          <cell r="D1132">
            <v>7487261</v>
          </cell>
        </row>
        <row r="1133">
          <cell r="A1133" t="str">
            <v>293556-B22</v>
          </cell>
          <cell r="B1133" t="str">
            <v>Hard Disk Drive INT noS/W 146G 10K Upgrd</v>
          </cell>
          <cell r="D1133">
            <v>11972016</v>
          </cell>
        </row>
        <row r="1134">
          <cell r="A1134" t="str">
            <v>364622-B22</v>
          </cell>
          <cell r="B1134" t="str">
            <v>Hard Disk Drive INT noS/W 300G 10K Upgrd</v>
          </cell>
          <cell r="D1134">
            <v>18471110</v>
          </cell>
        </row>
        <row r="1135">
          <cell r="A1135" t="str">
            <v>236205-B22</v>
          </cell>
          <cell r="B1135" t="str">
            <v>Hard Disk Drive INT noS/W 36G 15K Upgrd</v>
          </cell>
          <cell r="D1135">
            <v>6841152</v>
          </cell>
        </row>
        <row r="1136">
          <cell r="A1136" t="str">
            <v>293568-B22</v>
          </cell>
          <cell r="B1136" t="str">
            <v>Hard Disk Drive INT noS/W 72G 15K Upgrd</v>
          </cell>
          <cell r="D1136">
            <v>10945843</v>
          </cell>
        </row>
        <row r="1137">
          <cell r="A1137" t="str">
            <v>238590-B23</v>
          </cell>
          <cell r="B1137" t="str">
            <v>Hard Disk Drive INT noS/W 36G 10K Fact</v>
          </cell>
          <cell r="D1137">
            <v>3895656</v>
          </cell>
        </row>
        <row r="1138">
          <cell r="A1138" t="str">
            <v>238590-B23  0D1</v>
          </cell>
          <cell r="B1138" t="str">
            <v>Hard Disk Drive INT noS/W 36G 10K Fact</v>
          </cell>
          <cell r="D1138">
            <v>0</v>
          </cell>
        </row>
        <row r="1139">
          <cell r="A1139" t="str">
            <v>238921-B23</v>
          </cell>
          <cell r="B1139" t="str">
            <v>Hard Disk Drive INT noS/W 72G 10K Fact</v>
          </cell>
          <cell r="D1139">
            <v>6233050</v>
          </cell>
        </row>
        <row r="1140">
          <cell r="A1140" t="str">
            <v>238921-B23  0D1</v>
          </cell>
          <cell r="B1140" t="str">
            <v>Hard Disk Drive INT noS/W 72G 10K Fact</v>
          </cell>
          <cell r="D1140">
            <v>0</v>
          </cell>
        </row>
        <row r="1141">
          <cell r="A1141" t="str">
            <v>293556-B23</v>
          </cell>
          <cell r="B1141" t="str">
            <v xml:space="preserve">Hard Disk Drive INT noS/W 146G 10K Fact </v>
          </cell>
          <cell r="D1141">
            <v>9976680</v>
          </cell>
        </row>
        <row r="1142">
          <cell r="A1142" t="str">
            <v>293556-B23  0D1</v>
          </cell>
          <cell r="B1142" t="str">
            <v xml:space="preserve">Hard Disk Drive INT noS/W 146G 10K Fact </v>
          </cell>
          <cell r="D1142">
            <v>0</v>
          </cell>
        </row>
        <row r="1143">
          <cell r="A1143" t="str">
            <v>236205-B23</v>
          </cell>
          <cell r="B1143" t="str">
            <v>Hard Disk Drive INT noS/W 36G 15K Fact</v>
          </cell>
          <cell r="D1143">
            <v>5700960</v>
          </cell>
        </row>
        <row r="1144">
          <cell r="A1144" t="str">
            <v>236205-B23  0D1</v>
          </cell>
          <cell r="B1144" t="str">
            <v>Hard Disk Drive INT noS/W 36G 15K Fact</v>
          </cell>
          <cell r="D1144">
            <v>0</v>
          </cell>
        </row>
        <row r="1145">
          <cell r="A1145" t="str">
            <v>293568-B23</v>
          </cell>
          <cell r="B1145" t="str">
            <v>Hard Disk Drive INT noS/W 72G 15K Fact</v>
          </cell>
          <cell r="D1145">
            <v>9121536</v>
          </cell>
        </row>
        <row r="1146">
          <cell r="A1146" t="str">
            <v>293568-B23  0D1</v>
          </cell>
          <cell r="B1146" t="str">
            <v>Hard Disk Drive INT noS/W 72G 15K Fact</v>
          </cell>
          <cell r="D1146">
            <v>0</v>
          </cell>
        </row>
        <row r="1147">
          <cell r="A1147" t="str">
            <v>364437-B22</v>
          </cell>
          <cell r="B1147" t="str">
            <v>250GB FATA HDD, Upgrade</v>
          </cell>
          <cell r="D1147">
            <v>6841152</v>
          </cell>
        </row>
        <row r="1148">
          <cell r="A1148" t="str">
            <v>364437-B23</v>
          </cell>
          <cell r="B1148" t="str">
            <v>250GB FATA HDD Factory Integration</v>
          </cell>
          <cell r="D1148">
            <v>6841152</v>
          </cell>
        </row>
        <row r="1149">
          <cell r="D1149">
            <v>0</v>
          </cell>
        </row>
        <row r="1150">
          <cell r="A1150" t="str">
            <v>291542-B21</v>
          </cell>
          <cell r="B1150" t="str">
            <v>VCS HSV110UPG V2 L/CD</v>
          </cell>
          <cell r="D1150">
            <v>7582277</v>
          </cell>
        </row>
        <row r="1151">
          <cell r="A1151" t="str">
            <v>T3588A</v>
          </cell>
          <cell r="B1151" t="str">
            <v>VCS v3.0b media kit for dual HSV110 controllers</v>
          </cell>
          <cell r="D1151">
            <v>1140192</v>
          </cell>
        </row>
        <row r="1152">
          <cell r="A1152" t="str">
            <v>T3589A</v>
          </cell>
          <cell r="B1152" t="str">
            <v>VCS v3.0 media kit for dual HSV100 controllers</v>
          </cell>
          <cell r="D1152">
            <v>1140192</v>
          </cell>
        </row>
        <row r="1153">
          <cell r="D1153">
            <v>0</v>
          </cell>
        </row>
        <row r="1154">
          <cell r="A1154" t="str">
            <v>321617-B21</v>
          </cell>
          <cell r="B1154" t="str">
            <v>EVA Dual Power Supply ALL</v>
          </cell>
          <cell r="D1154">
            <v>285808128</v>
          </cell>
        </row>
        <row r="1155">
          <cell r="A1155" t="str">
            <v>283266-B21</v>
          </cell>
          <cell r="B1155" t="str">
            <v>Enterprise FC Loop Switch Kit ALL</v>
          </cell>
          <cell r="D1155">
            <v>121620480</v>
          </cell>
        </row>
        <row r="1156">
          <cell r="A1156" t="str">
            <v>293357-B21</v>
          </cell>
          <cell r="B1156" t="str">
            <v>FC Cbl Routing Spo ALL</v>
          </cell>
          <cell r="D1156">
            <v>3040512</v>
          </cell>
        </row>
        <row r="1157">
          <cell r="A1157" t="str">
            <v>293358-B21</v>
          </cell>
          <cell r="B1157" t="str">
            <v>Rail-to-Rail FC Cb ALL</v>
          </cell>
          <cell r="D1157">
            <v>1178198</v>
          </cell>
        </row>
        <row r="1158">
          <cell r="A1158" t="str">
            <v>293359-B21</v>
          </cell>
          <cell r="B1158" t="str">
            <v>Side-Rail FC Cable ALL</v>
          </cell>
          <cell r="D1158">
            <v>1512655</v>
          </cell>
        </row>
        <row r="1159">
          <cell r="A1159" t="str">
            <v>338042-B21</v>
          </cell>
          <cell r="B1159" t="str">
            <v>42U EVA cab 60Hz</v>
          </cell>
          <cell r="D1159">
            <v>23982038</v>
          </cell>
        </row>
        <row r="1160">
          <cell r="A1160" t="str">
            <v>338043-B21</v>
          </cell>
          <cell r="B1160" t="str">
            <v>42U EVA cab 50Hz</v>
          </cell>
          <cell r="D1160">
            <v>23982038</v>
          </cell>
        </row>
        <row r="1161">
          <cell r="A1161" t="str">
            <v>338044-B21</v>
          </cell>
          <cell r="B1161" t="str">
            <v>36U EVA cab 60Hz</v>
          </cell>
          <cell r="D1161">
            <v>22974869</v>
          </cell>
        </row>
        <row r="1162">
          <cell r="A1162" t="str">
            <v>338045-B21</v>
          </cell>
          <cell r="B1162" t="str">
            <v>36U EVA cab 50Hz</v>
          </cell>
          <cell r="D1162">
            <v>22974869</v>
          </cell>
        </row>
        <row r="1163">
          <cell r="A1163" t="str">
            <v>338046-B21</v>
          </cell>
          <cell r="B1163" t="str">
            <v>22U EVA cab 60Hz</v>
          </cell>
          <cell r="D1163">
            <v>22290754</v>
          </cell>
        </row>
        <row r="1164">
          <cell r="A1164" t="str">
            <v>338047-B21</v>
          </cell>
          <cell r="B1164" t="str">
            <v>22U EVA cab 50Hz</v>
          </cell>
          <cell r="D1164">
            <v>22290754</v>
          </cell>
        </row>
        <row r="1165">
          <cell r="A1165" t="str">
            <v>344819-B21</v>
          </cell>
          <cell r="B1165" t="str">
            <v xml:space="preserve">M5314 FC Drive Enclosure </v>
          </cell>
          <cell r="D1165">
            <v>27896698</v>
          </cell>
        </row>
        <row r="1166">
          <cell r="A1166" t="str">
            <v>344819-B21  0D1</v>
          </cell>
          <cell r="B1166" t="str">
            <v>M5314 FC Drive Enclosure</v>
          </cell>
          <cell r="D1166">
            <v>0</v>
          </cell>
        </row>
        <row r="1167">
          <cell r="A1167" t="str">
            <v>345439-B21</v>
          </cell>
          <cell r="B1167" t="str">
            <v>Universal Rail Kit for M5x14</v>
          </cell>
          <cell r="D1167">
            <v>665112</v>
          </cell>
        </row>
        <row r="1168">
          <cell r="A1168" t="str">
            <v>336880-B21</v>
          </cell>
          <cell r="B1168" t="str">
            <v>EVA FC Loop Switch Copper</v>
          </cell>
          <cell r="D1168">
            <v>95016000</v>
          </cell>
        </row>
        <row r="1169">
          <cell r="A1169" t="str">
            <v>336880-B21  0D1</v>
          </cell>
          <cell r="B1169" t="str">
            <v>EVA FC Loop Switch Copper - Factory integrated</v>
          </cell>
          <cell r="D1169">
            <v>0</v>
          </cell>
        </row>
        <row r="1170">
          <cell r="A1170" t="str">
            <v>336881-B21</v>
          </cell>
          <cell r="B1170" t="str">
            <v>CAN bus cab-to-cab cable</v>
          </cell>
          <cell r="D1170">
            <v>760128</v>
          </cell>
        </row>
        <row r="1171">
          <cell r="A1171" t="str">
            <v>345580-B21</v>
          </cell>
          <cell r="B1171" t="str">
            <v>Cable Kit, Expansion Cab Drive Shelf</v>
          </cell>
          <cell r="D1171">
            <v>5681957</v>
          </cell>
        </row>
        <row r="1172">
          <cell r="D1172">
            <v>0</v>
          </cell>
        </row>
        <row r="1173">
          <cell r="A1173" t="str">
            <v>250193-B22</v>
          </cell>
          <cell r="B1173" t="str">
            <v>T64 KIT V2.0 ENT VA ALL</v>
          </cell>
          <cell r="D1173">
            <v>1140192</v>
          </cell>
        </row>
        <row r="1174">
          <cell r="A1174" t="str">
            <v>250194-B22</v>
          </cell>
          <cell r="B1174" t="str">
            <v>OVMS KIT V2.0 ENT VA ALL</v>
          </cell>
          <cell r="D1174">
            <v>1140192</v>
          </cell>
        </row>
        <row r="1175">
          <cell r="A1175" t="str">
            <v>250195-B23</v>
          </cell>
          <cell r="B1175" t="str">
            <v>WNT/2K KT V2.0 ENT VA ALL</v>
          </cell>
          <cell r="D1175">
            <v>1140192</v>
          </cell>
        </row>
        <row r="1176">
          <cell r="A1176" t="str">
            <v>250197-B22</v>
          </cell>
          <cell r="B1176" t="str">
            <v>SUN KIT V2.0 ENT VA ALL</v>
          </cell>
          <cell r="D1176">
            <v>1140192</v>
          </cell>
        </row>
        <row r="1177">
          <cell r="A1177" t="str">
            <v>282447-B22</v>
          </cell>
          <cell r="B1177" t="str">
            <v>AIX KIT V2.0 ENT VA ALL</v>
          </cell>
          <cell r="D1177">
            <v>1140192</v>
          </cell>
        </row>
        <row r="1178">
          <cell r="A1178" t="str">
            <v>282448-B21</v>
          </cell>
          <cell r="B1178" t="str">
            <v>HP-UX KIT V2.0 ENT VA ALL</v>
          </cell>
          <cell r="D1178">
            <v>1140192</v>
          </cell>
        </row>
        <row r="1179">
          <cell r="A1179" t="str">
            <v>309621-B21</v>
          </cell>
          <cell r="B1179" t="str">
            <v>NVL KIT ENT VA v2.0 ALL</v>
          </cell>
          <cell r="D1179">
            <v>1140192</v>
          </cell>
        </row>
        <row r="1180">
          <cell r="A1180" t="str">
            <v>309622-B22</v>
          </cell>
          <cell r="B1180" t="str">
            <v>LINUX KT V2.0 ENT VA ALL</v>
          </cell>
          <cell r="D1180">
            <v>1140192</v>
          </cell>
        </row>
        <row r="1181">
          <cell r="A1181" t="str">
            <v>312930-B21</v>
          </cell>
          <cell r="B1181" t="str">
            <v>Datacenter Kit V2.0 Ent Vir Ary ALL</v>
          </cell>
          <cell r="D1181">
            <v>1140192</v>
          </cell>
        </row>
        <row r="1184">
          <cell r="A1184" t="str">
            <v>189715-003</v>
          </cell>
          <cell r="B1184" t="str">
            <v>OV Storage Mgmt App US</v>
          </cell>
          <cell r="D1184">
            <v>45376800</v>
          </cell>
        </row>
        <row r="1185">
          <cell r="A1185" t="str">
            <v>189715-003  0D1</v>
          </cell>
          <cell r="B1185" t="str">
            <v>SMA factory integration</v>
          </cell>
          <cell r="D1185">
            <v>0</v>
          </cell>
        </row>
        <row r="1186">
          <cell r="A1186" t="str">
            <v>342237-B21</v>
          </cell>
          <cell r="B1186" t="str">
            <v>OV SMA rail kit SAN2</v>
          </cell>
          <cell r="D1186">
            <v>1140192</v>
          </cell>
        </row>
        <row r="1187">
          <cell r="D1187">
            <v>0</v>
          </cell>
        </row>
        <row r="1188">
          <cell r="A1188" t="str">
            <v>T3268AA</v>
          </cell>
          <cell r="B1188" t="str">
            <v>OVSOM v1.2 media</v>
          </cell>
          <cell r="D1188">
            <v>570096</v>
          </cell>
        </row>
        <row r="1189">
          <cell r="A1189" t="str">
            <v>T3269AA</v>
          </cell>
          <cell r="B1189" t="str">
            <v>OVSOM EVA3000 1TB LTU</v>
          </cell>
          <cell r="D1189">
            <v>17209595</v>
          </cell>
        </row>
        <row r="1190">
          <cell r="A1190" t="str">
            <v>T3270AA</v>
          </cell>
          <cell r="B1190" t="str">
            <v>OVSOM EVA3000 unlimited LTU</v>
          </cell>
          <cell r="D1190">
            <v>52123761</v>
          </cell>
        </row>
        <row r="1191">
          <cell r="A1191" t="str">
            <v>T3271AA</v>
          </cell>
          <cell r="B1191" t="str">
            <v>OVSOM EVA3000 upg to unlimited LTU</v>
          </cell>
          <cell r="D1191">
            <v>40252815</v>
          </cell>
        </row>
        <row r="1192">
          <cell r="A1192" t="str">
            <v>T3272AA</v>
          </cell>
          <cell r="B1192" t="str">
            <v>OVSOM EVA5000 1TB LTU</v>
          </cell>
          <cell r="D1192">
            <v>37901439</v>
          </cell>
        </row>
        <row r="1193">
          <cell r="A1193" t="str">
            <v>T3273AA</v>
          </cell>
          <cell r="B1193" t="str">
            <v>OVSOM EVA5000 unlimited LTU</v>
          </cell>
          <cell r="D1193">
            <v>140527652</v>
          </cell>
        </row>
        <row r="1194">
          <cell r="A1194" t="str">
            <v>T3274AA</v>
          </cell>
          <cell r="B1194" t="str">
            <v>OVSOM EVA5000 upg to unlimited LTU</v>
          </cell>
          <cell r="D1194">
            <v>121132961</v>
          </cell>
        </row>
        <row r="1195">
          <cell r="A1195" t="str">
            <v>T3275AA</v>
          </cell>
          <cell r="B1195" t="str">
            <v>OVSOM v1.2 migration media</v>
          </cell>
          <cell r="D1195">
            <v>633</v>
          </cell>
        </row>
        <row r="1196">
          <cell r="A1196" t="str">
            <v>T3276AA</v>
          </cell>
          <cell r="B1196" t="str">
            <v>SOM EVA3000 migration 1TB/EVA LTU</v>
          </cell>
          <cell r="D1196">
            <v>633</v>
          </cell>
        </row>
        <row r="1197">
          <cell r="A1197" t="str">
            <v>T3277AA</v>
          </cell>
          <cell r="B1197" t="str">
            <v>SOM EVA3000 migration unlimited/EVA LTU</v>
          </cell>
          <cell r="D1197">
            <v>633</v>
          </cell>
        </row>
        <row r="1198">
          <cell r="A1198" t="str">
            <v>T3278AA</v>
          </cell>
          <cell r="B1198" t="str">
            <v>SOM EVA5000 migration 1TB/EVA LTU</v>
          </cell>
          <cell r="D1198">
            <v>633</v>
          </cell>
        </row>
        <row r="1199">
          <cell r="A1199" t="str">
            <v>T3279AA</v>
          </cell>
          <cell r="B1199" t="str">
            <v>SOM EVA5000 migration unlimited/EVA LTU</v>
          </cell>
          <cell r="D1199">
            <v>633</v>
          </cell>
        </row>
        <row r="1201">
          <cell r="D1201">
            <v>0</v>
          </cell>
        </row>
        <row r="1202">
          <cell r="A1202" t="str">
            <v>T3637A</v>
          </cell>
          <cell r="B1202" t="str">
            <v>BC EVA3k Unlimited LTU v1</v>
          </cell>
          <cell r="D1202">
            <v>67565905</v>
          </cell>
        </row>
        <row r="1203">
          <cell r="A1203" t="str">
            <v>T3638A</v>
          </cell>
          <cell r="B1203" t="str">
            <v>BC EVA3k Upgd. to Unlim. LTU v1</v>
          </cell>
          <cell r="D1203">
            <v>37517799</v>
          </cell>
        </row>
        <row r="1204">
          <cell r="A1204" t="str">
            <v>T3640A</v>
          </cell>
          <cell r="B1204" t="str">
            <v>BC EVA5k Unlimited LTU v1</v>
          </cell>
          <cell r="D1204">
            <v>89337048</v>
          </cell>
        </row>
        <row r="1205">
          <cell r="A1205" t="str">
            <v>T3641A</v>
          </cell>
          <cell r="B1205" t="str">
            <v>BC EVA5k Upgd. to Unlim. LTU v1</v>
          </cell>
          <cell r="D1205">
            <v>51012259</v>
          </cell>
        </row>
        <row r="1206">
          <cell r="A1206" t="str">
            <v>T3660A</v>
          </cell>
          <cell r="B1206" t="str">
            <v>Business Copy CD media kit v2.3</v>
          </cell>
          <cell r="D1206">
            <v>1900320</v>
          </cell>
        </row>
        <row r="1207">
          <cell r="A1207" t="str">
            <v>T3639A</v>
          </cell>
          <cell r="B1207" t="str">
            <v>BC EVA5k 1 TB LTU 1.0</v>
          </cell>
          <cell r="D1207">
            <v>65359675</v>
          </cell>
        </row>
        <row r="1208">
          <cell r="A1208" t="str">
            <v>T3636A</v>
          </cell>
          <cell r="B1208" t="str">
            <v>BC EVA3K 1TB LTU 1.0</v>
          </cell>
          <cell r="D1208">
            <v>54890524</v>
          </cell>
        </row>
        <row r="1210">
          <cell r="A1210" t="str">
            <v>T3643A</v>
          </cell>
          <cell r="B1210" t="str">
            <v>CA EVA3k Unlimited LTU v1</v>
          </cell>
          <cell r="D1210">
            <v>179800476</v>
          </cell>
        </row>
        <row r="1211">
          <cell r="A1211" t="str">
            <v>T3644A</v>
          </cell>
          <cell r="B1211" t="str">
            <v>CA EVA3k Upgd. to Unlim. LTU v1</v>
          </cell>
          <cell r="D1211">
            <v>104727153</v>
          </cell>
        </row>
        <row r="1212">
          <cell r="A1212" t="str">
            <v>T3646A</v>
          </cell>
          <cell r="B1212" t="str">
            <v>CA EVA5k Unlimited LTU v1</v>
          </cell>
          <cell r="D1212">
            <v>235718441</v>
          </cell>
        </row>
        <row r="1213">
          <cell r="A1213" t="str">
            <v>T3647A</v>
          </cell>
          <cell r="B1213" t="str">
            <v>CA EVA5k Upgd. to Unlim. LTU v1</v>
          </cell>
          <cell r="D1213">
            <v>135131811</v>
          </cell>
        </row>
        <row r="1214">
          <cell r="A1214" t="str">
            <v>T3661A</v>
          </cell>
          <cell r="B1214" t="str">
            <v>CA EVA3k CD Media Kit v1</v>
          </cell>
          <cell r="D1214">
            <v>1900320</v>
          </cell>
        </row>
        <row r="1215">
          <cell r="A1215" t="str">
            <v>T3645A</v>
          </cell>
          <cell r="B1215" t="str">
            <v>CA EVA5k 1 TB LTU 1.0</v>
          </cell>
          <cell r="D1215">
            <v>173138211</v>
          </cell>
        </row>
        <row r="1216">
          <cell r="A1216" t="str">
            <v>T3642A</v>
          </cell>
          <cell r="B1216" t="str">
            <v>CA EVA3K 1TB LTU 1.0</v>
          </cell>
          <cell r="D1216">
            <v>142923585</v>
          </cell>
        </row>
        <row r="1218">
          <cell r="A1218" t="str">
            <v>165989-B24</v>
          </cell>
          <cell r="B1218" t="str">
            <v>SP WIN 1 LIC/CD 4.0B</v>
          </cell>
          <cell r="D1218">
            <v>16452971</v>
          </cell>
        </row>
        <row r="1219">
          <cell r="A1219" t="str">
            <v>231292-B24</v>
          </cell>
          <cell r="B1219" t="str">
            <v>SP WIN 5 LIC/CD 4.0B</v>
          </cell>
          <cell r="D1219">
            <v>74017464</v>
          </cell>
        </row>
        <row r="1220">
          <cell r="A1220" t="str">
            <v>231293-B24</v>
          </cell>
          <cell r="B1220" t="str">
            <v>SP WIN 10 LIC/CD 4.0B</v>
          </cell>
          <cell r="D1220">
            <v>133246638</v>
          </cell>
        </row>
        <row r="1221">
          <cell r="A1221" t="str">
            <v>231294-B24</v>
          </cell>
          <cell r="B1221" t="str">
            <v>SP WIN 25 LIC/CD 4.0B</v>
          </cell>
          <cell r="D1221">
            <v>299775480</v>
          </cell>
        </row>
        <row r="1222">
          <cell r="A1222" t="str">
            <v>231295-B24</v>
          </cell>
          <cell r="B1222" t="str">
            <v>SP WIN 50 LIC/CD 4.0B</v>
          </cell>
          <cell r="D1222">
            <v>539611067</v>
          </cell>
        </row>
        <row r="1223">
          <cell r="A1223" t="str">
            <v>325633-B22</v>
          </cell>
          <cell r="B1223" t="str">
            <v>Secure Path v4.0B for Windows for Proliant BL 8 licenses</v>
          </cell>
          <cell r="D1223">
            <v>65785278</v>
          </cell>
        </row>
        <row r="1224">
          <cell r="A1224" t="str">
            <v>165989-B25</v>
          </cell>
          <cell r="B1224" t="str">
            <v>Secure Path V4.0C for Windows 1 license and media</v>
          </cell>
          <cell r="D1224">
            <v>13530278</v>
          </cell>
        </row>
        <row r="1225">
          <cell r="A1225" t="str">
            <v>231292-B25</v>
          </cell>
          <cell r="B1225" t="str">
            <v>Secure Path V4.0C for Windows 5 licenses and media</v>
          </cell>
          <cell r="D1225">
            <v>60810240</v>
          </cell>
        </row>
        <row r="1226">
          <cell r="A1226" t="str">
            <v>231293-B25</v>
          </cell>
          <cell r="B1226" t="str">
            <v>Secure Path V4.0C for Windows 10 licenses and media</v>
          </cell>
          <cell r="D1226">
            <v>109116374</v>
          </cell>
        </row>
        <row r="1227">
          <cell r="A1227" t="str">
            <v>231294-B25</v>
          </cell>
          <cell r="B1227" t="str">
            <v>Secure Path V4.0C for Windows 25 licenses and media</v>
          </cell>
          <cell r="D1227">
            <v>246281472</v>
          </cell>
        </row>
        <row r="1228">
          <cell r="A1228" t="str">
            <v>231295-B25</v>
          </cell>
          <cell r="B1228" t="str">
            <v>Secure Path V4.0C for Windows 50 licenses and media</v>
          </cell>
          <cell r="D1228">
            <v>443306650</v>
          </cell>
        </row>
        <row r="1229">
          <cell r="A1229" t="str">
            <v>165988-B25</v>
          </cell>
          <cell r="B1229" t="str">
            <v>Secure Path V4.0C for Windows Upgrade</v>
          </cell>
          <cell r="D1229">
            <v>4066685</v>
          </cell>
        </row>
        <row r="1230">
          <cell r="A1230" t="str">
            <v>325633-B23</v>
          </cell>
          <cell r="B1230" t="str">
            <v>Secure Path V4.0C for Windows for ProLiant BL Line 8 licenses and media</v>
          </cell>
          <cell r="D1230">
            <v>54045101</v>
          </cell>
        </row>
        <row r="1231">
          <cell r="A1231" t="str">
            <v>165991-B24</v>
          </cell>
          <cell r="B1231" t="str">
            <v>SP Sun Lic/CD 3.0B</v>
          </cell>
          <cell r="D1231">
            <v>32894539</v>
          </cell>
        </row>
        <row r="1232">
          <cell r="A1232" t="str">
            <v>231300-B24</v>
          </cell>
          <cell r="B1232" t="str">
            <v>SP Sun 5 Lic/CD 3.0B</v>
          </cell>
          <cell r="D1232">
            <v>148031127</v>
          </cell>
        </row>
        <row r="1233">
          <cell r="A1233" t="str">
            <v>231301-B24</v>
          </cell>
          <cell r="B1233" t="str">
            <v>SP Sun 10 Lic/CD 3.0B</v>
          </cell>
          <cell r="D1233">
            <v>266459070</v>
          </cell>
        </row>
        <row r="1234">
          <cell r="A1234" t="str">
            <v>231302-B24</v>
          </cell>
          <cell r="B1234" t="str">
            <v>SP Sun 25 Lic/CD 3.0B</v>
          </cell>
          <cell r="D1234">
            <v>599547159</v>
          </cell>
        </row>
        <row r="1235">
          <cell r="A1235" t="str">
            <v>231303-B24</v>
          </cell>
          <cell r="B1235" t="str">
            <v>SP Sun 50 Lic/CD 3.0B</v>
          </cell>
          <cell r="D1235">
            <v>1079187927</v>
          </cell>
        </row>
        <row r="1236">
          <cell r="A1236" t="str">
            <v>165990-B24</v>
          </cell>
          <cell r="B1236" t="str">
            <v>Secure Path v3.0C for Sun Upgrade</v>
          </cell>
          <cell r="D1236">
            <v>8095363</v>
          </cell>
        </row>
        <row r="1237">
          <cell r="A1237" t="str">
            <v>231495-B23</v>
          </cell>
          <cell r="B1237" t="str">
            <v>SP IBM 1 LIC/CD V2.0C</v>
          </cell>
          <cell r="D1237">
            <v>32894539</v>
          </cell>
        </row>
        <row r="1238">
          <cell r="A1238" t="str">
            <v>231312-B23</v>
          </cell>
          <cell r="B1238" t="str">
            <v>SP IBM 5 LIC/CD V2.0C</v>
          </cell>
          <cell r="D1238">
            <v>148031127</v>
          </cell>
        </row>
        <row r="1239">
          <cell r="A1239" t="str">
            <v>231313-B23</v>
          </cell>
          <cell r="B1239" t="str">
            <v>SP IBM 10 LIC/CD V2.0C</v>
          </cell>
          <cell r="D1239">
            <v>266459070</v>
          </cell>
        </row>
        <row r="1240">
          <cell r="A1240" t="str">
            <v>231495-B24</v>
          </cell>
          <cell r="B1240" t="str">
            <v>Secure Path v2.0D for IBM-AIX one license</v>
          </cell>
          <cell r="D1240">
            <v>27022550</v>
          </cell>
        </row>
        <row r="1241">
          <cell r="A1241" t="str">
            <v>231312-B24</v>
          </cell>
          <cell r="B1241" t="str">
            <v>Secure Path v2.0D for IBM-AIX five licenses and media</v>
          </cell>
          <cell r="D1241">
            <v>121620480</v>
          </cell>
        </row>
        <row r="1242">
          <cell r="A1242" t="str">
            <v>231313-B24</v>
          </cell>
          <cell r="B1242" t="str">
            <v>Secure Path v2.0D for IBM-AIX 10 licenses and media</v>
          </cell>
          <cell r="D1242">
            <v>218916864</v>
          </cell>
        </row>
        <row r="1243">
          <cell r="A1243" t="str">
            <v>261705-B23</v>
          </cell>
          <cell r="B1243" t="str">
            <v>SP HP Lic/CD 3.0B</v>
          </cell>
          <cell r="D1243">
            <v>32894539</v>
          </cell>
        </row>
        <row r="1244">
          <cell r="A1244" t="str">
            <v>261706-B23</v>
          </cell>
          <cell r="B1244" t="str">
            <v>SP HP 5 Lic/CD 3.0B</v>
          </cell>
          <cell r="D1244">
            <v>148031127</v>
          </cell>
        </row>
        <row r="1245">
          <cell r="A1245" t="str">
            <v>261707-B23</v>
          </cell>
          <cell r="B1245" t="str">
            <v>SP HP 10 Lic/CD 3.0B</v>
          </cell>
          <cell r="D1245">
            <v>266459070</v>
          </cell>
        </row>
        <row r="1246">
          <cell r="A1246" t="str">
            <v>261708-B23</v>
          </cell>
          <cell r="B1246" t="str">
            <v>SP HP 25 Lic/CD 3.0B</v>
          </cell>
          <cell r="D1246">
            <v>599547159</v>
          </cell>
        </row>
        <row r="1247">
          <cell r="A1247" t="str">
            <v>261709-B23</v>
          </cell>
          <cell r="B1247" t="str">
            <v>SP HP 50 Lic/CD 3.0B</v>
          </cell>
          <cell r="D1247">
            <v>1079187927</v>
          </cell>
        </row>
        <row r="1248">
          <cell r="A1248" t="str">
            <v>T3549A</v>
          </cell>
          <cell r="B1248" t="str">
            <v>Secure Path v3.0C for HP-UX</v>
          </cell>
          <cell r="D1248">
            <v>13530278</v>
          </cell>
        </row>
        <row r="1249">
          <cell r="A1249" t="str">
            <v>T3550A</v>
          </cell>
          <cell r="B1249" t="str">
            <v>Secure Path v3.0C for HP-UX</v>
          </cell>
          <cell r="D1249">
            <v>60810240</v>
          </cell>
        </row>
        <row r="1250">
          <cell r="A1250" t="str">
            <v>T3551A</v>
          </cell>
          <cell r="B1250" t="str">
            <v>Secure Path v3.0C for HP-UX</v>
          </cell>
          <cell r="D1250">
            <v>109116374</v>
          </cell>
        </row>
        <row r="1251">
          <cell r="A1251" t="str">
            <v>T3552A</v>
          </cell>
          <cell r="B1251" t="str">
            <v>Secure Path v3.0C for HP-UX</v>
          </cell>
          <cell r="D1251">
            <v>246281472</v>
          </cell>
        </row>
        <row r="1252">
          <cell r="A1252" t="str">
            <v>T3553A</v>
          </cell>
          <cell r="B1252" t="str">
            <v>Secure Path v3.0C for HP-UX</v>
          </cell>
          <cell r="D1252">
            <v>443306650</v>
          </cell>
        </row>
        <row r="1253">
          <cell r="A1253" t="str">
            <v>165993-B22</v>
          </cell>
          <cell r="B1253" t="str">
            <v>SP V3.0C for NetWare 1 license</v>
          </cell>
          <cell r="D1253">
            <v>13530278</v>
          </cell>
        </row>
        <row r="1254">
          <cell r="A1254" t="str">
            <v>231308-B22</v>
          </cell>
          <cell r="B1254" t="str">
            <v>SP V3.0 for NetWare 5 licenses</v>
          </cell>
          <cell r="D1254">
            <v>60810240</v>
          </cell>
        </row>
        <row r="1255">
          <cell r="A1255" t="str">
            <v>231309-B22</v>
          </cell>
          <cell r="B1255" t="str">
            <v>SP V3.0C for NetWare 10 licenses</v>
          </cell>
          <cell r="D1255">
            <v>109116374</v>
          </cell>
        </row>
        <row r="1256">
          <cell r="A1256" t="str">
            <v>231310-B22</v>
          </cell>
          <cell r="B1256" t="str">
            <v>SP V3.0C for NetWare 25 licenses</v>
          </cell>
          <cell r="D1256">
            <v>246281472</v>
          </cell>
        </row>
        <row r="1257">
          <cell r="A1257" t="str">
            <v>231311-B22</v>
          </cell>
          <cell r="B1257" t="str">
            <v>SP V3.0C for NetWare 50 licenses</v>
          </cell>
          <cell r="D1257">
            <v>443306650</v>
          </cell>
        </row>
        <row r="1258">
          <cell r="A1258" t="str">
            <v>282412-B21</v>
          </cell>
          <cell r="B1258" t="str">
            <v>SP for Linux 1 License</v>
          </cell>
          <cell r="D1258">
            <v>15202560</v>
          </cell>
        </row>
        <row r="1259">
          <cell r="A1259" t="str">
            <v>282413-B21</v>
          </cell>
          <cell r="B1259" t="str">
            <v>SP for Linux 5 License</v>
          </cell>
          <cell r="D1259">
            <v>68411520</v>
          </cell>
        </row>
        <row r="1260">
          <cell r="A1260" t="str">
            <v>282414-B21</v>
          </cell>
          <cell r="B1260" t="str">
            <v>SP for Linux 10 License</v>
          </cell>
          <cell r="D1260">
            <v>123140736</v>
          </cell>
        </row>
        <row r="1261">
          <cell r="A1261" t="str">
            <v>282415-B21</v>
          </cell>
          <cell r="B1261" t="str">
            <v>SP for Linux 25 License</v>
          </cell>
          <cell r="D1261">
            <v>277066656</v>
          </cell>
        </row>
        <row r="1262">
          <cell r="A1262" t="str">
            <v>282416-B21</v>
          </cell>
          <cell r="B1262" t="str">
            <v>SP for Linux 50 License</v>
          </cell>
          <cell r="D1262">
            <v>498719981</v>
          </cell>
        </row>
        <row r="1263">
          <cell r="A1263" t="str">
            <v>326266-B21</v>
          </cell>
          <cell r="B1263" t="str">
            <v>SP for Linux 8 license</v>
          </cell>
          <cell r="D1263">
            <v>60810240</v>
          </cell>
        </row>
        <row r="1264">
          <cell r="A1264" t="str">
            <v>T3575A</v>
          </cell>
          <cell r="B1264" t="str">
            <v>Secure Path Linux 1 LTU/CD 3.0C</v>
          </cell>
          <cell r="D1264">
            <v>13530278</v>
          </cell>
        </row>
        <row r="1265">
          <cell r="A1265" t="str">
            <v>T3576A</v>
          </cell>
          <cell r="B1265" t="str">
            <v>Secure Path Linux 5 LTU/CD 3.0C</v>
          </cell>
          <cell r="D1265">
            <v>60810240</v>
          </cell>
        </row>
        <row r="1266">
          <cell r="A1266" t="str">
            <v>T3577A</v>
          </cell>
          <cell r="B1266" t="str">
            <v>Secure Path Linux 8 LTU/CD 3.0C</v>
          </cell>
          <cell r="D1266">
            <v>54045101</v>
          </cell>
        </row>
        <row r="1267">
          <cell r="A1267" t="str">
            <v>T3578A</v>
          </cell>
          <cell r="B1267" t="str">
            <v xml:space="preserve">Secure Path Linux 10 LTU/CD 3.0C </v>
          </cell>
          <cell r="D1267">
            <v>109116374</v>
          </cell>
        </row>
        <row r="1268">
          <cell r="A1268" t="str">
            <v>T3579A</v>
          </cell>
          <cell r="B1268" t="str">
            <v>Secure Path 25 LTU/CD 3.0C</v>
          </cell>
          <cell r="D1268">
            <v>246281472</v>
          </cell>
        </row>
        <row r="1269">
          <cell r="A1269" t="str">
            <v>T3580A</v>
          </cell>
          <cell r="B1269" t="str">
            <v>Secure Path Linux 50 LTU/CD 3.0C</v>
          </cell>
          <cell r="D1269">
            <v>443306650</v>
          </cell>
        </row>
        <row r="1270">
          <cell r="D1270">
            <v>0</v>
          </cell>
        </row>
        <row r="1271">
          <cell r="A1271" t="str">
            <v>213076-B26</v>
          </cell>
          <cell r="B1271" t="str">
            <v>Secure Path v4.0C for Windows Workgroup Edition 1 license and media</v>
          </cell>
          <cell r="D1271">
            <v>7601280</v>
          </cell>
        </row>
        <row r="1272">
          <cell r="A1272" t="str">
            <v>231316-B26</v>
          </cell>
          <cell r="B1272" t="str">
            <v>Secure Path v4.0C for Windows Workgroup Edition 5 licenses and media</v>
          </cell>
          <cell r="D1272">
            <v>34205760</v>
          </cell>
        </row>
        <row r="1273">
          <cell r="A1273" t="str">
            <v>231317-B26</v>
          </cell>
          <cell r="B1273" t="str">
            <v>Secure Path v4.0C for Windows Workgroup Edition 10 licenses and media</v>
          </cell>
          <cell r="D1273">
            <v>61570368</v>
          </cell>
        </row>
        <row r="1274">
          <cell r="A1274" t="str">
            <v>231318-B26</v>
          </cell>
          <cell r="B1274" t="str">
            <v>Secure Path v4.0C for Windows Workgroup Edition 25 licenses and media</v>
          </cell>
          <cell r="D1274">
            <v>138533328</v>
          </cell>
        </row>
        <row r="1275">
          <cell r="A1275" t="str">
            <v>231319-B26</v>
          </cell>
          <cell r="B1275" t="str">
            <v>Secure Path v4.0C for Windows Workgroup Edition 50 licenses and media</v>
          </cell>
          <cell r="D1275">
            <v>249359990</v>
          </cell>
        </row>
        <row r="1276">
          <cell r="A1276" t="str">
            <v>261715-B24</v>
          </cell>
          <cell r="B1276" t="str">
            <v>Secure Path v4.0C for Windows Workgroup Edition Upgrade</v>
          </cell>
          <cell r="D1276">
            <v>2280384</v>
          </cell>
        </row>
        <row r="1277">
          <cell r="A1277" t="str">
            <v>325634-B23</v>
          </cell>
          <cell r="B1277" t="str">
            <v>Secure Path v4.0C for Windows for ProLiant Workgroup Edition  8 licenses and media</v>
          </cell>
          <cell r="D1277">
            <v>30405120</v>
          </cell>
        </row>
        <row r="1278">
          <cell r="A1278" t="str">
            <v>222411-B22</v>
          </cell>
          <cell r="B1278" t="str">
            <v>SP NVLWkg 1 L/CD 3.0C ALL</v>
          </cell>
          <cell r="D1278">
            <v>7601280</v>
          </cell>
        </row>
        <row r="1279">
          <cell r="A1279" t="str">
            <v>231324-B22</v>
          </cell>
          <cell r="B1279" t="str">
            <v>SP NVLWkg 5 L/CD 3.0C ALL</v>
          </cell>
          <cell r="D1279">
            <v>34205760</v>
          </cell>
        </row>
        <row r="1280">
          <cell r="A1280" t="str">
            <v>231325-B22</v>
          </cell>
          <cell r="B1280" t="str">
            <v>SP NVLWkg 10 LCD 3.0C ALL</v>
          </cell>
          <cell r="D1280">
            <v>61570368</v>
          </cell>
        </row>
        <row r="1281">
          <cell r="A1281" t="str">
            <v>231326-B22</v>
          </cell>
          <cell r="B1281" t="str">
            <v>SP NVLWkg 25 LCD 3.0C ALL</v>
          </cell>
          <cell r="D1281">
            <v>138533328</v>
          </cell>
        </row>
        <row r="1282">
          <cell r="A1282" t="str">
            <v>231327-B22</v>
          </cell>
          <cell r="B1282" t="str">
            <v>SP NVLWkg 50 LCD 3.0C ALL</v>
          </cell>
          <cell r="D1282">
            <v>249359990</v>
          </cell>
        </row>
        <row r="1283">
          <cell r="A1283" t="str">
            <v>T3581A</v>
          </cell>
          <cell r="B1283" t="str">
            <v>Secure Path Linux WE 1 LTU/CD 3.0C</v>
          </cell>
          <cell r="D1283">
            <v>7601280</v>
          </cell>
        </row>
        <row r="1284">
          <cell r="A1284" t="str">
            <v>T3582A</v>
          </cell>
          <cell r="B1284" t="str">
            <v>Secure Path Linux WE 5 LTU/CD 3.0C</v>
          </cell>
          <cell r="D1284">
            <v>34205760</v>
          </cell>
        </row>
        <row r="1285">
          <cell r="A1285" t="str">
            <v>T3583A</v>
          </cell>
          <cell r="B1285" t="str">
            <v>Secure Path Linux WE 8 LTU/CD 3.0C</v>
          </cell>
          <cell r="D1285">
            <v>30405120</v>
          </cell>
        </row>
        <row r="1286">
          <cell r="A1286" t="str">
            <v>T3584A</v>
          </cell>
          <cell r="B1286" t="str">
            <v>Secure Path Linux WE 10 LTU/CD 3.0C</v>
          </cell>
          <cell r="D1286">
            <v>61570368</v>
          </cell>
        </row>
        <row r="1287">
          <cell r="A1287" t="str">
            <v>T3585A</v>
          </cell>
          <cell r="B1287" t="str">
            <v>Secure Path Linux WE 25 LTU/CD 3.0C</v>
          </cell>
          <cell r="D1287">
            <v>138533328</v>
          </cell>
        </row>
        <row r="1288">
          <cell r="A1288" t="str">
            <v>T3586A</v>
          </cell>
          <cell r="B1288" t="str">
            <v>Secure Path Linux WE 50 LTU/CD 3.0C</v>
          </cell>
          <cell r="D1288">
            <v>249359990</v>
          </cell>
        </row>
        <row r="1289">
          <cell r="A1289" t="str">
            <v>T3554A</v>
          </cell>
          <cell r="B1289" t="str">
            <v>Secure Path v3.0C for HP-UX Workgroup Edition l license and media</v>
          </cell>
          <cell r="D1289">
            <v>7601280</v>
          </cell>
        </row>
        <row r="1290">
          <cell r="A1290" t="str">
            <v>T3555A</v>
          </cell>
          <cell r="B1290" t="str">
            <v>Secure Path v3.0C for HP-UX Workgroup Edition 5 licenses and media</v>
          </cell>
          <cell r="D1290">
            <v>34205760</v>
          </cell>
        </row>
        <row r="1291">
          <cell r="A1291" t="str">
            <v>T3556A</v>
          </cell>
          <cell r="B1291" t="str">
            <v>Secure Path v3.0C for HP-UX Workgroup Edition l0 licenses and media</v>
          </cell>
          <cell r="D1291">
            <v>61570368</v>
          </cell>
        </row>
        <row r="1292">
          <cell r="A1292" t="str">
            <v>T3557A</v>
          </cell>
          <cell r="B1292" t="str">
            <v>Secure Path v3.0C for HP-UX Workgroup Edition 25 licenses and media</v>
          </cell>
          <cell r="D1292">
            <v>138533328</v>
          </cell>
        </row>
        <row r="1293">
          <cell r="A1293" t="str">
            <v>T3558A</v>
          </cell>
          <cell r="B1293" t="str">
            <v>Secure Path v3.0C for HP-UX Workgroup Edition 50 licenses and media</v>
          </cell>
          <cell r="D1293">
            <v>249359990</v>
          </cell>
        </row>
        <row r="1294">
          <cell r="D1294">
            <v>0</v>
          </cell>
        </row>
        <row r="1295">
          <cell r="A1295" t="str">
            <v>165988-B22</v>
          </cell>
          <cell r="B1295" t="str">
            <v>SP WINDOWS UPG V4.0 ALL</v>
          </cell>
          <cell r="D1295">
            <v>4937031</v>
          </cell>
        </row>
        <row r="1296">
          <cell r="A1296" t="str">
            <v>165988-B23</v>
          </cell>
          <cell r="B1296" t="str">
            <v>Secure Path v4.0A for Windows Upgrade</v>
          </cell>
          <cell r="D1296">
            <v>4937031</v>
          </cell>
        </row>
        <row r="1297">
          <cell r="A1297" t="str">
            <v>165988-B24</v>
          </cell>
          <cell r="B1297" t="str">
            <v>SP WIN UPGLIC/CD 4.0B</v>
          </cell>
          <cell r="D1297">
            <v>4937031</v>
          </cell>
        </row>
        <row r="1298">
          <cell r="A1298" t="str">
            <v>165989-B22</v>
          </cell>
          <cell r="B1298" t="str">
            <v>SP WINDOWS V4.0 ALL</v>
          </cell>
          <cell r="D1298">
            <v>16452971</v>
          </cell>
        </row>
        <row r="1299">
          <cell r="A1299" t="str">
            <v>165989-B23</v>
          </cell>
          <cell r="B1299" t="str">
            <v>Secure Path v4.0A for Windows  1 license</v>
          </cell>
          <cell r="D1299">
            <v>16452971</v>
          </cell>
        </row>
        <row r="1300">
          <cell r="A1300" t="str">
            <v>165990-B23</v>
          </cell>
          <cell r="B1300" t="str">
            <v>SP Sun UPG LicCD 3.0B</v>
          </cell>
          <cell r="D1300">
            <v>9877863</v>
          </cell>
        </row>
        <row r="1301">
          <cell r="A1301" t="str">
            <v>165993-B21</v>
          </cell>
          <cell r="B1301" t="str">
            <v>SP NVL 1 Lic/CD 3.0C ALL</v>
          </cell>
          <cell r="D1301">
            <v>16452971</v>
          </cell>
        </row>
        <row r="1302">
          <cell r="A1302" t="str">
            <v>213076-B23</v>
          </cell>
          <cell r="B1302" t="str">
            <v>SP 4.0 Win WkGp 1 lic ALL</v>
          </cell>
          <cell r="D1302">
            <v>7601280</v>
          </cell>
        </row>
        <row r="1303">
          <cell r="A1303" t="str">
            <v>213076-B24</v>
          </cell>
          <cell r="B1303" t="str">
            <v>Secure Path v4.0A  for Windows Workgroup Edition 1 license</v>
          </cell>
          <cell r="D1303">
            <v>7601280</v>
          </cell>
        </row>
        <row r="1304">
          <cell r="A1304" t="str">
            <v>213076-B25</v>
          </cell>
          <cell r="B1304" t="str">
            <v>SP WIN  WE 1 L/CD 4.0B</v>
          </cell>
          <cell r="D1304">
            <v>7601280</v>
          </cell>
        </row>
        <row r="1305">
          <cell r="A1305" t="str">
            <v>231292-B22</v>
          </cell>
          <cell r="B1305" t="str">
            <v>SP WINDOWS 5 LIC V4.0 ALL</v>
          </cell>
          <cell r="D1305">
            <v>74017464</v>
          </cell>
        </row>
        <row r="1306">
          <cell r="A1306" t="str">
            <v>231292-B23</v>
          </cell>
          <cell r="B1306" t="str">
            <v>Secure Path v4.0A for Windows  5 licenses</v>
          </cell>
          <cell r="D1306">
            <v>74017464</v>
          </cell>
        </row>
        <row r="1307">
          <cell r="A1307" t="str">
            <v>231293-B22</v>
          </cell>
          <cell r="B1307" t="str">
            <v>SP WINDWS 10 LIC V4.0 ALL</v>
          </cell>
          <cell r="D1307">
            <v>133246638</v>
          </cell>
        </row>
        <row r="1308">
          <cell r="A1308" t="str">
            <v>231293-B23</v>
          </cell>
          <cell r="B1308" t="str">
            <v>Secure Path v4.0A for Windows  10 licenses</v>
          </cell>
          <cell r="D1308">
            <v>133246638</v>
          </cell>
        </row>
        <row r="1309">
          <cell r="A1309" t="str">
            <v>231294-B22</v>
          </cell>
          <cell r="B1309" t="str">
            <v>SP WINDWS 25 LIC V4.0 ALL</v>
          </cell>
          <cell r="D1309">
            <v>299775480</v>
          </cell>
        </row>
        <row r="1310">
          <cell r="A1310" t="str">
            <v>231294-B23</v>
          </cell>
          <cell r="B1310" t="str">
            <v>Secure Path v4.0A for Windows  25 licenses</v>
          </cell>
          <cell r="D1310">
            <v>299775480</v>
          </cell>
        </row>
        <row r="1311">
          <cell r="A1311" t="str">
            <v>231295-B22</v>
          </cell>
          <cell r="B1311" t="str">
            <v>SP WINDWS 50 LIC V4.0 ALL</v>
          </cell>
          <cell r="D1311">
            <v>539611067</v>
          </cell>
        </row>
        <row r="1312">
          <cell r="A1312" t="str">
            <v>231295-B23</v>
          </cell>
          <cell r="B1312" t="str">
            <v>Secure Path v4.0A for Windows  50 licenses</v>
          </cell>
          <cell r="D1312">
            <v>539611067</v>
          </cell>
        </row>
        <row r="1313">
          <cell r="A1313" t="str">
            <v>231316-B23</v>
          </cell>
          <cell r="B1313" t="str">
            <v>SP 4.0 Win WkGp 5 lic ALL</v>
          </cell>
          <cell r="D1313">
            <v>34205760</v>
          </cell>
        </row>
        <row r="1314">
          <cell r="A1314" t="str">
            <v>231316-B24</v>
          </cell>
          <cell r="B1314" t="str">
            <v>Secure Path v4.0A  for Windows Workgroup Edition 5 licenses</v>
          </cell>
          <cell r="D1314">
            <v>34205760</v>
          </cell>
        </row>
        <row r="1315">
          <cell r="A1315" t="str">
            <v>231316-B25</v>
          </cell>
          <cell r="B1315" t="str">
            <v>SP WIN  WE 5 L/CD 4.0B</v>
          </cell>
          <cell r="D1315">
            <v>34205760</v>
          </cell>
        </row>
        <row r="1316">
          <cell r="A1316" t="str">
            <v>231317-B23</v>
          </cell>
          <cell r="B1316" t="str">
            <v>SP 4.0 Win WkGp 10 lic ALL</v>
          </cell>
          <cell r="D1316">
            <v>61570368</v>
          </cell>
        </row>
        <row r="1317">
          <cell r="A1317" t="str">
            <v>231317-B24</v>
          </cell>
          <cell r="B1317" t="str">
            <v>Secure Path v4.0A  for Windows Workgroup Edition 10 licenses</v>
          </cell>
          <cell r="D1317">
            <v>61570368</v>
          </cell>
        </row>
        <row r="1318">
          <cell r="A1318" t="str">
            <v>231317-B25</v>
          </cell>
          <cell r="B1318" t="str">
            <v>SP WIN  WE 10 L/CD 4.0B</v>
          </cell>
          <cell r="D1318">
            <v>61570368</v>
          </cell>
        </row>
        <row r="1319">
          <cell r="A1319" t="str">
            <v>231318-B23</v>
          </cell>
          <cell r="B1319" t="str">
            <v>SP 4.0 Win WkGp 25 lic ALL</v>
          </cell>
          <cell r="D1319">
            <v>138533328</v>
          </cell>
        </row>
        <row r="1320">
          <cell r="A1320" t="str">
            <v>231318-B24</v>
          </cell>
          <cell r="B1320" t="str">
            <v>Secure Path v4.0A  for Windows Workgroup Edition 25 licenses</v>
          </cell>
          <cell r="D1320">
            <v>138533328</v>
          </cell>
        </row>
        <row r="1321">
          <cell r="A1321" t="str">
            <v>231318-B25</v>
          </cell>
          <cell r="B1321" t="str">
            <v>SP WIN  WE 25 L/CD 4.0B</v>
          </cell>
          <cell r="D1321">
            <v>138533328</v>
          </cell>
        </row>
        <row r="1322">
          <cell r="A1322" t="str">
            <v>231319-B23</v>
          </cell>
          <cell r="B1322" t="str">
            <v>SP 4.0 Win WkGp 50 lic ALL</v>
          </cell>
          <cell r="D1322">
            <v>249359990</v>
          </cell>
        </row>
        <row r="1323">
          <cell r="A1323" t="str">
            <v>231319-B24</v>
          </cell>
          <cell r="B1323" t="str">
            <v>Secure Path v4.0A  for Windows Workgroup Edition 50 licenses</v>
          </cell>
          <cell r="D1323">
            <v>249359990</v>
          </cell>
        </row>
        <row r="1324">
          <cell r="A1324" t="str">
            <v>231319-B25</v>
          </cell>
          <cell r="B1324" t="str">
            <v>SP WIN  WE 50 L/CD 4.0B</v>
          </cell>
          <cell r="D1324">
            <v>249359990</v>
          </cell>
        </row>
        <row r="1325">
          <cell r="A1325" t="str">
            <v>261705-B22</v>
          </cell>
          <cell r="B1325" t="str">
            <v>SP HP Lic/CD 3.0A ALL</v>
          </cell>
          <cell r="D1325">
            <v>32894539</v>
          </cell>
        </row>
        <row r="1326">
          <cell r="A1326" t="str">
            <v>261706-B22</v>
          </cell>
          <cell r="B1326" t="str">
            <v>SP HP 5 Lic/CD 3.0A ALL</v>
          </cell>
          <cell r="D1326">
            <v>148031127</v>
          </cell>
        </row>
        <row r="1327">
          <cell r="A1327" t="str">
            <v>261707-B22</v>
          </cell>
          <cell r="B1327" t="str">
            <v>SP HP 10 Lic/CD 3.0A ALL</v>
          </cell>
          <cell r="D1327">
            <v>266459070</v>
          </cell>
        </row>
        <row r="1328">
          <cell r="A1328" t="str">
            <v>261708-B22</v>
          </cell>
          <cell r="B1328" t="str">
            <v>SP HP 25 Lic/CD 3.0A ALL</v>
          </cell>
          <cell r="D1328">
            <v>599547159</v>
          </cell>
        </row>
        <row r="1329">
          <cell r="A1329" t="str">
            <v>261709-B22</v>
          </cell>
          <cell r="B1329" t="str">
            <v>SP HP 50 Lic/CD 3.0A ALL</v>
          </cell>
          <cell r="D1329">
            <v>1079187927</v>
          </cell>
        </row>
        <row r="1330">
          <cell r="A1330" t="str">
            <v>261715-B22</v>
          </cell>
          <cell r="B1330" t="str">
            <v>Secure Path v4 for Windows Workgroup Edition Upgrade</v>
          </cell>
          <cell r="D1330">
            <v>2280384</v>
          </cell>
        </row>
        <row r="1331">
          <cell r="A1331" t="str">
            <v>261715-B23</v>
          </cell>
          <cell r="B1331" t="str">
            <v>SP WIN WE UPGL/CD4.0B</v>
          </cell>
          <cell r="D1331">
            <v>2280384</v>
          </cell>
        </row>
        <row r="1332">
          <cell r="A1332" t="str">
            <v>231308-B21</v>
          </cell>
          <cell r="B1332" t="str">
            <v>Secure Path for NetWare (5 agents)</v>
          </cell>
          <cell r="D1332">
            <v>74017464</v>
          </cell>
        </row>
        <row r="1333">
          <cell r="A1333" t="str">
            <v>231309-B21</v>
          </cell>
          <cell r="B1333" t="str">
            <v>Secure Path for NetWare (10 agents)</v>
          </cell>
          <cell r="D1333">
            <v>133231435</v>
          </cell>
        </row>
        <row r="1334">
          <cell r="A1334" t="str">
            <v>231310-B21</v>
          </cell>
          <cell r="B1334" t="str">
            <v>Secure Path for NetWare (25 agents)</v>
          </cell>
          <cell r="D1334">
            <v>299775480</v>
          </cell>
        </row>
        <row r="1335">
          <cell r="A1335" t="str">
            <v>231311-B21</v>
          </cell>
          <cell r="B1335" t="str">
            <v>Secure Path for NetWare (50 agents)</v>
          </cell>
          <cell r="D1335">
            <v>539595864</v>
          </cell>
        </row>
        <row r="1336">
          <cell r="A1336" t="str">
            <v>325634-B21</v>
          </cell>
          <cell r="B1336" t="str">
            <v>Secure Path v4.0A for Win WE for Proliant BL 8 licenses</v>
          </cell>
          <cell r="D1336">
            <v>30405120</v>
          </cell>
        </row>
        <row r="1337">
          <cell r="A1337" t="str">
            <v>325634-B22</v>
          </cell>
          <cell r="B1337" t="str">
            <v>SP WIN WE 8L/CD 4.0B</v>
          </cell>
          <cell r="D1337">
            <v>30405120</v>
          </cell>
        </row>
        <row r="1338">
          <cell r="A1338" t="str">
            <v>325633-B21</v>
          </cell>
          <cell r="B1338" t="str">
            <v>Secure Path v4.0A for Windows for Proliant BL 8 licenses</v>
          </cell>
          <cell r="D1338">
            <v>65785278</v>
          </cell>
        </row>
        <row r="1339">
          <cell r="A1339" t="str">
            <v>218206-B22</v>
          </cell>
          <cell r="B1339" t="str">
            <v xml:space="preserve">Command Scripter 1.0B 5 user license </v>
          </cell>
          <cell r="D1339">
            <v>18072043</v>
          </cell>
        </row>
        <row r="1340">
          <cell r="A1340" t="str">
            <v>218207-B22</v>
          </cell>
          <cell r="B1340" t="str">
            <v>Command Scripter 1.0B 10 user license</v>
          </cell>
          <cell r="D1340">
            <v>31161447</v>
          </cell>
        </row>
        <row r="1341">
          <cell r="A1341" t="str">
            <v>218208-B22</v>
          </cell>
          <cell r="B1341" t="str">
            <v xml:space="preserve">Command Scripter 1.0B 25 user license </v>
          </cell>
          <cell r="D1341">
            <v>67267527</v>
          </cell>
        </row>
        <row r="1342">
          <cell r="A1342" t="str">
            <v>326267-B21</v>
          </cell>
          <cell r="B1342" t="str">
            <v>SP for Linux Work. Ed. 8 license</v>
          </cell>
          <cell r="D1342">
            <v>30405120</v>
          </cell>
        </row>
        <row r="1343">
          <cell r="A1343" t="str">
            <v>291536-B21</v>
          </cell>
          <cell r="B1343" t="str">
            <v xml:space="preserve">SP v3.0 for Linux  Workgroup Edition one license </v>
          </cell>
          <cell r="D1343">
            <v>7601280</v>
          </cell>
        </row>
        <row r="1344">
          <cell r="A1344" t="str">
            <v>291537-B21</v>
          </cell>
          <cell r="B1344" t="str">
            <v>SP v3.0 for Linux Workgroup Edition five licenses</v>
          </cell>
          <cell r="D1344">
            <v>34205760</v>
          </cell>
        </row>
        <row r="1345">
          <cell r="A1345" t="str">
            <v>291538-B21</v>
          </cell>
          <cell r="B1345" t="str">
            <v>SP v3.0 for Linux Workgroup Edition 10 licenses</v>
          </cell>
          <cell r="D1345">
            <v>61570368</v>
          </cell>
        </row>
        <row r="1346">
          <cell r="A1346" t="str">
            <v>291539-B21</v>
          </cell>
          <cell r="B1346" t="str">
            <v>SP v3.0 for Linux Workgroup Edition 25 licenses</v>
          </cell>
          <cell r="D1346">
            <v>138533328</v>
          </cell>
        </row>
        <row r="1347">
          <cell r="A1347" t="str">
            <v>291540-B21</v>
          </cell>
          <cell r="B1347" t="str">
            <v xml:space="preserve">SP v3.0 for Linux Workgroup Edition 50 licenses </v>
          </cell>
          <cell r="D1347">
            <v>249359990</v>
          </cell>
        </row>
        <row r="1348">
          <cell r="A1348" t="str">
            <v>165991-B25</v>
          </cell>
          <cell r="B1348" t="str">
            <v>Secure Path v3.0C for Sun 1 license and media</v>
          </cell>
          <cell r="D1348">
            <v>27022550</v>
          </cell>
        </row>
        <row r="1349">
          <cell r="A1349" t="str">
            <v>231300-B25</v>
          </cell>
          <cell r="B1349" t="str">
            <v>Secure Path v3.0C for Sun 5 licenses and media</v>
          </cell>
          <cell r="D1349">
            <v>121620480</v>
          </cell>
        </row>
        <row r="1350">
          <cell r="A1350" t="str">
            <v>231301-B25</v>
          </cell>
          <cell r="B1350" t="str">
            <v>Secure Path v3.0C for Sun 10 licenses and media</v>
          </cell>
          <cell r="D1350">
            <v>218916864</v>
          </cell>
        </row>
        <row r="1351">
          <cell r="A1351" t="str">
            <v>231302-B25</v>
          </cell>
          <cell r="B1351" t="str">
            <v>Secure Path v3.0C for Sun 25 licenses and media</v>
          </cell>
          <cell r="D1351">
            <v>492562944</v>
          </cell>
        </row>
        <row r="1352">
          <cell r="A1352" t="str">
            <v>231303-B25</v>
          </cell>
          <cell r="B1352" t="str">
            <v>Secure Path v3.0C for Sun 50 licenses and media</v>
          </cell>
          <cell r="D1352">
            <v>886613299</v>
          </cell>
        </row>
        <row r="1353">
          <cell r="D1353">
            <v>0</v>
          </cell>
        </row>
        <row r="1354">
          <cell r="A1354" t="str">
            <v>222306-B24</v>
          </cell>
          <cell r="B1354" t="str">
            <v>G80 ACS ALL 8.xL-8.7-1S LIC/PCM</v>
          </cell>
          <cell r="D1354">
            <v>29717204</v>
          </cell>
        </row>
        <row r="1355">
          <cell r="A1355" t="str">
            <v>222308-B24</v>
          </cell>
          <cell r="B1355" t="str">
            <v>G80 ACS ALL 8.xG-8.7-1S LIC/PCM</v>
          </cell>
          <cell r="D1355">
            <v>30234091</v>
          </cell>
        </row>
        <row r="1356">
          <cell r="A1356" t="str">
            <v>222309-B24</v>
          </cell>
          <cell r="B1356" t="str">
            <v>G80 ACS ALL 8.xF-8.7-1S LIC/PCM</v>
          </cell>
          <cell r="D1356">
            <v>21150562</v>
          </cell>
        </row>
        <row r="1357">
          <cell r="A1357" t="str">
            <v>222364-B24</v>
          </cell>
          <cell r="B1357" t="str">
            <v>CS SNP 8.7-1S LIC/PCM PK</v>
          </cell>
          <cell r="D1357">
            <v>40282983</v>
          </cell>
        </row>
        <row r="1358">
          <cell r="A1358" t="str">
            <v>222365-B24</v>
          </cell>
          <cell r="B1358" t="str">
            <v>G80 ACS SNP 8.6S-8.7-1S UPG/PCM</v>
          </cell>
          <cell r="D1358">
            <v>12082235</v>
          </cell>
        </row>
        <row r="1359">
          <cell r="D1359">
            <v>0</v>
          </cell>
        </row>
        <row r="1360">
          <cell r="A1360" t="str">
            <v>222316-B24</v>
          </cell>
          <cell r="B1360" t="str">
            <v>G80 DRM ALL 8.7-1P LIC/PCM PK</v>
          </cell>
          <cell r="D1360">
            <v>92123713</v>
          </cell>
        </row>
        <row r="1361">
          <cell r="A1361" t="str">
            <v>222317-B24</v>
          </cell>
          <cell r="B1361" t="str">
            <v>G80 DRM ALL 8.6P-8.7-1P UPG/PCM</v>
          </cell>
          <cell r="D1361">
            <v>27626852</v>
          </cell>
        </row>
        <row r="1362">
          <cell r="A1362" t="str">
            <v>222369-B24</v>
          </cell>
          <cell r="B1362" t="str">
            <v>G80 ACS ALL 8.xL-8.7-1P LIC/PCM</v>
          </cell>
          <cell r="D1362">
            <v>84104363</v>
          </cell>
        </row>
        <row r="1363">
          <cell r="A1363" t="str">
            <v>222370-B24</v>
          </cell>
          <cell r="B1363" t="str">
            <v>G80 ACS ALL 8.xG-8.7-1P LIC/PCM</v>
          </cell>
          <cell r="D1363">
            <v>84636452</v>
          </cell>
        </row>
        <row r="1364">
          <cell r="A1364" t="str">
            <v>222371-B24</v>
          </cell>
          <cell r="B1364" t="str">
            <v>G80 ACS ALL 8.xF-8.7-1P LIC/PCM</v>
          </cell>
          <cell r="D1364">
            <v>75552923</v>
          </cell>
        </row>
        <row r="1365">
          <cell r="A1365" t="str">
            <v>222372-B24</v>
          </cell>
          <cell r="B1365" t="str">
            <v>G80 ACS ALL 8.xS-8.7-1P LIC/PCM</v>
          </cell>
          <cell r="D1365">
            <v>77719287</v>
          </cell>
        </row>
        <row r="1367">
          <cell r="D1367">
            <v>0</v>
          </cell>
        </row>
        <row r="1368">
          <cell r="A1368" t="str">
            <v>261769-B24</v>
          </cell>
          <cell r="B1368" t="str">
            <v>Virtual Replicator Media &amp; Doc</v>
          </cell>
          <cell r="D1368">
            <v>570096</v>
          </cell>
        </row>
        <row r="1369">
          <cell r="A1369" t="str">
            <v>261770-B22</v>
          </cell>
          <cell r="B1369" t="str">
            <v>Virtual Replicator 1 System License</v>
          </cell>
          <cell r="D1369">
            <v>19212235</v>
          </cell>
        </row>
        <row r="1370">
          <cell r="A1370" t="str">
            <v>266236-B22</v>
          </cell>
          <cell r="B1370" t="str">
            <v>Virtual Replicator 3 Systems License</v>
          </cell>
          <cell r="D1370">
            <v>37607333</v>
          </cell>
        </row>
        <row r="1371">
          <cell r="A1371" t="str">
            <v>261775-B22</v>
          </cell>
          <cell r="B1371" t="str">
            <v>Virtual Replicator 5 Systems License</v>
          </cell>
          <cell r="D1371">
            <v>56116450</v>
          </cell>
        </row>
        <row r="1372">
          <cell r="A1372" t="str">
            <v>261771-B22</v>
          </cell>
          <cell r="B1372" t="str">
            <v>Virtual Replicator 10 Systems License</v>
          </cell>
          <cell r="D1372">
            <v>96201800</v>
          </cell>
        </row>
        <row r="1373">
          <cell r="A1373" t="str">
            <v>261772-B22</v>
          </cell>
          <cell r="B1373" t="str">
            <v>Virtual Replicator 25 Systems License</v>
          </cell>
          <cell r="D1373">
            <v>193004100</v>
          </cell>
        </row>
        <row r="1374">
          <cell r="A1374" t="str">
            <v>261773-B22</v>
          </cell>
          <cell r="B1374" t="str">
            <v>Virtual Replicator 50 Systems License</v>
          </cell>
          <cell r="D1374">
            <v>296925000</v>
          </cell>
        </row>
        <row r="1375">
          <cell r="A1375" t="str">
            <v>266235-B24</v>
          </cell>
          <cell r="B1375" t="str">
            <v>Virtual Replicator Upg Media &amp; Doc</v>
          </cell>
          <cell r="D1375">
            <v>570096</v>
          </cell>
        </row>
        <row r="1376">
          <cell r="A1376" t="str">
            <v>261776-B22</v>
          </cell>
          <cell r="B1376" t="str">
            <v>Virtual Replicator Upg 1 System License</v>
          </cell>
          <cell r="D1376">
            <v>5765571</v>
          </cell>
        </row>
        <row r="1377">
          <cell r="A1377" t="str">
            <v>332931-B21</v>
          </cell>
          <cell r="B1377" t="str">
            <v>Virtual Replicator Upg 3 Systems License</v>
          </cell>
          <cell r="D1377">
            <v>11284100</v>
          </cell>
        </row>
        <row r="1378">
          <cell r="A1378" t="str">
            <v>261781-B22</v>
          </cell>
          <cell r="B1378" t="str">
            <v>Virtual Replicator Upg 5 Systems License</v>
          </cell>
          <cell r="D1378">
            <v>16836835</v>
          </cell>
        </row>
        <row r="1379">
          <cell r="A1379" t="str">
            <v>261777-B22</v>
          </cell>
          <cell r="B1379" t="str">
            <v>Virtual Replicator Upg 10 Systems License</v>
          </cell>
          <cell r="D1379">
            <v>28862060</v>
          </cell>
        </row>
        <row r="1380">
          <cell r="A1380" t="str">
            <v>261778-B22</v>
          </cell>
          <cell r="B1380" t="str">
            <v>Virtual Replicator Upg 25 Systems License</v>
          </cell>
          <cell r="D1380">
            <v>57902750</v>
          </cell>
        </row>
        <row r="1381">
          <cell r="A1381" t="str">
            <v>261779-B22</v>
          </cell>
          <cell r="B1381" t="str">
            <v>Virtual Replicator Upg 50 Systems License</v>
          </cell>
          <cell r="D1381">
            <v>89079400</v>
          </cell>
        </row>
        <row r="1383">
          <cell r="D1383">
            <v>0</v>
          </cell>
        </row>
        <row r="1384">
          <cell r="A1384" t="str">
            <v>336246-B21</v>
          </cell>
          <cell r="B1384" t="str">
            <v xml:space="preserve">OpenView storage mirroring v4.2 Msft media_doc 60d </v>
          </cell>
          <cell r="D1384">
            <v>570096</v>
          </cell>
        </row>
        <row r="1385">
          <cell r="A1385" t="str">
            <v>T2557AA</v>
          </cell>
          <cell r="B1385" t="str">
            <v>OpenView Storage Mirroring v4.3 MS media_doc 60d</v>
          </cell>
          <cell r="D1385">
            <v>551093</v>
          </cell>
        </row>
        <row r="1386">
          <cell r="A1386" t="str">
            <v>344954-B21</v>
          </cell>
          <cell r="B1386" t="str">
            <v>OpenView storage mirroring workgroup edition v4.2 LTU 1 requires 336246-B21</v>
          </cell>
          <cell r="D1386">
            <v>11190961</v>
          </cell>
        </row>
        <row r="1387">
          <cell r="A1387" t="str">
            <v>344955-B21</v>
          </cell>
          <cell r="B1387" t="str">
            <v>OpenView storage mirroring workgroup edition v4.2 LTU 10 requires 336246-B21</v>
          </cell>
          <cell r="D1387">
            <v>111909609</v>
          </cell>
        </row>
        <row r="1388">
          <cell r="A1388" t="str">
            <v>336243-B21</v>
          </cell>
          <cell r="B1388" t="str">
            <v>OpenView storage mirroring server v4.2 LTU 1 requires 336246-B21</v>
          </cell>
          <cell r="D1388">
            <v>9482597</v>
          </cell>
        </row>
        <row r="1389">
          <cell r="A1389" t="str">
            <v>336244-B21</v>
          </cell>
          <cell r="B1389" t="str">
            <v>OpenView storage mirroring server v4.2 LTU 10 requires 336246-B21</v>
          </cell>
          <cell r="D1389">
            <v>94825968</v>
          </cell>
        </row>
        <row r="1390">
          <cell r="A1390" t="str">
            <v>336245-B21</v>
          </cell>
          <cell r="B1390" t="str">
            <v>OpenView storage mirroring server v4.2 LTU 25 requires 336246-B21</v>
          </cell>
          <cell r="D1390">
            <v>237064920</v>
          </cell>
        </row>
        <row r="1391">
          <cell r="A1391" t="str">
            <v>336247-B21</v>
          </cell>
          <cell r="B1391" t="str">
            <v>OpenView storage mirroring adv server v4.2 LTU 1 requires 336246-B21</v>
          </cell>
          <cell r="D1391">
            <v>17083877</v>
          </cell>
        </row>
        <row r="1392">
          <cell r="A1392" t="str">
            <v>336248-B21</v>
          </cell>
          <cell r="B1392" t="str">
            <v>OpenView storage mirroring adv server v4.2 LTU 10 requires 336246-B21</v>
          </cell>
          <cell r="D1392">
            <v>170838768</v>
          </cell>
        </row>
        <row r="1393">
          <cell r="A1393" t="str">
            <v>336249-B21</v>
          </cell>
          <cell r="B1393" t="str">
            <v>OpenView storage mirroring adv server v4.2 LTU 25 requires 336246-B21</v>
          </cell>
          <cell r="D1393">
            <v>427096920</v>
          </cell>
        </row>
        <row r="1394">
          <cell r="A1394" t="str">
            <v>336250-B21</v>
          </cell>
          <cell r="B1394" t="str">
            <v>OpenView storage mirroring adv server v4.2 LTU 50 requires 336246-B21</v>
          </cell>
          <cell r="D1394">
            <v>854193840</v>
          </cell>
        </row>
        <row r="1395">
          <cell r="A1395" t="str">
            <v>336251-B21</v>
          </cell>
          <cell r="B1395" t="str">
            <v>OpenView storage mirroring adv server v4.2 LTU 100 requires 336246-B21</v>
          </cell>
          <cell r="D1395">
            <v>1708387680</v>
          </cell>
        </row>
        <row r="1396">
          <cell r="A1396" t="str">
            <v>336252-B21</v>
          </cell>
          <cell r="B1396" t="str">
            <v>OpenView storage mirroring adv server v4.2 LTU 250 requires 336246-B21</v>
          </cell>
          <cell r="D1396">
            <v>4270969200</v>
          </cell>
        </row>
        <row r="1397">
          <cell r="A1397" t="str">
            <v>345276-B21</v>
          </cell>
          <cell r="B1397" t="str">
            <v>Storage Volume Growth</v>
          </cell>
          <cell r="D1397">
            <v>1565864</v>
          </cell>
        </row>
        <row r="1398">
          <cell r="D1398">
            <v>0</v>
          </cell>
        </row>
        <row r="1399">
          <cell r="A1399" t="str">
            <v>279803-B21</v>
          </cell>
          <cell r="B1399" t="str">
            <v>G80 U/A LIC/DOC V8.7 ALL</v>
          </cell>
          <cell r="D1399">
            <v>2162564</v>
          </cell>
        </row>
        <row r="1400">
          <cell r="A1400" t="str">
            <v>279804-B21</v>
          </cell>
          <cell r="B1400" t="str">
            <v>G80 U/A UPG/LIC V8.7 ALL</v>
          </cell>
          <cell r="D1400">
            <v>1425240</v>
          </cell>
        </row>
        <row r="1401">
          <cell r="A1401" t="str">
            <v>279807-B21</v>
          </cell>
          <cell r="B1401" t="str">
            <v>HSG80 Solution Software for OpenVMS</v>
          </cell>
          <cell r="D1401">
            <v>2162564</v>
          </cell>
        </row>
        <row r="1402">
          <cell r="A1402" t="str">
            <v>279808-B21</v>
          </cell>
          <cell r="B1402" t="str">
            <v>G80 VMS UPG/LIC V8.7 ALL</v>
          </cell>
          <cell r="D1402">
            <v>1425240</v>
          </cell>
        </row>
        <row r="1403">
          <cell r="A1403" t="str">
            <v>279815-B21</v>
          </cell>
          <cell r="B1403" t="str">
            <v>G80 NVL LIC/DOC V8.7 ALL</v>
          </cell>
          <cell r="D1403">
            <v>2162564</v>
          </cell>
        </row>
        <row r="1404">
          <cell r="A1404" t="str">
            <v>279816-B21</v>
          </cell>
          <cell r="B1404" t="str">
            <v>G80 NVL UPG/LIC V8.7 ALL</v>
          </cell>
          <cell r="D1404">
            <v>1425240</v>
          </cell>
        </row>
        <row r="1405">
          <cell r="A1405" t="str">
            <v>279819-B21</v>
          </cell>
          <cell r="B1405" t="str">
            <v>HSG80 Solution Software for Sun Solaris</v>
          </cell>
          <cell r="D1405">
            <v>2162564</v>
          </cell>
        </row>
        <row r="1406">
          <cell r="A1406" t="str">
            <v>279820-B21</v>
          </cell>
          <cell r="B1406" t="str">
            <v>G80 SOL UPG/LIC V8.7 ALL</v>
          </cell>
          <cell r="D1406">
            <v>1425240</v>
          </cell>
        </row>
        <row r="1407">
          <cell r="A1407" t="str">
            <v>279823-B21</v>
          </cell>
          <cell r="B1407" t="str">
            <v>G80 UX LIC/DOC V8.7 ALL</v>
          </cell>
          <cell r="D1407">
            <v>2162564</v>
          </cell>
        </row>
        <row r="1408">
          <cell r="A1408" t="str">
            <v>279824-B21</v>
          </cell>
          <cell r="B1408" t="str">
            <v>G80 UX UPG/LIC V8.7 ALL</v>
          </cell>
          <cell r="D1408">
            <v>1425240</v>
          </cell>
        </row>
        <row r="1409">
          <cell r="A1409" t="str">
            <v>279827-B21</v>
          </cell>
          <cell r="B1409" t="str">
            <v>G80 AXR LIC/DOC V8.7 ALL</v>
          </cell>
          <cell r="D1409">
            <v>2162564</v>
          </cell>
        </row>
        <row r="1410">
          <cell r="A1410" t="str">
            <v>279828-B21</v>
          </cell>
          <cell r="B1410" t="str">
            <v>G80 AXR UPG/LIC V8.7 ALL</v>
          </cell>
          <cell r="D1410">
            <v>1425240</v>
          </cell>
        </row>
        <row r="1411">
          <cell r="A1411" t="str">
            <v>Monitor</v>
          </cell>
        </row>
        <row r="1412">
          <cell r="A1412" t="str">
            <v>CRT</v>
          </cell>
        </row>
        <row r="1413">
          <cell r="A1413" t="str">
            <v>261602-371</v>
          </cell>
          <cell r="B1413" t="str">
            <v>S5500 15" CRT  Monitor</v>
          </cell>
          <cell r="D1413">
            <v>240000</v>
          </cell>
        </row>
        <row r="1414">
          <cell r="A1414" t="str">
            <v>261606-371</v>
          </cell>
          <cell r="B1414" t="str">
            <v>S7500 17" CRT Monitor</v>
          </cell>
          <cell r="D1414">
            <v>384000</v>
          </cell>
        </row>
        <row r="1415">
          <cell r="A1415" t="str">
            <v>P9013A#AB1</v>
          </cell>
          <cell r="B1415" t="str">
            <v>V7550 17" Flat Monitor</v>
          </cell>
          <cell r="D1415">
            <v>440000</v>
          </cell>
        </row>
        <row r="1416">
          <cell r="A1416" t="str">
            <v>P9009D#AB1</v>
          </cell>
          <cell r="B1416" t="str">
            <v>P930 19" Flat Monitor</v>
          </cell>
          <cell r="D1416">
            <v>1300000</v>
          </cell>
          <cell r="E1416" t="str">
            <v>P/N 변경</v>
          </cell>
        </row>
        <row r="1417">
          <cell r="A1417" t="str">
            <v>P4819A#AB1</v>
          </cell>
          <cell r="B1417" t="str">
            <v>P1130 21" Flat Monitor</v>
          </cell>
          <cell r="D1417">
            <v>3400000</v>
          </cell>
          <cell r="E1417" t="str">
            <v>P/N 변경</v>
          </cell>
        </row>
        <row r="1419">
          <cell r="A1419" t="str">
            <v>LCD</v>
          </cell>
        </row>
        <row r="1420">
          <cell r="A1420" t="str">
            <v>P4825D#AB1</v>
          </cell>
          <cell r="B1420" t="str">
            <v>TFT1501 15" LCD Monitor</v>
          </cell>
          <cell r="C1420" t="str">
            <v>0.3mm</v>
          </cell>
          <cell r="D1420">
            <v>1200000</v>
          </cell>
          <cell r="E1420" t="str">
            <v>EOL in June</v>
          </cell>
        </row>
        <row r="1421">
          <cell r="A1421" t="str">
            <v>P9617D#AB1</v>
          </cell>
          <cell r="B1421" t="str">
            <v>L1502 15" LCD Monitor</v>
          </cell>
          <cell r="C1421" t="str">
            <v>0.3mm</v>
          </cell>
          <cell r="D1421">
            <v>670000</v>
          </cell>
        </row>
        <row r="1422">
          <cell r="A1422" t="str">
            <v>D5063D#AB1</v>
          </cell>
          <cell r="B1422" t="str">
            <v>TFT1520 15" LCD Monitor</v>
          </cell>
          <cell r="C1422" t="str">
            <v>0.297mm</v>
          </cell>
          <cell r="D1422">
            <v>1250000</v>
          </cell>
        </row>
        <row r="1423">
          <cell r="A1423" t="str">
            <v>D5063P#AB1</v>
          </cell>
          <cell r="B1423" t="str">
            <v>TFT1520M 15" LCD Monitor</v>
          </cell>
          <cell r="C1423" t="str">
            <v>0.297mm</v>
          </cell>
          <cell r="D1423">
            <v>1340000</v>
          </cell>
        </row>
        <row r="1424">
          <cell r="A1424" t="str">
            <v>P9019A#AB1</v>
          </cell>
          <cell r="B1424" t="str">
            <v>TFT1701 17" LCD Monitor</v>
          </cell>
          <cell r="C1424" t="str">
            <v>0.264mm</v>
          </cell>
          <cell r="D1424">
            <v>2850000</v>
          </cell>
          <cell r="E1424" t="str">
            <v>EOL in June</v>
          </cell>
        </row>
        <row r="1425">
          <cell r="A1425" t="str">
            <v>P9621D#AB1</v>
          </cell>
          <cell r="B1425" t="str">
            <v>L1702 17" LCD Monitor</v>
          </cell>
          <cell r="C1425" t="str">
            <v>0.264mm</v>
          </cell>
          <cell r="D1425">
            <v>970000</v>
          </cell>
        </row>
        <row r="1426">
          <cell r="A1426" t="str">
            <v>D5064D#AB1</v>
          </cell>
          <cell r="B1426" t="str">
            <v>TFT1720 17" LCD Monitor</v>
          </cell>
          <cell r="C1426" t="str">
            <v>0.264mm</v>
          </cell>
          <cell r="D1426">
            <v>3000000</v>
          </cell>
        </row>
        <row r="1427">
          <cell r="A1427" t="str">
            <v>D5064P#AB1</v>
          </cell>
          <cell r="B1427" t="str">
            <v>TFT1720M 17" LCD Monitor</v>
          </cell>
          <cell r="C1427" t="str">
            <v>0.264mm</v>
          </cell>
          <cell r="D1427">
            <v>3100000</v>
          </cell>
        </row>
        <row r="1428">
          <cell r="A1428" t="str">
            <v>P9626A#AB1</v>
          </cell>
          <cell r="B1428" t="str">
            <v>L1925 19" LCD Monitor</v>
          </cell>
          <cell r="C1428" t="str">
            <v>0.294mm</v>
          </cell>
          <cell r="D1428">
            <v>1600000</v>
          </cell>
        </row>
        <row r="1429">
          <cell r="A1429" t="str">
            <v>P4831D#AB1</v>
          </cell>
          <cell r="B1429" t="str">
            <v>TFT2025 20" LCD Monitor</v>
          </cell>
          <cell r="C1429" t="str">
            <v>0.255mm</v>
          </cell>
          <cell r="D1429">
            <v>4900000</v>
          </cell>
        </row>
        <row r="1430">
          <cell r="B1430" t="str">
            <v>L2335 23" LCD Monitor</v>
          </cell>
          <cell r="D1430">
            <v>8313000</v>
          </cell>
        </row>
        <row r="1431">
          <cell r="A1431" t="str">
            <v>299994-003</v>
          </cell>
          <cell r="B1431" t="str">
            <v>H Windows 2003 Server 5 User License</v>
          </cell>
          <cell r="D1431" t="str">
            <v>-</v>
          </cell>
        </row>
        <row r="1432">
          <cell r="A1432" t="str">
            <v>Server Full Product Package(September)</v>
          </cell>
        </row>
        <row r="1434">
          <cell r="A1434" t="str">
            <v>한글제품</v>
          </cell>
        </row>
        <row r="1435">
          <cell r="A1435" t="str">
            <v>Part Number</v>
          </cell>
          <cell r="B1435" t="str">
            <v>Product Name</v>
          </cell>
          <cell r="C1435" t="str">
            <v>변경사항</v>
          </cell>
          <cell r="D1435" t="str">
            <v>ERP</v>
          </cell>
          <cell r="E1435" t="str">
            <v>A</v>
          </cell>
        </row>
        <row r="1436">
          <cell r="A1436" t="str">
            <v>Standard</v>
          </cell>
        </row>
        <row r="1437">
          <cell r="A1437" t="str">
            <v>810-00980</v>
          </cell>
          <cell r="B1437" t="str">
            <v>SQL Svr 2000 Enterprise Edtn Korean CD 1 Processor License</v>
          </cell>
          <cell r="C1437" t="str">
            <v>동일</v>
          </cell>
          <cell r="D1437">
            <v>22759000</v>
          </cell>
          <cell r="E1437">
            <v>18503000</v>
          </cell>
        </row>
        <row r="1438">
          <cell r="A1438" t="str">
            <v>810-00623</v>
          </cell>
          <cell r="B1438" t="str">
            <v>SQL Svr 2000 Enterprise Edtn Korean CD 25 Clt</v>
          </cell>
          <cell r="C1438" t="str">
            <v>동일</v>
          </cell>
          <cell r="D1438">
            <v>16419000</v>
          </cell>
          <cell r="E1438">
            <v>13348000</v>
          </cell>
        </row>
        <row r="1439">
          <cell r="A1439" t="str">
            <v>228-01098</v>
          </cell>
          <cell r="B1439" t="str">
            <v>SQL Svr 2000 Standard Edtn Korean CD 1 Processor License</v>
          </cell>
          <cell r="C1439" t="str">
            <v>동일</v>
          </cell>
          <cell r="D1439">
            <v>7395000</v>
          </cell>
          <cell r="E1439">
            <v>6012000</v>
          </cell>
        </row>
        <row r="1440">
          <cell r="A1440" t="str">
            <v>228-00738</v>
          </cell>
          <cell r="B1440" t="str">
            <v>SQL Svr 2000 Standard Edtn Korean CD 10 Clt</v>
          </cell>
          <cell r="C1440" t="str">
            <v>동일</v>
          </cell>
          <cell r="D1440">
            <v>3326000</v>
          </cell>
          <cell r="E1440">
            <v>2704000</v>
          </cell>
        </row>
        <row r="1441">
          <cell r="A1441" t="str">
            <v>228-00737</v>
          </cell>
          <cell r="B1441" t="str">
            <v>SQL Svr 2000 Standard Edtn Korean CD 5 Clt</v>
          </cell>
          <cell r="C1441" t="str">
            <v>동일</v>
          </cell>
          <cell r="D1441">
            <v>2194000</v>
          </cell>
          <cell r="E1441">
            <v>1783000</v>
          </cell>
        </row>
        <row r="1442">
          <cell r="A1442" t="str">
            <v>355-00963</v>
          </cell>
          <cell r="B1442" t="str">
            <v>Sys Mgmt CAL 2003 English MLP 20 Device CAL</v>
          </cell>
          <cell r="C1442" t="str">
            <v>동일</v>
          </cell>
          <cell r="D1442">
            <v>1602000</v>
          </cell>
          <cell r="E1442">
            <v>1302000</v>
          </cell>
        </row>
        <row r="1443">
          <cell r="A1443" t="str">
            <v>C10-00090</v>
          </cell>
          <cell r="B1443" t="str">
            <v>Windows Advanced Svr 2000 Korean CD 25 Clt</v>
          </cell>
          <cell r="C1443" t="str">
            <v>동일</v>
          </cell>
          <cell r="D1443">
            <v>5374000</v>
          </cell>
          <cell r="E1443">
            <v>4369000</v>
          </cell>
        </row>
        <row r="1444">
          <cell r="A1444" t="str">
            <v>C78-00050</v>
          </cell>
          <cell r="B1444" t="str">
            <v>Windows CAL 2000 Korean MLP 20</v>
          </cell>
          <cell r="C1444" t="str">
            <v>동일</v>
          </cell>
          <cell r="D1444">
            <v>1004000</v>
          </cell>
          <cell r="E1444">
            <v>816000</v>
          </cell>
        </row>
        <row r="1445">
          <cell r="A1445" t="str">
            <v>C78-00049</v>
          </cell>
          <cell r="B1445" t="str">
            <v>Windows CAL 2000 Korean MLP 5</v>
          </cell>
          <cell r="C1445" t="str">
            <v>동일</v>
          </cell>
          <cell r="D1445">
            <v>251000</v>
          </cell>
          <cell r="E1445">
            <v>204000</v>
          </cell>
        </row>
        <row r="1446">
          <cell r="A1446" t="str">
            <v>C80-00071</v>
          </cell>
          <cell r="B1446" t="str">
            <v>Windows Internet Conn 2000 Korean MLP Unlim Clt</v>
          </cell>
          <cell r="C1446" t="str">
            <v>동일</v>
          </cell>
          <cell r="D1446">
            <v>2746000</v>
          </cell>
          <cell r="E1446">
            <v>2232000</v>
          </cell>
        </row>
        <row r="1447">
          <cell r="A1447" t="str">
            <v>R18-00944</v>
          </cell>
          <cell r="B1447" t="str">
            <v>Windows Server CAL 2003 Korean MLP 20 Device CAL</v>
          </cell>
          <cell r="C1447" t="str">
            <v>동일</v>
          </cell>
          <cell r="D1447">
            <v>1080000</v>
          </cell>
          <cell r="E1447">
            <v>878000</v>
          </cell>
        </row>
        <row r="1448">
          <cell r="A1448" t="str">
            <v>R18-00942</v>
          </cell>
          <cell r="B1448" t="str">
            <v>Windows Server CAL 2003 Korean MLP 20 User CAL</v>
          </cell>
          <cell r="C1448" t="str">
            <v>동일</v>
          </cell>
          <cell r="D1448">
            <v>1080000</v>
          </cell>
          <cell r="E1448">
            <v>878000</v>
          </cell>
        </row>
        <row r="1449">
          <cell r="A1449" t="str">
            <v>R18-00943</v>
          </cell>
          <cell r="B1449" t="str">
            <v>Windows Server CAL 2003 Korean MLP 5 Device CAL</v>
          </cell>
          <cell r="C1449" t="str">
            <v>동일</v>
          </cell>
          <cell r="D1449">
            <v>271000</v>
          </cell>
          <cell r="E1449">
            <v>220000</v>
          </cell>
        </row>
        <row r="1450">
          <cell r="A1450" t="str">
            <v>R18-00941</v>
          </cell>
          <cell r="B1450" t="str">
            <v>Windows Server CAL 2003 Korean MLP 5 User CAL</v>
          </cell>
          <cell r="C1450" t="str">
            <v>동일</v>
          </cell>
          <cell r="D1450">
            <v>271000</v>
          </cell>
          <cell r="E1450">
            <v>220000</v>
          </cell>
        </row>
        <row r="1451">
          <cell r="A1451" t="str">
            <v>C11-00137</v>
          </cell>
          <cell r="B1451" t="str">
            <v>Windows Svr 2000 Korean CD 10 Clt</v>
          </cell>
          <cell r="C1451" t="str">
            <v>동일</v>
          </cell>
          <cell r="D1451">
            <v>1598000</v>
          </cell>
          <cell r="E1451">
            <v>1299000</v>
          </cell>
        </row>
        <row r="1452">
          <cell r="A1452" t="str">
            <v>C11-00136</v>
          </cell>
          <cell r="B1452" t="str">
            <v>Windows Svr 2000 Korean CD 5 Clt</v>
          </cell>
          <cell r="C1452" t="str">
            <v>동일</v>
          </cell>
          <cell r="D1452">
            <v>1347000</v>
          </cell>
          <cell r="E1452">
            <v>1095000</v>
          </cell>
        </row>
        <row r="1453">
          <cell r="A1453" t="str">
            <v>P72-00062</v>
          </cell>
          <cell r="B1453" t="str">
            <v>Windows Svr Ent 2003 Korean CD 25 Clt</v>
          </cell>
          <cell r="C1453" t="str">
            <v>동일</v>
          </cell>
          <cell r="D1453">
            <v>5786000</v>
          </cell>
          <cell r="E1453">
            <v>4704000</v>
          </cell>
        </row>
        <row r="1454">
          <cell r="A1454" t="str">
            <v>P73-00088</v>
          </cell>
          <cell r="B1454" t="str">
            <v>Windows Svr Std 2003 Korean CD 10 Clt</v>
          </cell>
          <cell r="C1454" t="str">
            <v>동일</v>
          </cell>
          <cell r="D1454">
            <v>1777000</v>
          </cell>
          <cell r="E1454">
            <v>1444000</v>
          </cell>
        </row>
        <row r="1455">
          <cell r="A1455" t="str">
            <v>P73-00086</v>
          </cell>
          <cell r="B1455" t="str">
            <v>Windows Svr Std 2003 Korean CD 5 Clt</v>
          </cell>
          <cell r="C1455" t="str">
            <v>동일</v>
          </cell>
          <cell r="D1455">
            <v>1507000</v>
          </cell>
          <cell r="E1455">
            <v>1225000</v>
          </cell>
        </row>
        <row r="1457">
          <cell r="A1457" t="str">
            <v>영문제품</v>
          </cell>
        </row>
        <row r="1458">
          <cell r="A1458" t="str">
            <v>Part Number</v>
          </cell>
          <cell r="B1458" t="str">
            <v>Product Name</v>
          </cell>
          <cell r="C1458" t="str">
            <v>변경사항</v>
          </cell>
          <cell r="D1458" t="str">
            <v>ERP</v>
          </cell>
          <cell r="E1458" t="str">
            <v>A</v>
          </cell>
        </row>
        <row r="1459">
          <cell r="A1459" t="str">
            <v>Standard</v>
          </cell>
        </row>
        <row r="1460">
          <cell r="A1460" t="str">
            <v>810-00963</v>
          </cell>
          <cell r="B1460" t="str">
            <v>SQL Svr 2000 Enterprise Edtn English Intl CD 1 Processor License</v>
          </cell>
          <cell r="C1460" t="str">
            <v>동일</v>
          </cell>
          <cell r="D1460">
            <v>29586000</v>
          </cell>
          <cell r="E1460">
            <v>24053000</v>
          </cell>
        </row>
        <row r="1461">
          <cell r="A1461" t="str">
            <v>810-00570</v>
          </cell>
          <cell r="B1461" t="str">
            <v>SQL Svr 2000 Enterprise Edtn English Intl CD 25 Clt</v>
          </cell>
          <cell r="C1461" t="str">
            <v>동일</v>
          </cell>
          <cell r="D1461">
            <v>16419000</v>
          </cell>
          <cell r="E1461">
            <v>13348000</v>
          </cell>
        </row>
        <row r="1462">
          <cell r="A1462" t="str">
            <v>228-01081</v>
          </cell>
          <cell r="B1462" t="str">
            <v>SQL Svr 2000 Standard Edtn English Intl CD 1 Processor License</v>
          </cell>
          <cell r="C1462" t="str">
            <v>동일</v>
          </cell>
          <cell r="D1462">
            <v>7395000</v>
          </cell>
          <cell r="E1462">
            <v>6012000</v>
          </cell>
        </row>
        <row r="1463">
          <cell r="A1463" t="str">
            <v>228-00691</v>
          </cell>
          <cell r="B1463" t="str">
            <v>SQL Svr 2000 Standard Edtn English Intl CD 10 Clt</v>
          </cell>
          <cell r="C1463" t="str">
            <v>동일</v>
          </cell>
          <cell r="D1463">
            <v>3326000</v>
          </cell>
          <cell r="E1463">
            <v>2704000</v>
          </cell>
        </row>
        <row r="1464">
          <cell r="A1464" t="str">
            <v>228-00690</v>
          </cell>
          <cell r="B1464" t="str">
            <v>SQL Svr 2000 Standard Edtn English Intl CD 5 Clt</v>
          </cell>
          <cell r="C1464" t="str">
            <v>동일</v>
          </cell>
          <cell r="D1464">
            <v>2194000</v>
          </cell>
          <cell r="E1464">
            <v>1783000</v>
          </cell>
        </row>
        <row r="1465">
          <cell r="A1465" t="str">
            <v>C10-00030</v>
          </cell>
          <cell r="B1465" t="str">
            <v>Windows Advanced Svr 2000 English Intl CD 25 Clt</v>
          </cell>
          <cell r="C1465" t="str">
            <v>동일</v>
          </cell>
          <cell r="D1465">
            <v>5786000</v>
          </cell>
          <cell r="E1465">
            <v>4704000</v>
          </cell>
        </row>
        <row r="1466">
          <cell r="A1466" t="str">
            <v>C10-00612</v>
          </cell>
          <cell r="B1466" t="str">
            <v>Windows Advanced Svr 2000 English Intl CD 50 Clt</v>
          </cell>
          <cell r="C1466" t="str">
            <v>동일</v>
          </cell>
          <cell r="D1466">
            <v>6711000</v>
          </cell>
          <cell r="E1466">
            <v>5456000</v>
          </cell>
        </row>
        <row r="1467">
          <cell r="A1467" t="str">
            <v>C78-00008</v>
          </cell>
          <cell r="B1467" t="str">
            <v>Windows CAL 2000 English Intl MLP 20</v>
          </cell>
          <cell r="C1467" t="str">
            <v>동일</v>
          </cell>
          <cell r="D1467">
            <v>1080000</v>
          </cell>
          <cell r="E1467">
            <v>878000</v>
          </cell>
        </row>
        <row r="1468">
          <cell r="A1468" t="str">
            <v>C78-00007</v>
          </cell>
          <cell r="B1468" t="str">
            <v>Windows CAL 2000 English Intl MLP 5</v>
          </cell>
          <cell r="C1468" t="str">
            <v>동일</v>
          </cell>
          <cell r="D1468">
            <v>271000</v>
          </cell>
          <cell r="E1468">
            <v>220000</v>
          </cell>
        </row>
        <row r="1469">
          <cell r="A1469" t="str">
            <v>C80-00055</v>
          </cell>
          <cell r="B1469" t="str">
            <v>Windows Internet Conn 2000 English Intl MLP Unlim Clt</v>
          </cell>
          <cell r="C1469" t="str">
            <v>동일</v>
          </cell>
          <cell r="D1469">
            <v>2957000</v>
          </cell>
          <cell r="E1469">
            <v>2404000</v>
          </cell>
        </row>
        <row r="1470">
          <cell r="A1470" t="str">
            <v>R18-00910</v>
          </cell>
          <cell r="B1470" t="str">
            <v>Windows Server CAL 2003 English MLP 20 Device CAL</v>
          </cell>
          <cell r="C1470" t="str">
            <v>동일</v>
          </cell>
          <cell r="D1470">
            <v>1080000</v>
          </cell>
          <cell r="E1470">
            <v>878000</v>
          </cell>
        </row>
        <row r="1471">
          <cell r="A1471" t="str">
            <v>R18-00908</v>
          </cell>
          <cell r="B1471" t="str">
            <v>Windows Server CAL 2003 English MLP 20 User CAL</v>
          </cell>
          <cell r="C1471" t="str">
            <v>동일</v>
          </cell>
          <cell r="D1471">
            <v>1080000</v>
          </cell>
          <cell r="E1471">
            <v>878000</v>
          </cell>
        </row>
        <row r="1472">
          <cell r="A1472" t="str">
            <v>R18-00909</v>
          </cell>
          <cell r="B1472" t="str">
            <v>Windows Server CAL 2003 English MLP 5 Device CAL</v>
          </cell>
          <cell r="C1472" t="str">
            <v>동일</v>
          </cell>
          <cell r="D1472">
            <v>271000</v>
          </cell>
          <cell r="E1472">
            <v>220000</v>
          </cell>
        </row>
        <row r="1473">
          <cell r="A1473" t="str">
            <v>R18-00907</v>
          </cell>
          <cell r="B1473" t="str">
            <v>Windows Server CAL 2003 English MLP 5 User CAL</v>
          </cell>
          <cell r="C1473" t="str">
            <v>동일</v>
          </cell>
          <cell r="D1473">
            <v>271000</v>
          </cell>
          <cell r="E1473">
            <v>220000</v>
          </cell>
        </row>
        <row r="1474">
          <cell r="A1474" t="str">
            <v>C11-00036</v>
          </cell>
          <cell r="B1474" t="str">
            <v>Windows Svr 2000 English Intl CD 10 Clt</v>
          </cell>
          <cell r="C1474" t="str">
            <v>동일</v>
          </cell>
          <cell r="D1474">
            <v>1721000</v>
          </cell>
          <cell r="E1474">
            <v>1399000</v>
          </cell>
        </row>
        <row r="1475">
          <cell r="A1475" t="str">
            <v>C11-00037</v>
          </cell>
          <cell r="B1475" t="str">
            <v>Windows Svr 2000 English Intl CD 25 Clt</v>
          </cell>
          <cell r="C1475" t="str">
            <v>동일</v>
          </cell>
          <cell r="D1475">
            <v>2532000</v>
          </cell>
          <cell r="E1475">
            <v>2058000</v>
          </cell>
        </row>
        <row r="1476">
          <cell r="A1476" t="str">
            <v>C11-00035</v>
          </cell>
          <cell r="B1476" t="str">
            <v>Windows Svr 2000 English Intl CD 5 Clt</v>
          </cell>
          <cell r="C1476" t="str">
            <v>동일</v>
          </cell>
          <cell r="D1476">
            <v>1452000</v>
          </cell>
          <cell r="E1476">
            <v>1180000</v>
          </cell>
        </row>
        <row r="1477">
          <cell r="A1477" t="str">
            <v>C11-00048</v>
          </cell>
          <cell r="B1477" t="str">
            <v>Windows Svr 2000 English Intl MLP</v>
          </cell>
          <cell r="C1477" t="str">
            <v>동일</v>
          </cell>
          <cell r="D1477">
            <v>1283000</v>
          </cell>
          <cell r="E1477">
            <v>1043000</v>
          </cell>
        </row>
        <row r="1478">
          <cell r="A1478" t="str">
            <v>P72-00001</v>
          </cell>
          <cell r="B1478" t="str">
            <v>Windows Svr Ent 2003 English CD 25 Clt</v>
          </cell>
          <cell r="C1478" t="str">
            <v>동일</v>
          </cell>
          <cell r="D1478">
            <v>5785000</v>
          </cell>
          <cell r="E1478">
            <v>4703000</v>
          </cell>
        </row>
        <row r="1479">
          <cell r="A1479" t="str">
            <v>P73-00003</v>
          </cell>
          <cell r="B1479" t="str">
            <v>Windows Svr Std 2003 English CD 10 Clt</v>
          </cell>
          <cell r="C1479" t="str">
            <v>동일</v>
          </cell>
          <cell r="D1479">
            <v>1777000</v>
          </cell>
          <cell r="E1479">
            <v>1444000</v>
          </cell>
        </row>
        <row r="1480">
          <cell r="A1480" t="str">
            <v>P73-00001</v>
          </cell>
          <cell r="B1480" t="str">
            <v>Windows Svr Std 2003 English CD 5 Clt</v>
          </cell>
          <cell r="C1480" t="str">
            <v>동일</v>
          </cell>
          <cell r="D1480">
            <v>1507000</v>
          </cell>
          <cell r="E1480">
            <v>1225000</v>
          </cell>
        </row>
        <row r="1482">
          <cell r="A1482" t="str">
            <v>Server MOLP(September)</v>
          </cell>
        </row>
        <row r="1484">
          <cell r="A1484" t="str">
            <v>한글제품</v>
          </cell>
        </row>
        <row r="1485">
          <cell r="A1485" t="str">
            <v>Part Number</v>
          </cell>
          <cell r="B1485" t="str">
            <v>Product Name</v>
          </cell>
          <cell r="C1485" t="str">
            <v>변경사항</v>
          </cell>
          <cell r="D1485" t="str">
            <v>ERP</v>
          </cell>
          <cell r="E1485" t="str">
            <v>A</v>
          </cell>
        </row>
        <row r="1486">
          <cell r="A1486" t="str">
            <v>Standard</v>
          </cell>
        </row>
        <row r="1487">
          <cell r="A1487" t="str">
            <v>359-00651</v>
          </cell>
          <cell r="B1487" t="str">
            <v>SQL CAL 2000 Korean OLP NL Device CAL</v>
          </cell>
          <cell r="C1487" t="str">
            <v>동일</v>
          </cell>
          <cell r="D1487">
            <v>219000</v>
          </cell>
          <cell r="E1487">
            <v>182000</v>
          </cell>
        </row>
        <row r="1488">
          <cell r="A1488" t="str">
            <v>359-01172</v>
          </cell>
          <cell r="B1488" t="str">
            <v>SQL CAL 2000 Korean OLP NL User CAL</v>
          </cell>
          <cell r="C1488" t="str">
            <v>동일</v>
          </cell>
          <cell r="D1488">
            <v>219000</v>
          </cell>
          <cell r="E1488">
            <v>182000</v>
          </cell>
        </row>
        <row r="1489">
          <cell r="A1489" t="str">
            <v>359-00729</v>
          </cell>
          <cell r="B1489" t="str">
            <v>SQL CAL Korean Lic/SA Pack OLP NL Device CAL</v>
          </cell>
          <cell r="C1489" t="str">
            <v>동일</v>
          </cell>
          <cell r="D1489">
            <v>327000</v>
          </cell>
          <cell r="E1489">
            <v>272000</v>
          </cell>
        </row>
        <row r="1490">
          <cell r="A1490" t="str">
            <v>359-01158</v>
          </cell>
          <cell r="B1490" t="str">
            <v>SQL CAL Korean Lic/SA Pack OLP NL User CAL</v>
          </cell>
          <cell r="C1490" t="str">
            <v>동일</v>
          </cell>
          <cell r="D1490">
            <v>327000</v>
          </cell>
          <cell r="E1490">
            <v>272000</v>
          </cell>
        </row>
        <row r="1491">
          <cell r="A1491" t="str">
            <v>359-00806</v>
          </cell>
          <cell r="B1491" t="str">
            <v>SQL CAL Korean SA OLP NL Device CAL</v>
          </cell>
          <cell r="C1491" t="str">
            <v>동일</v>
          </cell>
          <cell r="D1491">
            <v>110000</v>
          </cell>
          <cell r="E1491">
            <v>91000</v>
          </cell>
        </row>
        <row r="1492">
          <cell r="A1492" t="str">
            <v>359-01165</v>
          </cell>
          <cell r="B1492" t="str">
            <v>SQL CAL Korean SA OLP NL User CAL</v>
          </cell>
          <cell r="C1492" t="str">
            <v>동일</v>
          </cell>
          <cell r="D1492">
            <v>110000</v>
          </cell>
          <cell r="E1492">
            <v>91000</v>
          </cell>
        </row>
        <row r="1493">
          <cell r="A1493" t="str">
            <v>810-00822</v>
          </cell>
          <cell r="B1493" t="str">
            <v>SQL Svr 2000 Enterprise Edtn Korean OLP NL</v>
          </cell>
          <cell r="C1493" t="str">
            <v>동일</v>
          </cell>
          <cell r="D1493">
            <v>9520000</v>
          </cell>
          <cell r="E1493">
            <v>7933000</v>
          </cell>
        </row>
        <row r="1494">
          <cell r="A1494" t="str">
            <v>810-01117</v>
          </cell>
          <cell r="B1494" t="str">
            <v>SQL Svr 2000 Enterprise Edtn Korean OLP NL 1 Processor License</v>
          </cell>
          <cell r="C1494" t="str">
            <v>동일</v>
          </cell>
          <cell r="D1494">
            <v>21950000</v>
          </cell>
          <cell r="E1494">
            <v>18291000</v>
          </cell>
        </row>
        <row r="1495">
          <cell r="A1495" t="str">
            <v>228-00951</v>
          </cell>
          <cell r="B1495" t="str">
            <v>SQL Svr 2000 Standard Edtn Korean OLP NL</v>
          </cell>
          <cell r="C1495" t="str">
            <v>동일</v>
          </cell>
          <cell r="D1495">
            <v>993000</v>
          </cell>
          <cell r="E1495">
            <v>827000</v>
          </cell>
        </row>
        <row r="1496">
          <cell r="A1496" t="str">
            <v>228-01234</v>
          </cell>
          <cell r="B1496" t="str">
            <v>SQL Svr 2000 Standard Edtn Korean OLP NL 1 Processor License</v>
          </cell>
          <cell r="C1496" t="str">
            <v>동일</v>
          </cell>
          <cell r="D1496">
            <v>7132000</v>
          </cell>
          <cell r="E1496">
            <v>5943000</v>
          </cell>
        </row>
        <row r="1497">
          <cell r="A1497" t="str">
            <v>810-01433</v>
          </cell>
          <cell r="B1497" t="str">
            <v>SQL Svr Enterprise Edtn Korean Lic/SA Pack OLP NL</v>
          </cell>
          <cell r="C1497" t="str">
            <v>동일</v>
          </cell>
          <cell r="D1497">
            <v>14279000</v>
          </cell>
          <cell r="E1497">
            <v>11899000</v>
          </cell>
        </row>
        <row r="1498">
          <cell r="A1498" t="str">
            <v>810-01444</v>
          </cell>
          <cell r="B1498" t="str">
            <v>SQL Svr Enterprise Edtn Korean Lic/SA Pack OLP NL 1 Processor License</v>
          </cell>
          <cell r="C1498" t="str">
            <v>동일</v>
          </cell>
          <cell r="D1498">
            <v>32924000</v>
          </cell>
          <cell r="E1498">
            <v>27436000</v>
          </cell>
        </row>
        <row r="1499">
          <cell r="A1499" t="str">
            <v>810-01594</v>
          </cell>
          <cell r="B1499" t="str">
            <v>SQL Svr Enterprise Edtn Korean SA OLP NL</v>
          </cell>
          <cell r="C1499" t="str">
            <v>동일</v>
          </cell>
          <cell r="D1499">
            <v>4761000</v>
          </cell>
          <cell r="E1499">
            <v>3967000</v>
          </cell>
        </row>
        <row r="1500">
          <cell r="A1500" t="str">
            <v>810-01600</v>
          </cell>
          <cell r="B1500" t="str">
            <v>SQL Svr Enterprise Edtn Korean SA OLP NL 1 Processor License</v>
          </cell>
          <cell r="C1500" t="str">
            <v>동일</v>
          </cell>
          <cell r="D1500">
            <v>10976000</v>
          </cell>
          <cell r="E1500">
            <v>9146000</v>
          </cell>
        </row>
        <row r="1501">
          <cell r="A1501" t="str">
            <v>228-01489</v>
          </cell>
          <cell r="B1501" t="str">
            <v>SQL Svr Standard Edtn Korean Lic/SA Pack OLP NL</v>
          </cell>
          <cell r="C1501" t="str">
            <v>동일</v>
          </cell>
          <cell r="D1501">
            <v>1490000</v>
          </cell>
          <cell r="E1501">
            <v>1241000</v>
          </cell>
        </row>
        <row r="1502">
          <cell r="A1502" t="str">
            <v>228-01484</v>
          </cell>
          <cell r="B1502" t="str">
            <v>SQL Svr Standard Edtn Korean Lic/SA Pack OLP NL 1 Processor License</v>
          </cell>
          <cell r="C1502" t="str">
            <v>동일</v>
          </cell>
          <cell r="D1502">
            <v>10697000</v>
          </cell>
          <cell r="E1502">
            <v>8914000</v>
          </cell>
        </row>
        <row r="1503">
          <cell r="A1503" t="str">
            <v>228-01651</v>
          </cell>
          <cell r="B1503" t="str">
            <v>SQL Svr Standard Edtn Korean SA OLP NL</v>
          </cell>
          <cell r="C1503" t="str">
            <v>동일</v>
          </cell>
          <cell r="D1503">
            <v>497000</v>
          </cell>
          <cell r="E1503">
            <v>414000</v>
          </cell>
        </row>
        <row r="1504">
          <cell r="A1504" t="str">
            <v>228-01647</v>
          </cell>
          <cell r="B1504" t="str">
            <v>SQL Svr Standard Edtn Korean SA OLP NL 1 Processor License</v>
          </cell>
          <cell r="C1504" t="str">
            <v>동일</v>
          </cell>
          <cell r="D1504">
            <v>3567000</v>
          </cell>
          <cell r="E1504">
            <v>2972000</v>
          </cell>
        </row>
        <row r="1505">
          <cell r="A1505" t="str">
            <v>R18-00688</v>
          </cell>
          <cell r="B1505" t="str">
            <v>Windows Server CAL 2003 Korean OLP NL Device CAL</v>
          </cell>
          <cell r="C1505" t="str">
            <v>동일</v>
          </cell>
          <cell r="D1505">
            <v>44000</v>
          </cell>
          <cell r="E1505">
            <v>36000</v>
          </cell>
        </row>
        <row r="1506">
          <cell r="A1506" t="str">
            <v>R18-00687</v>
          </cell>
          <cell r="B1506" t="str">
            <v>Windows Server CAL 2003 Korean OLP NL User CAL</v>
          </cell>
          <cell r="C1506" t="str">
            <v>동일</v>
          </cell>
          <cell r="D1506">
            <v>44000</v>
          </cell>
          <cell r="E1506">
            <v>36000</v>
          </cell>
        </row>
        <row r="1507">
          <cell r="A1507" t="str">
            <v>R18-00704</v>
          </cell>
          <cell r="B1507" t="str">
            <v>Windows Server CAL Korean Lic/SA Pack OLP NL Device CAL</v>
          </cell>
          <cell r="C1507" t="str">
            <v>동일</v>
          </cell>
          <cell r="D1507">
            <v>65000</v>
          </cell>
          <cell r="E1507">
            <v>54000</v>
          </cell>
        </row>
        <row r="1508">
          <cell r="A1508" t="str">
            <v>R18-00703</v>
          </cell>
          <cell r="B1508" t="str">
            <v>Windows Server CAL Korean Lic/SA Pack OLP NL User CAL</v>
          </cell>
          <cell r="C1508" t="str">
            <v>동일</v>
          </cell>
          <cell r="D1508">
            <v>65000</v>
          </cell>
          <cell r="E1508">
            <v>54000</v>
          </cell>
        </row>
        <row r="1509">
          <cell r="A1509" t="str">
            <v>R18-00708</v>
          </cell>
          <cell r="B1509" t="str">
            <v>Windows Server CAL Korean SA OLP NL Device CAL</v>
          </cell>
          <cell r="C1509" t="str">
            <v>동일</v>
          </cell>
          <cell r="D1509">
            <v>22000</v>
          </cell>
          <cell r="E1509">
            <v>18000</v>
          </cell>
        </row>
        <row r="1510">
          <cell r="A1510" t="str">
            <v>R18-00707</v>
          </cell>
          <cell r="B1510" t="str">
            <v>Windows Server CAL Korean SA OLP NL User CAL</v>
          </cell>
          <cell r="C1510" t="str">
            <v>동일</v>
          </cell>
          <cell r="D1510">
            <v>22000</v>
          </cell>
          <cell r="E1510">
            <v>18000</v>
          </cell>
        </row>
        <row r="1511">
          <cell r="A1511" t="str">
            <v>P72-00256</v>
          </cell>
          <cell r="B1511" t="str">
            <v>Windows Svr Ent 2003 Korean OLP NL</v>
          </cell>
          <cell r="C1511" t="str">
            <v>동일</v>
          </cell>
          <cell r="D1511">
            <v>3483000</v>
          </cell>
          <cell r="E1511">
            <v>2902000</v>
          </cell>
        </row>
        <row r="1512">
          <cell r="A1512" t="str">
            <v>P72-00349</v>
          </cell>
          <cell r="B1512" t="str">
            <v>Windows Svr Ent Korean Lic/SA Pack OLP NL</v>
          </cell>
          <cell r="C1512" t="str">
            <v>동일</v>
          </cell>
          <cell r="D1512">
            <v>5223000</v>
          </cell>
          <cell r="E1512">
            <v>4352000</v>
          </cell>
        </row>
        <row r="1513">
          <cell r="A1513" t="str">
            <v>P72-00351</v>
          </cell>
          <cell r="B1513" t="str">
            <v>Windows Svr Ent Korean SA OLP NL</v>
          </cell>
          <cell r="C1513" t="str">
            <v>동일</v>
          </cell>
          <cell r="D1513">
            <v>1742000</v>
          </cell>
          <cell r="E1513">
            <v>1451000</v>
          </cell>
        </row>
        <row r="1514">
          <cell r="A1514" t="str">
            <v>R39-00286</v>
          </cell>
          <cell r="B1514" t="str">
            <v>Windows Svr ExtrnConn 2003 Korean OLP NL</v>
          </cell>
          <cell r="C1514" t="str">
            <v>동일</v>
          </cell>
          <cell r="D1514">
            <v>2237000</v>
          </cell>
          <cell r="E1514">
            <v>1864000</v>
          </cell>
        </row>
        <row r="1515">
          <cell r="A1515" t="str">
            <v>R39-00159</v>
          </cell>
          <cell r="B1515" t="str">
            <v>Windows Svr ExtrnConn Korean Lic/SA Pack OLP NL</v>
          </cell>
          <cell r="C1515" t="str">
            <v>동일</v>
          </cell>
          <cell r="D1515">
            <v>3356000</v>
          </cell>
          <cell r="E1515">
            <v>2796000</v>
          </cell>
        </row>
        <row r="1516">
          <cell r="A1516" t="str">
            <v>R39-00217</v>
          </cell>
          <cell r="B1516" t="str">
            <v>Windows Svr ExtrnConn Korean SA OLP NL</v>
          </cell>
          <cell r="C1516" t="str">
            <v>동일</v>
          </cell>
          <cell r="D1516">
            <v>1119000</v>
          </cell>
          <cell r="E1516">
            <v>932000</v>
          </cell>
        </row>
        <row r="1517">
          <cell r="A1517" t="str">
            <v>P73-00287</v>
          </cell>
          <cell r="B1517" t="str">
            <v>Windows Svr Std 2003 Korean OLP NL</v>
          </cell>
          <cell r="C1517" t="str">
            <v>동일</v>
          </cell>
          <cell r="D1517">
            <v>1073000</v>
          </cell>
          <cell r="E1517">
            <v>894000</v>
          </cell>
        </row>
        <row r="1518">
          <cell r="A1518" t="str">
            <v>P73-00380</v>
          </cell>
          <cell r="B1518" t="str">
            <v>Windows Svr Std Korean Lic/SA Pack OLP NL</v>
          </cell>
          <cell r="C1518" t="str">
            <v>동일</v>
          </cell>
          <cell r="D1518">
            <v>1608000</v>
          </cell>
          <cell r="E1518">
            <v>1340000</v>
          </cell>
        </row>
        <row r="1519">
          <cell r="A1519" t="str">
            <v>P73-00382</v>
          </cell>
          <cell r="B1519" t="str">
            <v>Windows Svr Std Korean SA OLP NL</v>
          </cell>
          <cell r="C1519" t="str">
            <v>동일</v>
          </cell>
          <cell r="D1519">
            <v>537000</v>
          </cell>
          <cell r="E1519">
            <v>447000</v>
          </cell>
        </row>
        <row r="1521">
          <cell r="A1521" t="str">
            <v>영문제품</v>
          </cell>
        </row>
        <row r="1522">
          <cell r="A1522" t="str">
            <v>Part Number</v>
          </cell>
          <cell r="B1522" t="str">
            <v>Product Name</v>
          </cell>
          <cell r="C1522" t="str">
            <v>변경사항</v>
          </cell>
          <cell r="D1522" t="str">
            <v>ERP</v>
          </cell>
          <cell r="E1522" t="str">
            <v>A</v>
          </cell>
        </row>
        <row r="1523">
          <cell r="A1523" t="str">
            <v>Standard</v>
          </cell>
        </row>
        <row r="1524">
          <cell r="A1524" t="str">
            <v>359-00532</v>
          </cell>
          <cell r="B1524" t="str">
            <v>SQL CAL 2000 English OLP NL Device CAL</v>
          </cell>
          <cell r="C1524" t="str">
            <v>동일</v>
          </cell>
          <cell r="D1524">
            <v>219000</v>
          </cell>
          <cell r="E1524">
            <v>182000</v>
          </cell>
        </row>
        <row r="1525">
          <cell r="A1525" t="str">
            <v>359-01039</v>
          </cell>
          <cell r="B1525" t="str">
            <v>SQL CAL 2000 English OLP NL User CAL</v>
          </cell>
          <cell r="C1525" t="str">
            <v>동일</v>
          </cell>
          <cell r="D1525">
            <v>219000</v>
          </cell>
          <cell r="E1525">
            <v>182000</v>
          </cell>
        </row>
        <row r="1526">
          <cell r="A1526" t="str">
            <v>359-00734</v>
          </cell>
          <cell r="B1526" t="str">
            <v>SQL CAL English Lic/SA Pack OLP NL Device CAL</v>
          </cell>
          <cell r="C1526" t="str">
            <v>동일</v>
          </cell>
          <cell r="D1526">
            <v>327000</v>
          </cell>
          <cell r="E1526">
            <v>272000</v>
          </cell>
        </row>
        <row r="1527">
          <cell r="A1527" t="str">
            <v>359-01005</v>
          </cell>
          <cell r="B1527" t="str">
            <v>SQL CAL English Lic/SA Pack OLP NL User CAL</v>
          </cell>
          <cell r="C1527" t="str">
            <v>동일</v>
          </cell>
          <cell r="D1527">
            <v>327000</v>
          </cell>
          <cell r="E1527">
            <v>272000</v>
          </cell>
        </row>
        <row r="1528">
          <cell r="A1528" t="str">
            <v>359-00810</v>
          </cell>
          <cell r="B1528" t="str">
            <v>SQL CAL English SA OLP NL Device CAL</v>
          </cell>
          <cell r="C1528" t="str">
            <v>동일</v>
          </cell>
          <cell r="D1528">
            <v>110000</v>
          </cell>
          <cell r="E1528">
            <v>91000</v>
          </cell>
        </row>
        <row r="1529">
          <cell r="A1529" t="str">
            <v>359-01028</v>
          </cell>
          <cell r="B1529" t="str">
            <v>SQL CAL English SA OLP NL User CAL</v>
          </cell>
          <cell r="C1529" t="str">
            <v>동일</v>
          </cell>
          <cell r="D1529">
            <v>110000</v>
          </cell>
          <cell r="E1529">
            <v>91000</v>
          </cell>
        </row>
        <row r="1530">
          <cell r="A1530" t="str">
            <v>810-00652</v>
          </cell>
          <cell r="B1530" t="str">
            <v>SQL Svr 2000 Enterprise Edtn English OLP NL</v>
          </cell>
          <cell r="C1530" t="str">
            <v>동일</v>
          </cell>
          <cell r="D1530">
            <v>9520000</v>
          </cell>
          <cell r="E1530">
            <v>7933000</v>
          </cell>
        </row>
        <row r="1531">
          <cell r="A1531" t="str">
            <v>810-00848</v>
          </cell>
          <cell r="B1531" t="str">
            <v>SQL Svr 2000 Enterprise Edtn English OLP NL 1 Processor License</v>
          </cell>
          <cell r="C1531" t="str">
            <v>동일</v>
          </cell>
          <cell r="D1531">
            <v>28534000</v>
          </cell>
          <cell r="E1531">
            <v>23778000</v>
          </cell>
        </row>
        <row r="1532">
          <cell r="A1532" t="str">
            <v>228-00782</v>
          </cell>
          <cell r="B1532" t="str">
            <v>SQL Svr 2000 Standard Edtn English OLP NL</v>
          </cell>
          <cell r="C1532" t="str">
            <v>동일</v>
          </cell>
          <cell r="D1532">
            <v>993000</v>
          </cell>
          <cell r="E1532">
            <v>827000</v>
          </cell>
        </row>
        <row r="1533">
          <cell r="A1533" t="str">
            <v>228-00971</v>
          </cell>
          <cell r="B1533" t="str">
            <v>SQL Svr 2000 Standard Edtn English OLP NL 1 Processor License</v>
          </cell>
          <cell r="C1533" t="str">
            <v>동일</v>
          </cell>
          <cell r="D1533">
            <v>7132000</v>
          </cell>
          <cell r="E1533">
            <v>5943000</v>
          </cell>
        </row>
        <row r="1534">
          <cell r="A1534" t="str">
            <v>810-01547</v>
          </cell>
          <cell r="B1534" t="str">
            <v>SQL Svr Enterprise Edtn English Lic/SA Pack OLP NL</v>
          </cell>
          <cell r="C1534" t="str">
            <v>동일</v>
          </cell>
          <cell r="D1534">
            <v>14279000</v>
          </cell>
          <cell r="E1534">
            <v>11899000</v>
          </cell>
        </row>
        <row r="1535">
          <cell r="A1535" t="str">
            <v>810-01520</v>
          </cell>
          <cell r="B1535" t="str">
            <v>SQL Svr Enterprise Edtn English Lic/SA Pack OLP NL 1 Processor License</v>
          </cell>
          <cell r="C1535" t="str">
            <v>동일</v>
          </cell>
          <cell r="D1535">
            <v>42801000</v>
          </cell>
          <cell r="E1535">
            <v>35667000</v>
          </cell>
        </row>
        <row r="1536">
          <cell r="A1536" t="str">
            <v>810-01693</v>
          </cell>
          <cell r="B1536" t="str">
            <v>SQL Svr Enterprise Edtn English SA OLP NL</v>
          </cell>
          <cell r="C1536" t="str">
            <v>동일</v>
          </cell>
          <cell r="D1536">
            <v>4761000</v>
          </cell>
          <cell r="E1536">
            <v>3967000</v>
          </cell>
        </row>
        <row r="1537">
          <cell r="A1537" t="str">
            <v>810-01667</v>
          </cell>
          <cell r="B1537" t="str">
            <v>SQL Svr Enterprise Edtn English SA OLP NL 1 Processor License</v>
          </cell>
          <cell r="C1537" t="str">
            <v>동일</v>
          </cell>
          <cell r="D1537">
            <v>14267000</v>
          </cell>
          <cell r="E1537">
            <v>11889000</v>
          </cell>
        </row>
        <row r="1538">
          <cell r="A1538" t="str">
            <v>228-01465</v>
          </cell>
          <cell r="B1538" t="str">
            <v>SQL Svr Standard Edtn English Lic/SA Pack OLP NL</v>
          </cell>
          <cell r="C1538" t="str">
            <v>동일</v>
          </cell>
          <cell r="D1538">
            <v>1490000</v>
          </cell>
          <cell r="E1538">
            <v>1241000</v>
          </cell>
        </row>
        <row r="1539">
          <cell r="A1539" t="str">
            <v>228-01509</v>
          </cell>
          <cell r="B1539" t="str">
            <v>SQL Svr Standard Edtn English Lic/SA Pack OLP NL 1 Processor License</v>
          </cell>
          <cell r="C1539" t="str">
            <v>동일</v>
          </cell>
          <cell r="D1539">
            <v>10697000</v>
          </cell>
          <cell r="E1539">
            <v>8914000</v>
          </cell>
        </row>
        <row r="1540">
          <cell r="A1540" t="str">
            <v>228-01634</v>
          </cell>
          <cell r="B1540" t="str">
            <v>SQL Svr Standard Edtn English SA OLP NL</v>
          </cell>
          <cell r="C1540" t="str">
            <v>동일</v>
          </cell>
          <cell r="D1540">
            <v>497000</v>
          </cell>
          <cell r="E1540">
            <v>414000</v>
          </cell>
        </row>
        <row r="1541">
          <cell r="A1541" t="str">
            <v>228-01666</v>
          </cell>
          <cell r="B1541" t="str">
            <v>SQL Svr Standard Edtn English SA OLP NL 1 Processor License</v>
          </cell>
          <cell r="C1541" t="str">
            <v>동일</v>
          </cell>
          <cell r="D1541">
            <v>3567000</v>
          </cell>
          <cell r="E1541">
            <v>2972000</v>
          </cell>
        </row>
        <row r="1542">
          <cell r="A1542" t="str">
            <v>R18-00134</v>
          </cell>
          <cell r="B1542" t="str">
            <v>Windows Server CAL 2003 English OLP NL Device CAL</v>
          </cell>
          <cell r="C1542" t="str">
            <v>동일</v>
          </cell>
          <cell r="D1542">
            <v>44000</v>
          </cell>
          <cell r="E1542">
            <v>36000</v>
          </cell>
        </row>
        <row r="1543">
          <cell r="A1543" t="str">
            <v>R18-00133</v>
          </cell>
          <cell r="B1543" t="str">
            <v>Windows Server CAL 2003 English OLP NL User CAL</v>
          </cell>
          <cell r="C1543" t="str">
            <v>동일</v>
          </cell>
          <cell r="D1543">
            <v>44000</v>
          </cell>
          <cell r="E1543">
            <v>36000</v>
          </cell>
        </row>
        <row r="1544">
          <cell r="A1544" t="str">
            <v>R18-00144</v>
          </cell>
          <cell r="B1544" t="str">
            <v>Windows Server CAL English Lic/SA Pack OLP NL Device CAL</v>
          </cell>
          <cell r="C1544" t="str">
            <v>동일</v>
          </cell>
          <cell r="D1544">
            <v>65000</v>
          </cell>
          <cell r="E1544">
            <v>54000</v>
          </cell>
        </row>
        <row r="1545">
          <cell r="A1545" t="str">
            <v>R18-00143</v>
          </cell>
          <cell r="B1545" t="str">
            <v>Windows Server CAL English Lic/SA Pack OLP NL User CAL</v>
          </cell>
          <cell r="C1545" t="str">
            <v>동일</v>
          </cell>
          <cell r="D1545">
            <v>65000</v>
          </cell>
          <cell r="E1545">
            <v>54000</v>
          </cell>
        </row>
        <row r="1546">
          <cell r="A1546" t="str">
            <v>R18-00146</v>
          </cell>
          <cell r="B1546" t="str">
            <v>Windows Server CAL English SA OLP NL Device CAL</v>
          </cell>
          <cell r="C1546" t="str">
            <v>동일</v>
          </cell>
          <cell r="D1546">
            <v>22000</v>
          </cell>
          <cell r="E1546">
            <v>18000</v>
          </cell>
        </row>
        <row r="1547">
          <cell r="A1547" t="str">
            <v>R18-00145</v>
          </cell>
          <cell r="B1547" t="str">
            <v>Windows Server CAL English SA OLP NL User CAL</v>
          </cell>
          <cell r="C1547" t="str">
            <v>동일</v>
          </cell>
          <cell r="D1547">
            <v>22000</v>
          </cell>
          <cell r="E1547">
            <v>18000</v>
          </cell>
        </row>
        <row r="1548">
          <cell r="A1548" t="str">
            <v>P72-00264</v>
          </cell>
          <cell r="B1548" t="str">
            <v>Windows Svr Ent 2003 English OLP NL</v>
          </cell>
          <cell r="C1548" t="str">
            <v>동일</v>
          </cell>
          <cell r="D1548">
            <v>3483000</v>
          </cell>
          <cell r="E1548">
            <v>2902000</v>
          </cell>
        </row>
        <row r="1549">
          <cell r="A1549" t="str">
            <v>P72-00247</v>
          </cell>
          <cell r="B1549" t="str">
            <v>Windows Svr Ent 2003 English/MultiLang OLP NL</v>
          </cell>
          <cell r="C1549" t="str">
            <v>동일</v>
          </cell>
          <cell r="D1549">
            <v>4109000</v>
          </cell>
          <cell r="E1549">
            <v>3424000</v>
          </cell>
        </row>
        <row r="1550">
          <cell r="A1550" t="str">
            <v>P72-00321</v>
          </cell>
          <cell r="B1550" t="str">
            <v>Windows Svr Ent English Lic/SA Pack OLP NL</v>
          </cell>
          <cell r="C1550" t="str">
            <v>동일</v>
          </cell>
          <cell r="D1550">
            <v>5223000</v>
          </cell>
          <cell r="E1550">
            <v>4352000</v>
          </cell>
        </row>
        <row r="1551">
          <cell r="A1551" t="str">
            <v>P72-00323</v>
          </cell>
          <cell r="B1551" t="str">
            <v>Windows Svr Ent English SA OLP NL</v>
          </cell>
          <cell r="C1551" t="str">
            <v>동일</v>
          </cell>
          <cell r="D1551">
            <v>1742000</v>
          </cell>
          <cell r="E1551">
            <v>1451000</v>
          </cell>
        </row>
        <row r="1552">
          <cell r="A1552" t="str">
            <v>P72-00325</v>
          </cell>
          <cell r="B1552" t="str">
            <v>Windows Svr Ent English/MultiLang Lic/SA Pack OLP NL</v>
          </cell>
          <cell r="C1552" t="str">
            <v>동일</v>
          </cell>
          <cell r="D1552">
            <v>6164000</v>
          </cell>
          <cell r="E1552">
            <v>5136000</v>
          </cell>
        </row>
        <row r="1553">
          <cell r="A1553" t="str">
            <v>P72-00327</v>
          </cell>
          <cell r="B1553" t="str">
            <v>Windows Svr Ent English/MultiLang SA OLP NL</v>
          </cell>
          <cell r="C1553" t="str">
            <v>동일</v>
          </cell>
          <cell r="D1553">
            <v>2055000</v>
          </cell>
          <cell r="E1553">
            <v>1712000</v>
          </cell>
        </row>
        <row r="1554">
          <cell r="A1554" t="str">
            <v>R39-00292</v>
          </cell>
          <cell r="B1554" t="str">
            <v>Windows Svr ExtrnConn 2003 English OLP NL</v>
          </cell>
          <cell r="C1554" t="str">
            <v>동일</v>
          </cell>
          <cell r="D1554">
            <v>2237000</v>
          </cell>
          <cell r="E1554">
            <v>1864000</v>
          </cell>
        </row>
        <row r="1555">
          <cell r="A1555" t="str">
            <v>R39-00171</v>
          </cell>
          <cell r="B1555" t="str">
            <v>Windows Svr ExtrnConn English Lic/SA Pack OLP NL</v>
          </cell>
          <cell r="C1555" t="str">
            <v>동일</v>
          </cell>
          <cell r="D1555">
            <v>3356000</v>
          </cell>
          <cell r="E1555">
            <v>2796000</v>
          </cell>
        </row>
        <row r="1556">
          <cell r="A1556" t="str">
            <v>R39-00229</v>
          </cell>
          <cell r="B1556" t="str">
            <v>Windows Svr ExtrnConn English SA OLP NL</v>
          </cell>
          <cell r="C1556" t="str">
            <v>동일</v>
          </cell>
          <cell r="D1556">
            <v>1119000</v>
          </cell>
          <cell r="E1556">
            <v>932000</v>
          </cell>
        </row>
        <row r="1557">
          <cell r="A1557" t="str">
            <v>P73-00295</v>
          </cell>
          <cell r="B1557" t="str">
            <v>Windows Svr Std 2003 English OLP NL</v>
          </cell>
          <cell r="C1557" t="str">
            <v>동일</v>
          </cell>
          <cell r="D1557">
            <v>1073000</v>
          </cell>
          <cell r="E1557">
            <v>894000</v>
          </cell>
        </row>
        <row r="1558">
          <cell r="A1558" t="str">
            <v>P73-00278</v>
          </cell>
          <cell r="B1558" t="str">
            <v>Windows Svr Std 2003 English/MultiLang OLP NL</v>
          </cell>
          <cell r="C1558" t="str">
            <v>동일</v>
          </cell>
          <cell r="D1558">
            <v>1265000</v>
          </cell>
          <cell r="E1558">
            <v>1054000</v>
          </cell>
        </row>
        <row r="1559">
          <cell r="A1559" t="str">
            <v>P73-00352</v>
          </cell>
          <cell r="B1559" t="str">
            <v>Windows Svr Std English Lic/SA Pack OLP NL</v>
          </cell>
          <cell r="C1559" t="str">
            <v>동일</v>
          </cell>
          <cell r="D1559">
            <v>1608000</v>
          </cell>
          <cell r="E1559">
            <v>1340000</v>
          </cell>
        </row>
        <row r="1560">
          <cell r="A1560" t="str">
            <v>P73-00354</v>
          </cell>
          <cell r="B1560" t="str">
            <v>Windows Svr Std English SA OLP NL</v>
          </cell>
          <cell r="C1560" t="str">
            <v>동일</v>
          </cell>
          <cell r="D1560">
            <v>537000</v>
          </cell>
          <cell r="E1560">
            <v>447000</v>
          </cell>
        </row>
        <row r="1561">
          <cell r="A1561" t="str">
            <v>P73-00356</v>
          </cell>
          <cell r="B1561" t="str">
            <v>Windows Svr Std English/MultiLang Lic/SA Pack OLP NL</v>
          </cell>
          <cell r="C1561" t="str">
            <v>동일</v>
          </cell>
          <cell r="D1561">
            <v>1898000</v>
          </cell>
          <cell r="E1561">
            <v>1581000</v>
          </cell>
        </row>
        <row r="1562">
          <cell r="A1562" t="str">
            <v>P73-00358</v>
          </cell>
          <cell r="B1562" t="str">
            <v>Windows Svr Std English/MultiLang SA OLP NL</v>
          </cell>
          <cell r="C1562" t="str">
            <v>동일</v>
          </cell>
          <cell r="D1562">
            <v>633000</v>
          </cell>
          <cell r="E1562">
            <v>527000</v>
          </cell>
        </row>
      </sheetData>
      <sheetData sheetId="2" refreshError="1">
        <row r="1">
          <cell r="A1" t="str">
            <v>Microsoft 제품</v>
          </cell>
          <cell r="B1" t="str">
            <v>HP 지원서비스 없음</v>
          </cell>
          <cell r="E1" t="str">
            <v>설치 및 스타트업 서비스- MS Win OS-Win2003 Web edition</v>
          </cell>
        </row>
        <row r="2">
          <cell r="E2" t="str">
            <v>설치 및 스타트업 서비스- MS Win OS-Win2003 Std. Edition</v>
          </cell>
        </row>
        <row r="3">
          <cell r="E3" t="str">
            <v>설치 및 스타트업 서비스- MS Win OS-Win2003 Ent. edition</v>
          </cell>
        </row>
        <row r="4">
          <cell r="A4" t="str">
            <v>Linux 제품</v>
          </cell>
          <cell r="B4" t="str">
            <v>HP 지원서비스 없음</v>
          </cell>
          <cell r="C4" t="str">
            <v>U8156E</v>
          </cell>
          <cell r="E4" t="str">
            <v>근무시간 2시간내 전화지원- RedHat Ent Linux AS 2.1</v>
          </cell>
          <cell r="F4">
            <v>1552000</v>
          </cell>
        </row>
        <row r="5">
          <cell r="C5" t="str">
            <v>U8158E</v>
          </cell>
          <cell r="E5" t="str">
            <v xml:space="preserve">24X7  2시간내 전화지원- RedHat Ent Linux AS 2.1 </v>
          </cell>
          <cell r="F5">
            <v>4652000</v>
          </cell>
        </row>
        <row r="6">
          <cell r="C6" t="str">
            <v>U8160E</v>
          </cell>
          <cell r="E6" t="str">
            <v>근무시간 2시간내 전화지원- RedHat Ent Linux ES 2.1</v>
          </cell>
          <cell r="F6">
            <v>927000</v>
          </cell>
        </row>
        <row r="7">
          <cell r="C7" t="str">
            <v>U8162E</v>
          </cell>
          <cell r="E7" t="str">
            <v xml:space="preserve">24X7  2시간내 전화지원- RedHat Ent Linux ES 2.1 </v>
          </cell>
          <cell r="F7">
            <v>9606000</v>
          </cell>
        </row>
        <row r="8">
          <cell r="E8" t="str">
            <v>설치 및 스타트업 서비스- Linux Server OS</v>
          </cell>
        </row>
        <row r="9">
          <cell r="A9" t="str">
            <v xml:space="preserve">Proliant 400 </v>
          </cell>
          <cell r="B9" t="str">
            <v>3년 HW 익일방문 서비스</v>
          </cell>
          <cell r="E9" t="str">
            <v>보증기간후 1년 하드웨어 익일방문 서비스</v>
          </cell>
        </row>
        <row r="10">
          <cell r="B10" t="str">
            <v>(3-3-3)</v>
          </cell>
          <cell r="E10" t="str">
            <v>보증기간후 1년 하드웨어 근무시간 4시간내 방문 서비스</v>
          </cell>
        </row>
        <row r="11">
          <cell r="E11" t="str">
            <v>보증기간후 1년 하드웨어 24X7 4시간내 방문 서비스</v>
          </cell>
        </row>
        <row r="12">
          <cell r="E12" t="str">
            <v>보증기간후 1년 하드웨어 24X7 6시간내 복구완료 서비스</v>
          </cell>
        </row>
        <row r="13">
          <cell r="A13" t="str">
            <v>Proliant 1600</v>
          </cell>
          <cell r="B13" t="str">
            <v>3년 HW 익일방문 서비스</v>
          </cell>
          <cell r="E13" t="str">
            <v>보증기간후 1년 하드웨어 익일방문 서비스</v>
          </cell>
        </row>
        <row r="14">
          <cell r="B14" t="str">
            <v>(3-3-3)</v>
          </cell>
          <cell r="E14" t="str">
            <v>보증기간후 1년 하드웨어 근무시간 4시간내 방문 서비스</v>
          </cell>
        </row>
        <row r="15">
          <cell r="E15" t="str">
            <v>보증기간후 1년 하드웨어 24X7 4시간내 방문 서비스</v>
          </cell>
        </row>
        <row r="16">
          <cell r="E16" t="str">
            <v>보증기간후 1년 하드웨어 24X7 6시간내 복구완료 서비스</v>
          </cell>
        </row>
        <row r="17">
          <cell r="A17" t="str">
            <v>Proliant 1850R</v>
          </cell>
          <cell r="B17" t="str">
            <v>3년 HW 익일방문 서비스</v>
          </cell>
          <cell r="E17" t="str">
            <v>보증기간후 1년 하드웨어 익일방문 서비스</v>
          </cell>
        </row>
        <row r="18">
          <cell r="B18" t="str">
            <v>(3-3-3)</v>
          </cell>
          <cell r="E18" t="str">
            <v>보증기간후 1년 하드웨어 근무시간 4시간내 방문 서비스</v>
          </cell>
        </row>
        <row r="19">
          <cell r="E19" t="str">
            <v>보증기간후 1년 하드웨어 24X7 4시간내 방문 서비스</v>
          </cell>
        </row>
        <row r="20">
          <cell r="E20" t="str">
            <v>보증기간후 1년 하드웨어 24X7 6시간내 복구완료 서비스</v>
          </cell>
        </row>
        <row r="21">
          <cell r="A21" t="str">
            <v>Proliant 3000</v>
          </cell>
          <cell r="B21" t="str">
            <v>3년 HW 익일방문 서비스</v>
          </cell>
          <cell r="E21" t="str">
            <v>보증기간후 1년 하드웨어 익일방문 서비스</v>
          </cell>
        </row>
        <row r="22">
          <cell r="B22" t="str">
            <v>(3-3-3)</v>
          </cell>
          <cell r="E22" t="str">
            <v>보증기간후 1년 하드웨어 근무시간 4시간내 방문 서비스</v>
          </cell>
        </row>
        <row r="23">
          <cell r="E23" t="str">
            <v>보증기간후 1년 하드웨어 24X7 4시간내 방문 서비스</v>
          </cell>
        </row>
        <row r="24">
          <cell r="E24" t="str">
            <v>보증기간후 1년 하드웨어 24X7 6시간내 복구완료 서비스</v>
          </cell>
        </row>
        <row r="25">
          <cell r="A25" t="str">
            <v>Proliant 5500</v>
          </cell>
          <cell r="B25" t="str">
            <v>3년 HW 익일방문 서비스</v>
          </cell>
          <cell r="E25" t="str">
            <v>보증기간후 1년 하드웨어 익일방문 서비스</v>
          </cell>
        </row>
        <row r="26">
          <cell r="B26" t="str">
            <v>(3-3-3)</v>
          </cell>
          <cell r="E26" t="str">
            <v>보증기간후 1년 하드웨어 근무시간 4시간내 방문 서비스</v>
          </cell>
        </row>
        <row r="27">
          <cell r="E27" t="str">
            <v>보증기간후 1년 하드웨어 24X7 4시간내 방문 서비스</v>
          </cell>
        </row>
        <row r="28">
          <cell r="E28" t="str">
            <v>보증기간후 1년 하드웨어 24X7 6시간내 복구완료 서비스</v>
          </cell>
        </row>
        <row r="29">
          <cell r="A29" t="str">
            <v>Proliant 6000</v>
          </cell>
          <cell r="B29" t="str">
            <v>3년 HW 익일방문 서비스</v>
          </cell>
          <cell r="E29" t="str">
            <v>보증기간후 1년 하드웨어 익일방문 서비스</v>
          </cell>
        </row>
        <row r="30">
          <cell r="B30" t="str">
            <v>(3-3-3)</v>
          </cell>
          <cell r="E30" t="str">
            <v>보증기간후 1년 하드웨어 근무시간 4시간내 방문 서비스</v>
          </cell>
        </row>
        <row r="31">
          <cell r="E31" t="str">
            <v>보증기간후 1년 하드웨어 24X7 4시간내 방문 서비스</v>
          </cell>
        </row>
        <row r="32">
          <cell r="E32" t="str">
            <v>보증기간후 1년 하드웨어 24X7 6시간내 복구완료 서비스</v>
          </cell>
        </row>
        <row r="33">
          <cell r="A33" t="str">
            <v>Proliant 6400R</v>
          </cell>
          <cell r="B33" t="str">
            <v>3년 HW 익일방문 서비스</v>
          </cell>
          <cell r="E33" t="str">
            <v>보증기간후 1년 하드웨어 익일방문 서비스</v>
          </cell>
        </row>
        <row r="34">
          <cell r="B34" t="str">
            <v>(3-3-3)</v>
          </cell>
          <cell r="E34" t="str">
            <v>보증기간후 1년 하드웨어 근무시간 4시간내 방문 서비스</v>
          </cell>
        </row>
        <row r="35">
          <cell r="E35" t="str">
            <v>보증기간후 1년 하드웨어 24X7 4시간내 방문 서비스</v>
          </cell>
        </row>
        <row r="36">
          <cell r="E36" t="str">
            <v>보증기간후 1년 하드웨어 24X7 6시간내 복구완료 서비스</v>
          </cell>
        </row>
        <row r="37">
          <cell r="A37" t="str">
            <v>Proliant 6500</v>
          </cell>
          <cell r="B37" t="str">
            <v>3년 HW 익일방문 서비스</v>
          </cell>
          <cell r="E37" t="str">
            <v>보증기간후 1년 하드웨어 익일방문 서비스</v>
          </cell>
        </row>
        <row r="38">
          <cell r="B38" t="str">
            <v>(3-3-3)</v>
          </cell>
          <cell r="E38" t="str">
            <v>보증기간후 1년 하드웨어 근무시간 4시간내 방문 서비스</v>
          </cell>
        </row>
        <row r="39">
          <cell r="E39" t="str">
            <v>보증기간후 1년 하드웨어 24X7 4시간내 방문 서비스</v>
          </cell>
        </row>
        <row r="40">
          <cell r="E40" t="str">
            <v>보증기간후 1년 하드웨어 24X7 6시간내 복구완료 서비스</v>
          </cell>
        </row>
        <row r="41">
          <cell r="A41" t="str">
            <v>Proliant 7000</v>
          </cell>
          <cell r="B41" t="str">
            <v>3년 HW 익일방문 서비스</v>
          </cell>
          <cell r="E41" t="str">
            <v>보증기간후 1년 하드웨어 익일방문 서비스</v>
          </cell>
        </row>
        <row r="42">
          <cell r="B42" t="str">
            <v>(3-3-3)</v>
          </cell>
          <cell r="E42" t="str">
            <v>보증기간후 1년 하드웨어 근무시간 4시간내 방문 서비스</v>
          </cell>
        </row>
        <row r="43">
          <cell r="E43" t="str">
            <v>보증기간후 1년 하드웨어 24X7 4시간내 방문 서비스</v>
          </cell>
        </row>
        <row r="44">
          <cell r="E44" t="str">
            <v>보증기간후 1년 하드웨어 24X7 6시간내 복구완료 서비스</v>
          </cell>
        </row>
        <row r="45">
          <cell r="A45" t="str">
            <v>Proliant 8000</v>
          </cell>
          <cell r="B45" t="str">
            <v>3년 HW 익일방문 서비스</v>
          </cell>
          <cell r="E45" t="str">
            <v>보증기간후 1년 하드웨어 익일방문 서비스</v>
          </cell>
        </row>
        <row r="46">
          <cell r="B46" t="str">
            <v>(3-3-3)</v>
          </cell>
          <cell r="E46" t="str">
            <v>보증기간후 1년 하드웨어 근무시간 4시간내 방문 서비스</v>
          </cell>
        </row>
        <row r="47">
          <cell r="E47" t="str">
            <v>보증기간후 1년 하드웨어 24X7 4시간내 방문 서비스</v>
          </cell>
        </row>
        <row r="48">
          <cell r="E48" t="str">
            <v>보증기간후 1년 하드웨어 24X7 6시간내 복구완료 서비스</v>
          </cell>
        </row>
        <row r="49">
          <cell r="A49" t="str">
            <v>Proliant 8500</v>
          </cell>
          <cell r="B49" t="str">
            <v>3년 HW 익일방문 서비스</v>
          </cell>
          <cell r="E49" t="str">
            <v>보증기간후 1년 하드웨어 익일방문 서비스</v>
          </cell>
        </row>
        <row r="50">
          <cell r="B50" t="str">
            <v>(3-3-3)</v>
          </cell>
          <cell r="E50" t="str">
            <v>보증기간후 1년 하드웨어 근무시간 4시간내 방문 서비스</v>
          </cell>
        </row>
        <row r="51">
          <cell r="E51" t="str">
            <v>보증기간후 1년 하드웨어 24X7 4시간내 방문 서비스</v>
          </cell>
        </row>
        <row r="52">
          <cell r="E52" t="str">
            <v>보증기간후 1년 하드웨어 24X7 6시간내 복구완료 서비스</v>
          </cell>
        </row>
        <row r="53">
          <cell r="A53" t="str">
            <v>TC2120</v>
          </cell>
          <cell r="B53" t="str">
            <v>1년 HW 익일방문서비스</v>
          </cell>
          <cell r="E53" t="str">
            <v>보증기간후 1년 하드웨어 익일방문 서비스</v>
          </cell>
        </row>
        <row r="54">
          <cell r="B54" t="str">
            <v xml:space="preserve"> (1-1-1)</v>
          </cell>
          <cell r="E54" t="str">
            <v>보증기간후 1년 하드웨어 근무시간 4시간내 방문 서비스</v>
          </cell>
        </row>
        <row r="55">
          <cell r="E55" t="str">
            <v>보증기간후 1년 하드웨어 24X7 4시간내 방문 서비스</v>
          </cell>
        </row>
        <row r="56">
          <cell r="E56" t="str">
            <v>보증기간후 1년 하드웨어 24x7 6시간내 복구완료 서비스</v>
          </cell>
        </row>
        <row r="57">
          <cell r="A57" t="str">
            <v>ML110</v>
          </cell>
          <cell r="B57" t="str">
            <v>1년 HW 익일방문서비스</v>
          </cell>
          <cell r="C57" t="str">
            <v>U4433E</v>
          </cell>
          <cell r="E57" t="str">
            <v>하드웨어 익일방문 서비스</v>
          </cell>
          <cell r="F57">
            <v>181000</v>
          </cell>
        </row>
        <row r="58">
          <cell r="B58" t="str">
            <v xml:space="preserve"> (1-1-1)</v>
          </cell>
          <cell r="C58" t="str">
            <v>U4434E</v>
          </cell>
          <cell r="E58" t="str">
            <v>하드웨어 근무시간 4시간내 방문 서비스</v>
          </cell>
          <cell r="F58">
            <v>424000</v>
          </cell>
        </row>
        <row r="59">
          <cell r="C59" t="str">
            <v>U4435E</v>
          </cell>
          <cell r="E59" t="str">
            <v>하드웨어 24X7 4시간내 방문 서비스</v>
          </cell>
          <cell r="F59">
            <v>545000</v>
          </cell>
        </row>
        <row r="60">
          <cell r="C60" t="str">
            <v>U4436E</v>
          </cell>
          <cell r="E60" t="str">
            <v>하드웨어 24X7 6시간내 복구완료 서비스</v>
          </cell>
          <cell r="F60">
            <v>816000</v>
          </cell>
        </row>
        <row r="61">
          <cell r="E61" t="str">
            <v>보증기간후 1년 하드웨어 익일방문 서비스</v>
          </cell>
        </row>
        <row r="62">
          <cell r="E62" t="str">
            <v>보증기간후 1년 하드웨어 근무시간 4시간내 방문 서비스</v>
          </cell>
        </row>
        <row r="63">
          <cell r="E63" t="str">
            <v>보증기간후 1년 하드웨어 24X7 4시간내 방문 서비스</v>
          </cell>
        </row>
        <row r="64">
          <cell r="E64" t="str">
            <v>보증기간후 1년 하드웨어 24X7 6시간내 복구완료 서비스</v>
          </cell>
        </row>
        <row r="65">
          <cell r="E65" t="str">
            <v>ML110 설치 서비스</v>
          </cell>
        </row>
        <row r="66">
          <cell r="A66" t="str">
            <v>DL140, DL145</v>
          </cell>
          <cell r="B66" t="str">
            <v>1년간 부품만제공(1-0-0)</v>
          </cell>
          <cell r="C66" t="str">
            <v>U9508E</v>
          </cell>
          <cell r="E66" t="str">
            <v>하드웨어 익일 방문 서비스</v>
          </cell>
          <cell r="F66">
            <v>194000</v>
          </cell>
        </row>
        <row r="67">
          <cell r="C67" t="str">
            <v>U9509E</v>
          </cell>
          <cell r="E67" t="str">
            <v>하드웨어 근무시간 4시간내 방문 서비스</v>
          </cell>
          <cell r="F67">
            <v>366000</v>
          </cell>
        </row>
        <row r="68">
          <cell r="C68" t="str">
            <v>U9510E</v>
          </cell>
          <cell r="E68" t="str">
            <v>하드웨어 24X7 4시간내 방문 서비스</v>
          </cell>
          <cell r="F68">
            <v>538000</v>
          </cell>
        </row>
        <row r="69">
          <cell r="C69" t="str">
            <v>U9511E</v>
          </cell>
          <cell r="E69" t="str">
            <v>하드웨어 24X7 6시간내 복구완료 서비스</v>
          </cell>
          <cell r="F69">
            <v>760000</v>
          </cell>
        </row>
        <row r="70">
          <cell r="E70" t="str">
            <v>DL140 또는 DL145 설치 서비스</v>
          </cell>
        </row>
        <row r="71">
          <cell r="A71" t="str">
            <v>ML150</v>
          </cell>
          <cell r="B71" t="str">
            <v>1년 HW 익일방문서비스</v>
          </cell>
          <cell r="C71" t="str">
            <v>U8184E</v>
          </cell>
          <cell r="E71" t="str">
            <v>하드웨어 익일방문 서비스</v>
          </cell>
          <cell r="F71">
            <v>171000</v>
          </cell>
        </row>
        <row r="72">
          <cell r="B72" t="str">
            <v xml:space="preserve">,그 후 2년간 부품만지원 </v>
          </cell>
          <cell r="C72" t="str">
            <v>U8192E</v>
          </cell>
          <cell r="E72" t="str">
            <v>하드웨어 근무시간 4시간내 방문 서비스</v>
          </cell>
          <cell r="F72">
            <v>400000</v>
          </cell>
        </row>
        <row r="73">
          <cell r="B73" t="str">
            <v xml:space="preserve"> (3-1-1)</v>
          </cell>
          <cell r="C73" t="str">
            <v>U8193E</v>
          </cell>
          <cell r="E73" t="str">
            <v>하드웨어 24X7 4시간내 방문 서비스</v>
          </cell>
          <cell r="F73">
            <v>514000</v>
          </cell>
        </row>
        <row r="74">
          <cell r="C74" t="str">
            <v>U8194E</v>
          </cell>
          <cell r="E74" t="str">
            <v>하드웨어 24X7 6시간내 복구완료 서비스</v>
          </cell>
          <cell r="F74">
            <v>769000</v>
          </cell>
        </row>
        <row r="75">
          <cell r="E75" t="str">
            <v>서포트플러스 Microsoft OS 프로라이언트서버용</v>
          </cell>
        </row>
        <row r="76">
          <cell r="E76" t="str">
            <v>보증기간후 1년 하드웨어 익일방문 서비스</v>
          </cell>
        </row>
        <row r="77">
          <cell r="E77" t="str">
            <v>보증기간후 1년 하드웨어 근무시간 4시간내 방문 서비스</v>
          </cell>
        </row>
        <row r="78">
          <cell r="E78" t="str">
            <v>보증기간후 1년 하드웨어 24X7 4시간내 방문 서비스</v>
          </cell>
        </row>
        <row r="79">
          <cell r="E79" t="str">
            <v>보증기간후 1년 하드웨어 24X7 6시간내 복구완료 서비스</v>
          </cell>
        </row>
        <row r="80">
          <cell r="E80" t="str">
            <v>ML150 설치 서비스</v>
          </cell>
        </row>
        <row r="81">
          <cell r="A81" t="str">
            <v xml:space="preserve"> DL320</v>
          </cell>
          <cell r="B81" t="str">
            <v>322544-372 (DL320 G2) :</v>
          </cell>
          <cell r="C81" t="str">
            <v>U4479E</v>
          </cell>
          <cell r="E81" t="str">
            <v>하드웨어 익일방문 서비스</v>
          </cell>
          <cell r="F81">
            <v>228000</v>
          </cell>
        </row>
        <row r="82">
          <cell r="B82" t="str">
            <v>3년 HW 익일방문 서비스</v>
          </cell>
          <cell r="C82" t="str">
            <v>U4480E</v>
          </cell>
          <cell r="E82" t="str">
            <v>하드웨어 근무시간 4시간내 방문 서비스</v>
          </cell>
          <cell r="F82">
            <v>353000</v>
          </cell>
        </row>
        <row r="83">
          <cell r="B83" t="str">
            <v>(3-3-3)</v>
          </cell>
          <cell r="C83" t="str">
            <v>U4481E</v>
          </cell>
          <cell r="E83" t="str">
            <v>하드웨어 24X7 4시간내 방문 서비스</v>
          </cell>
          <cell r="F83">
            <v>600000</v>
          </cell>
        </row>
        <row r="84">
          <cell r="B84" t="str">
            <v xml:space="preserve">254823-372, 254824-372 </v>
          </cell>
          <cell r="C84" t="str">
            <v>U4482E</v>
          </cell>
          <cell r="E84" t="str">
            <v>하드웨어 24X7 6시간내 복구완료 서비스</v>
          </cell>
          <cell r="F84">
            <v>1085000</v>
          </cell>
        </row>
        <row r="85">
          <cell r="B85" t="str">
            <v>(DL320R01) : 1년간 HW</v>
          </cell>
          <cell r="C85" t="str">
            <v>U4492E</v>
          </cell>
          <cell r="E85" t="str">
            <v>서포트플러스 Microsoft OS 프로라이언트서버용</v>
          </cell>
          <cell r="F85">
            <v>1676000</v>
          </cell>
        </row>
        <row r="86">
          <cell r="B86" t="str">
            <v>익일방문서비스, 그 후</v>
          </cell>
          <cell r="C86" t="str">
            <v>U4493E</v>
          </cell>
          <cell r="E86" t="str">
            <v>서포트플러스24 Microsoft OS 프로라이언트서버용</v>
          </cell>
          <cell r="F86">
            <v>2703000</v>
          </cell>
        </row>
        <row r="87">
          <cell r="B87" t="str">
            <v>2년간 부품만지원(3-1-1)</v>
          </cell>
          <cell r="E87" t="str">
            <v>프로라이언트서버 설치 및 스타트업 서비스</v>
          </cell>
        </row>
        <row r="88">
          <cell r="E88" t="str">
            <v>프로라이언트서버 설치 서비스</v>
          </cell>
        </row>
        <row r="89">
          <cell r="E89" t="str">
            <v>보증기간후 1년 하드웨어 익일방문 서비스</v>
          </cell>
        </row>
        <row r="90">
          <cell r="E90" t="str">
            <v>보증기간후 1년 하드웨어 근무시간 4시간내 방문 서비스</v>
          </cell>
        </row>
        <row r="91">
          <cell r="E91" t="str">
            <v>보증기간후 1년 하드웨어 24X7 4시간내 방문 서비스</v>
          </cell>
        </row>
        <row r="92">
          <cell r="E92" t="str">
            <v>보증기간후 1년 하드웨어 24x7 6시간내 복구완료 서비스</v>
          </cell>
        </row>
        <row r="93">
          <cell r="A93" t="str">
            <v xml:space="preserve"> ML330</v>
          </cell>
          <cell r="B93" t="str">
            <v>317821-372, 323138-372</v>
          </cell>
          <cell r="C93" t="str">
            <v>U4462E</v>
          </cell>
          <cell r="E93" t="str">
            <v>하드웨어 익일방문 서비스</v>
          </cell>
          <cell r="F93">
            <v>228000</v>
          </cell>
        </row>
        <row r="94">
          <cell r="B94" t="str">
            <v>(ML330G3):</v>
          </cell>
          <cell r="C94" t="str">
            <v>U4463E</v>
          </cell>
          <cell r="E94" t="str">
            <v>3년 하드웨어 근무시간 4시간내 방문 서비스</v>
          </cell>
          <cell r="F94">
            <v>353000</v>
          </cell>
        </row>
        <row r="95">
          <cell r="B95" t="str">
            <v>3년 HW 익일방문 서비스</v>
          </cell>
          <cell r="C95" t="str">
            <v>U4464E</v>
          </cell>
          <cell r="E95" t="str">
            <v>3년 하드웨어 24X7 4시간내 방문 서비스</v>
          </cell>
          <cell r="F95">
            <v>600000</v>
          </cell>
        </row>
        <row r="96">
          <cell r="B96" t="str">
            <v>(3-3-3)</v>
          </cell>
          <cell r="C96" t="str">
            <v>U4465E</v>
          </cell>
          <cell r="E96" t="str">
            <v>3년 하드웨어 24X7 6시간내 복구완료 서비스</v>
          </cell>
          <cell r="F96">
            <v>1085000</v>
          </cell>
        </row>
        <row r="97">
          <cell r="B97" t="str">
            <v>157797-042, 157797-051</v>
          </cell>
          <cell r="C97" t="str">
            <v>U4475E</v>
          </cell>
          <cell r="E97" t="str">
            <v>3년 서포트플러스 Microsoft OS 프로라이언트서버용</v>
          </cell>
          <cell r="F97">
            <v>1676000</v>
          </cell>
        </row>
        <row r="98">
          <cell r="B98" t="str">
            <v>(ML330T01), 267622-372,</v>
          </cell>
          <cell r="C98" t="str">
            <v>U4476E</v>
          </cell>
          <cell r="E98" t="str">
            <v>3년 서포트플러스24 Microsoft OS 프로라이언트서버용</v>
          </cell>
          <cell r="F98">
            <v>2703000</v>
          </cell>
        </row>
        <row r="99">
          <cell r="B99" t="str">
            <v xml:space="preserve">267621-372 (ML330T02) : </v>
          </cell>
          <cell r="E99" t="str">
            <v>프로라이언트서버 설치 및 스타트업 서비스</v>
          </cell>
        </row>
        <row r="100">
          <cell r="B100" t="str">
            <v>1년 HW 익일방문 서비스</v>
          </cell>
          <cell r="E100" t="str">
            <v>프로라이언트서버 설치 서비스</v>
          </cell>
        </row>
        <row r="101">
          <cell r="B101" t="str">
            <v>(1-1-1)</v>
          </cell>
          <cell r="E101" t="str">
            <v>보증기간후 1년 하드웨어 익일방문 서비스</v>
          </cell>
        </row>
        <row r="102">
          <cell r="E102" t="str">
            <v>보증기간후 1년 하드웨어 근무시간 4시간내 방문 서비스</v>
          </cell>
        </row>
        <row r="103">
          <cell r="E103" t="str">
            <v>보증기간후 1년 하드웨어 24X7 4시간내 방문 서비스</v>
          </cell>
        </row>
        <row r="104">
          <cell r="E104" t="str">
            <v>보증기간후 1년 하드웨어 24x7 6시간내 복구완료 서비스</v>
          </cell>
        </row>
        <row r="105">
          <cell r="A105" t="str">
            <v xml:space="preserve"> ML350</v>
          </cell>
          <cell r="B105" t="str">
            <v>3년 HW 익일방문 서비스</v>
          </cell>
          <cell r="C105" t="str">
            <v>U4512E</v>
          </cell>
          <cell r="E105" t="str">
            <v>하드웨어 근무시간 4시간내 방문 서비스</v>
          </cell>
          <cell r="F105">
            <v>353000</v>
          </cell>
        </row>
        <row r="106">
          <cell r="B106" t="str">
            <v>(3-3-3)</v>
          </cell>
          <cell r="C106" t="str">
            <v>U4513E</v>
          </cell>
          <cell r="E106" t="str">
            <v>하드웨어 24X7 4시간내 방문 서비스</v>
          </cell>
          <cell r="F106">
            <v>600000</v>
          </cell>
        </row>
        <row r="107">
          <cell r="C107" t="str">
            <v>U4514E</v>
          </cell>
          <cell r="E107" t="str">
            <v>하드웨어 24X7 6시간내 복구완료 서비스</v>
          </cell>
          <cell r="F107">
            <v>1085000</v>
          </cell>
        </row>
        <row r="108">
          <cell r="C108" t="str">
            <v>U4524E</v>
          </cell>
          <cell r="E108" t="str">
            <v>서포트플러스 Microsoft OS 프로라이언트서버용</v>
          </cell>
          <cell r="F108">
            <v>1676000</v>
          </cell>
        </row>
        <row r="109">
          <cell r="C109" t="str">
            <v>U4525E</v>
          </cell>
          <cell r="E109" t="str">
            <v>서포트플러스24 Microsoft OS 프로라이언트서버용</v>
          </cell>
          <cell r="F109">
            <v>2703000</v>
          </cell>
        </row>
        <row r="110">
          <cell r="E110" t="str">
            <v>프로라이언트서버 설치 및 스타트업 서비스</v>
          </cell>
        </row>
        <row r="111">
          <cell r="E111" t="str">
            <v>프로라이언트서버 설치 서비스</v>
          </cell>
        </row>
        <row r="112">
          <cell r="E112" t="str">
            <v>보증기간후 1년 하드웨어 익일방문 서비스</v>
          </cell>
        </row>
        <row r="113">
          <cell r="E113" t="str">
            <v>보증기간후 1년 하드웨어 근무시간 4시간내 방문 서비스</v>
          </cell>
        </row>
        <row r="114">
          <cell r="E114" t="str">
            <v>보증기간후 1년 하드웨어 24X7 4시간내 방문 서비스</v>
          </cell>
        </row>
        <row r="115">
          <cell r="E115" t="str">
            <v>보증기간후 1년 하드웨어 24x7 6시간내 복구완료 서비스</v>
          </cell>
        </row>
        <row r="116">
          <cell r="A116" t="str">
            <v xml:space="preserve"> DL360</v>
          </cell>
          <cell r="B116" t="str">
            <v>3년 HW 익일방문 서비스</v>
          </cell>
          <cell r="C116" t="str">
            <v>U4496E</v>
          </cell>
          <cell r="E116" t="str">
            <v>하드웨어 근무시간 4시간내 방문 서비스</v>
          </cell>
          <cell r="F116">
            <v>722000</v>
          </cell>
        </row>
        <row r="117">
          <cell r="B117" t="str">
            <v>(3-3-3)</v>
          </cell>
          <cell r="C117" t="str">
            <v>U4497E</v>
          </cell>
          <cell r="E117" t="str">
            <v>하드웨어 24X7 4시간내 방문 서비스</v>
          </cell>
          <cell r="F117">
            <v>982000</v>
          </cell>
        </row>
        <row r="118">
          <cell r="C118" t="str">
            <v>U4498E</v>
          </cell>
          <cell r="E118" t="str">
            <v>하드웨어 24X7 6시간내 복구완료 서비스</v>
          </cell>
          <cell r="F118">
            <v>1716000</v>
          </cell>
        </row>
        <row r="119">
          <cell r="C119" t="str">
            <v>U4508E</v>
          </cell>
          <cell r="E119" t="str">
            <v>서포트플러스 Microsoft OS 프로라이언트서버용</v>
          </cell>
          <cell r="F119">
            <v>1963000</v>
          </cell>
        </row>
        <row r="120">
          <cell r="C120" t="str">
            <v>U4509E</v>
          </cell>
          <cell r="E120" t="str">
            <v>서포트플러스24 Microsoft OS 프로라이언트서버용</v>
          </cell>
          <cell r="F120">
            <v>3237000</v>
          </cell>
        </row>
        <row r="121">
          <cell r="E121" t="str">
            <v>프로라이언트서버 설치 및 스타트업 서비스</v>
          </cell>
        </row>
        <row r="122">
          <cell r="E122" t="str">
            <v>프로라이언트서버 설치 서비스</v>
          </cell>
        </row>
        <row r="123">
          <cell r="E123" t="str">
            <v>보증기간후 1년 하드웨어 익일방문 서비스</v>
          </cell>
        </row>
        <row r="124">
          <cell r="E124" t="str">
            <v>보증기간후 1년 하드웨어 근무시간 4시간내 방문 서비스</v>
          </cell>
        </row>
        <row r="125">
          <cell r="E125" t="str">
            <v>보증기간후 1년 하드웨어 24X7 4시간내 방문 서비스</v>
          </cell>
        </row>
        <row r="126">
          <cell r="E126" t="str">
            <v>보증기간후 1년 하드웨어 24x7 6시간내 복구완료 서비스</v>
          </cell>
        </row>
        <row r="127">
          <cell r="A127" t="str">
            <v xml:space="preserve"> ML370</v>
          </cell>
          <cell r="B127" t="str">
            <v>3년 HW 익일방문 서비스</v>
          </cell>
          <cell r="C127" t="str">
            <v>U4528E</v>
          </cell>
          <cell r="E127" t="str">
            <v>하드웨어 근무시간 4시간내 방문 서비스</v>
          </cell>
          <cell r="F127">
            <v>722000</v>
          </cell>
        </row>
        <row r="128">
          <cell r="B128" t="str">
            <v>(3-3-3)</v>
          </cell>
          <cell r="C128" t="str">
            <v>U4529E</v>
          </cell>
          <cell r="E128" t="str">
            <v>하드웨어 24X7 4시간내 방문 서비스</v>
          </cell>
          <cell r="F128">
            <v>982000</v>
          </cell>
        </row>
        <row r="129">
          <cell r="C129" t="str">
            <v>U4530E</v>
          </cell>
          <cell r="E129" t="str">
            <v>하드웨어 24X7 6시간내 복구완료 서비스</v>
          </cell>
          <cell r="F129">
            <v>1716000</v>
          </cell>
        </row>
        <row r="130">
          <cell r="C130" t="str">
            <v>U4540E</v>
          </cell>
          <cell r="E130" t="str">
            <v>서포트플러스 Microsoft OS 프로라이언트서버용</v>
          </cell>
          <cell r="F130">
            <v>1963000</v>
          </cell>
        </row>
        <row r="131">
          <cell r="C131" t="str">
            <v>U4541E</v>
          </cell>
          <cell r="E131" t="str">
            <v>서포트플러스24 Microsoft OS 프로라이언트서버용</v>
          </cell>
          <cell r="F131">
            <v>3237000</v>
          </cell>
        </row>
        <row r="132">
          <cell r="E132" t="str">
            <v>프로라이언트서버 설치 및 스타트업 서비스</v>
          </cell>
        </row>
        <row r="133">
          <cell r="E133" t="str">
            <v>프로라이언트서버 설치 서비스</v>
          </cell>
        </row>
        <row r="134">
          <cell r="E134" t="str">
            <v>보증기간후 1년 하드웨어 익일방문 서비스</v>
          </cell>
        </row>
        <row r="135">
          <cell r="E135" t="str">
            <v>보증기간후 1년 하드웨어 근무시간 4시간내 방문 서비스</v>
          </cell>
        </row>
        <row r="136">
          <cell r="E136" t="str">
            <v>보증기간후 1년 하드웨어 24X7 4시간내 방문 서비스</v>
          </cell>
        </row>
        <row r="137">
          <cell r="E137" t="str">
            <v>보증기간후 1년 하드웨어 24x7 6시간내 복구완료 서비스</v>
          </cell>
        </row>
        <row r="138">
          <cell r="A138" t="str">
            <v xml:space="preserve"> DL380</v>
          </cell>
          <cell r="B138" t="str">
            <v>3년 HW 익일방문 서비스</v>
          </cell>
          <cell r="C138" t="str">
            <v>U4544E</v>
          </cell>
          <cell r="E138" t="str">
            <v>하드웨어 근무시간 4시간내 방문 서비스</v>
          </cell>
          <cell r="F138">
            <v>722000</v>
          </cell>
        </row>
        <row r="139">
          <cell r="B139" t="str">
            <v>(3-3-3)</v>
          </cell>
          <cell r="C139" t="str">
            <v>U4545E</v>
          </cell>
          <cell r="E139" t="str">
            <v>하드웨어 24X7 4시간내 방문 서비스</v>
          </cell>
          <cell r="F139">
            <v>982000</v>
          </cell>
        </row>
        <row r="140">
          <cell r="C140" t="str">
            <v>U4546E</v>
          </cell>
          <cell r="E140" t="str">
            <v>하드웨어 24X7 6시간내 복구완료 서비스</v>
          </cell>
          <cell r="F140">
            <v>1716000</v>
          </cell>
        </row>
        <row r="141">
          <cell r="C141" t="str">
            <v>U4556E</v>
          </cell>
          <cell r="E141" t="str">
            <v>서포트플러스 Microsoft OS 프로라이언트서버용</v>
          </cell>
          <cell r="F141">
            <v>1963000</v>
          </cell>
        </row>
        <row r="142">
          <cell r="C142" t="str">
            <v>U4557E</v>
          </cell>
          <cell r="E142" t="str">
            <v>서포트플러스24 Microsoft OS 프로라이언트서버용</v>
          </cell>
          <cell r="F142">
            <v>3237000</v>
          </cell>
        </row>
        <row r="143">
          <cell r="E143" t="str">
            <v>프로라이언트서버 설치 및 스타트업 서비스</v>
          </cell>
        </row>
        <row r="144">
          <cell r="E144" t="str">
            <v>프로라이언트서버 설치 서비스</v>
          </cell>
        </row>
        <row r="145">
          <cell r="E145" t="str">
            <v>보증기간후 1년 하드웨어 익일방문 서비스</v>
          </cell>
        </row>
        <row r="146">
          <cell r="E146" t="str">
            <v>보증기간후 1년 하드웨어 근무시간 4시간내 방문 서비스</v>
          </cell>
        </row>
        <row r="147">
          <cell r="E147" t="str">
            <v>보증기간후 1년 하드웨어 24X7 4시간내 방문 서비스</v>
          </cell>
        </row>
        <row r="148">
          <cell r="E148" t="str">
            <v>보증기간후 1년 하드웨어 24x7 6시간내 복구완료 서비스</v>
          </cell>
        </row>
        <row r="149">
          <cell r="A149" t="str">
            <v xml:space="preserve"> DL380</v>
          </cell>
          <cell r="B149" t="str">
            <v>3년 HW 익일방문 서비스</v>
          </cell>
          <cell r="C149" t="str">
            <v>U4560E</v>
          </cell>
          <cell r="E149" t="str">
            <v>하드웨어 근무시간 4시간내 방문 서비스</v>
          </cell>
          <cell r="F149">
            <v>2089000</v>
          </cell>
        </row>
        <row r="150">
          <cell r="A150" t="str">
            <v>Packaged Cluster</v>
          </cell>
          <cell r="B150" t="str">
            <v>(3-3-3)</v>
          </cell>
          <cell r="C150" t="str">
            <v>U4561E</v>
          </cell>
          <cell r="E150" t="str">
            <v>하드웨어 24X7 4시간내 방문 서비스</v>
          </cell>
          <cell r="F150">
            <v>2870000</v>
          </cell>
        </row>
        <row r="151">
          <cell r="C151" t="str">
            <v>U4562E</v>
          </cell>
          <cell r="E151" t="str">
            <v>하드웨어 24X7 6시간내 복구완료 서비스</v>
          </cell>
          <cell r="F151">
            <v>4517000</v>
          </cell>
        </row>
        <row r="152">
          <cell r="C152" t="str">
            <v>U4571E</v>
          </cell>
          <cell r="E152" t="str">
            <v>서포트플러스 Microsoft OS 프로라이언트서버용</v>
          </cell>
          <cell r="F152">
            <v>2657000</v>
          </cell>
        </row>
        <row r="153">
          <cell r="C153" t="str">
            <v>U4572E</v>
          </cell>
          <cell r="E153" t="str">
            <v>서포트플러스24 Microsoft OS 프로라이언트서버용</v>
          </cell>
          <cell r="F153">
            <v>4930000</v>
          </cell>
        </row>
        <row r="154">
          <cell r="E154" t="str">
            <v>프로라이언트서버 설치 서비스</v>
          </cell>
        </row>
        <row r="155">
          <cell r="E155" t="str">
            <v>프로라이언트서버 설치 및 스타트업 서비스</v>
          </cell>
        </row>
        <row r="156">
          <cell r="E156" t="str">
            <v>보증기간후 1년 하드웨어 익일방문 서비스</v>
          </cell>
        </row>
        <row r="157">
          <cell r="E157" t="str">
            <v>보증기간후 1년 하드웨어 근무시간 4시간내 방문 서비스</v>
          </cell>
        </row>
        <row r="158">
          <cell r="E158" t="str">
            <v>보증기간후 1년 하드웨어 24X7 4시간내 방문 서비스</v>
          </cell>
        </row>
        <row r="159">
          <cell r="E159" t="str">
            <v>보증기간후 1년 하드웨어 24x7 6시간내 복구완료 서비스</v>
          </cell>
        </row>
        <row r="160">
          <cell r="A160" t="str">
            <v xml:space="preserve"> ML530</v>
          </cell>
          <cell r="B160" t="str">
            <v>3년 HW 익일방문 서비스</v>
          </cell>
          <cell r="C160" t="str">
            <v>U4575E</v>
          </cell>
          <cell r="E160" t="str">
            <v>하드웨어 근무시간 4시간내 방문 서비스</v>
          </cell>
          <cell r="F160">
            <v>1372000</v>
          </cell>
        </row>
        <row r="161">
          <cell r="B161" t="str">
            <v>(3-3-3)</v>
          </cell>
          <cell r="C161" t="str">
            <v>U4576E</v>
          </cell>
          <cell r="E161" t="str">
            <v>하드웨어 24X7 4시간내 방문 서비스</v>
          </cell>
          <cell r="F161">
            <v>1923000</v>
          </cell>
        </row>
        <row r="162">
          <cell r="C162" t="str">
            <v>U4577E</v>
          </cell>
          <cell r="E162" t="str">
            <v>하드웨어 24X7 6시간내 복구완료 서비스</v>
          </cell>
          <cell r="F162">
            <v>3225000</v>
          </cell>
        </row>
        <row r="163">
          <cell r="C163" t="str">
            <v>U4587E</v>
          </cell>
          <cell r="E163" t="str">
            <v>서포트플러스 Microsoft OS 프로라이언트서버용</v>
          </cell>
          <cell r="F163">
            <v>2278000</v>
          </cell>
        </row>
        <row r="164">
          <cell r="C164" t="str">
            <v>U4588E</v>
          </cell>
          <cell r="E164" t="str">
            <v>서포트플러스24 Microsoft OS 프로라이언트서버용</v>
          </cell>
          <cell r="F164">
            <v>4155000</v>
          </cell>
        </row>
        <row r="165">
          <cell r="E165" t="str">
            <v>프로라이언트서버 설치 및 스타트업 서비스</v>
          </cell>
        </row>
        <row r="166">
          <cell r="E166" t="str">
            <v>프로라이언트서버 설치 서비스</v>
          </cell>
        </row>
        <row r="167">
          <cell r="E167" t="str">
            <v>보증기간후 1년 하드웨어 익일방문 서비스</v>
          </cell>
        </row>
        <row r="168">
          <cell r="E168" t="str">
            <v>보증기간후 1년 하드웨어 근무시간 4시간내 방문 서비스</v>
          </cell>
        </row>
        <row r="169">
          <cell r="E169" t="str">
            <v>보증기간후 1년 하드웨어 24X7 4시간내 방문 서비스</v>
          </cell>
        </row>
        <row r="170">
          <cell r="E170" t="str">
            <v>보증기간후 1년 하드웨어 24x7 6시간내 복구완료 서비스</v>
          </cell>
        </row>
        <row r="171">
          <cell r="A171" t="str">
            <v xml:space="preserve"> ML570</v>
          </cell>
          <cell r="B171" t="str">
            <v>3년 HW 익일방문 서비스</v>
          </cell>
          <cell r="C171" t="str">
            <v>U4591E</v>
          </cell>
          <cell r="E171" t="str">
            <v>하드웨어 근무시간 4시간내 방문 서비스</v>
          </cell>
          <cell r="F171">
            <v>1372000</v>
          </cell>
        </row>
        <row r="172">
          <cell r="B172" t="str">
            <v>(3-3-3)</v>
          </cell>
          <cell r="C172" t="str">
            <v>U4592E</v>
          </cell>
          <cell r="E172" t="str">
            <v>하드웨어 24X7 4시간내 방문 서비스</v>
          </cell>
          <cell r="F172">
            <v>1923000</v>
          </cell>
        </row>
        <row r="173">
          <cell r="C173" t="str">
            <v>U4593E</v>
          </cell>
          <cell r="E173" t="str">
            <v>하드웨어 24X7 6시간내 복구완료 서비스</v>
          </cell>
          <cell r="F173">
            <v>3225000</v>
          </cell>
        </row>
        <row r="174">
          <cell r="C174" t="str">
            <v>U4603E</v>
          </cell>
          <cell r="E174" t="str">
            <v>서포트플러스 Microsoft OS 프로라이언트서버용</v>
          </cell>
          <cell r="F174">
            <v>2278000</v>
          </cell>
        </row>
        <row r="175">
          <cell r="C175" t="str">
            <v>U4604E</v>
          </cell>
          <cell r="E175" t="str">
            <v>서포트플러스24 Microsoft OS 프로라이언트서버용</v>
          </cell>
          <cell r="F175">
            <v>4155000</v>
          </cell>
        </row>
        <row r="176">
          <cell r="E176" t="str">
            <v>프로라이언트서버 설치 및 스타트업 서비스</v>
          </cell>
        </row>
        <row r="177">
          <cell r="E177" t="str">
            <v>프로라이언트서버 설치 서비스</v>
          </cell>
        </row>
        <row r="178">
          <cell r="E178" t="str">
            <v>보증기간후 1년 하드웨어 익일방문 서비스</v>
          </cell>
        </row>
        <row r="179">
          <cell r="E179" t="str">
            <v>보증기간후 1년 하드웨어 근무시간 4시간내 방문 서비스</v>
          </cell>
        </row>
        <row r="180">
          <cell r="E180" t="str">
            <v>보증기간후 1년 하드웨어 24X7 4시간내 방문 서비스</v>
          </cell>
        </row>
        <row r="181">
          <cell r="E181" t="str">
            <v>보증기간후 1년 하드웨어 24x7 6시간내 복구완료 서비스</v>
          </cell>
        </row>
        <row r="182">
          <cell r="A182" t="str">
            <v xml:space="preserve"> DL560</v>
          </cell>
          <cell r="B182" t="str">
            <v>3년 HW 익일방문 서비스</v>
          </cell>
          <cell r="C182" t="str">
            <v>U4697E</v>
          </cell>
          <cell r="E182" t="str">
            <v>하드웨어 근무시간 4시간내 방문 서비스</v>
          </cell>
          <cell r="F182">
            <v>1372000</v>
          </cell>
        </row>
        <row r="183">
          <cell r="B183" t="str">
            <v>(3-3-3)</v>
          </cell>
          <cell r="C183" t="str">
            <v>U4698E</v>
          </cell>
          <cell r="E183" t="str">
            <v>하드웨어 24X7 4시간내 방문 서비스</v>
          </cell>
          <cell r="F183">
            <v>1923000</v>
          </cell>
        </row>
        <row r="184">
          <cell r="C184" t="str">
            <v>U4699E</v>
          </cell>
          <cell r="E184" t="str">
            <v>하드웨어 24X7 6시간내 복구완료 서비스</v>
          </cell>
          <cell r="F184">
            <v>3225000</v>
          </cell>
        </row>
        <row r="185">
          <cell r="C185" t="str">
            <v>U4709E</v>
          </cell>
          <cell r="E185" t="str">
            <v>서포트플러스 Microsoft OS 프로라이언트서버용</v>
          </cell>
          <cell r="F185">
            <v>2278000</v>
          </cell>
        </row>
        <row r="186">
          <cell r="C186" t="str">
            <v>U4710E</v>
          </cell>
          <cell r="E186" t="str">
            <v>서포트플러스24 Microsoft OS 프로라이언트서버용</v>
          </cell>
          <cell r="F186">
            <v>4155000</v>
          </cell>
        </row>
        <row r="187">
          <cell r="E187" t="str">
            <v>프로라이언트서버 설치 및 스타트업 서비스</v>
          </cell>
        </row>
        <row r="188">
          <cell r="E188" t="str">
            <v>프로라이언트서버 설치 서비스</v>
          </cell>
        </row>
        <row r="189">
          <cell r="E189" t="str">
            <v>보증기간후 1년 하드웨어 익일방문 서비스</v>
          </cell>
        </row>
        <row r="190">
          <cell r="E190" t="str">
            <v>보증기간후 1년 하드웨어 근무시간 4시간내 방문 서비스</v>
          </cell>
        </row>
        <row r="191">
          <cell r="E191" t="str">
            <v>보증기간후 1년 하드웨어 24X7 4시간내 방문 서비스</v>
          </cell>
        </row>
        <row r="192">
          <cell r="E192" t="str">
            <v>보증기간후 1년 하드웨어 24x7 6시간내 복구완료 서비스</v>
          </cell>
        </row>
        <row r="193">
          <cell r="A193" t="str">
            <v xml:space="preserve"> DL580</v>
          </cell>
          <cell r="B193" t="str">
            <v>3년 HW 익일방문 서비스</v>
          </cell>
          <cell r="C193" t="str">
            <v>U4607E</v>
          </cell>
          <cell r="E193" t="str">
            <v>하드웨어 근무시간 4시간내 방문 서비스</v>
          </cell>
          <cell r="F193">
            <v>1372000</v>
          </cell>
        </row>
        <row r="194">
          <cell r="A194" t="str">
            <v>DL585</v>
          </cell>
          <cell r="B194" t="str">
            <v>(3-3-3)</v>
          </cell>
          <cell r="C194" t="str">
            <v>U4608E</v>
          </cell>
          <cell r="E194" t="str">
            <v>하드웨어 24X7 4시간내 방문 서비스</v>
          </cell>
          <cell r="F194">
            <v>1923000</v>
          </cell>
        </row>
        <row r="195">
          <cell r="C195" t="str">
            <v>U4609E</v>
          </cell>
          <cell r="E195" t="str">
            <v>하드웨어 24X7 6시간내 복구완료 서비스</v>
          </cell>
          <cell r="F195">
            <v>3225000</v>
          </cell>
        </row>
        <row r="196">
          <cell r="C196" t="str">
            <v>U4619E</v>
          </cell>
          <cell r="E196" t="str">
            <v>서포트플러스 Microsoft OS 프로라이언트서버용</v>
          </cell>
          <cell r="F196">
            <v>2278000</v>
          </cell>
        </row>
        <row r="197">
          <cell r="C197" t="str">
            <v>U4620E</v>
          </cell>
          <cell r="E197" t="str">
            <v>서포트플러스24 Microsoft OS 프로라이언트서버용</v>
          </cell>
          <cell r="F197">
            <v>4155000</v>
          </cell>
        </row>
        <row r="198">
          <cell r="E198" t="str">
            <v>프로라이언트서버 설치 및 스타트업 서비스</v>
          </cell>
        </row>
        <row r="199">
          <cell r="E199" t="str">
            <v>프로라이언트서버 설치 서비스</v>
          </cell>
        </row>
        <row r="200">
          <cell r="E200" t="str">
            <v>보증기간후 1년 하드웨어 익일방문 서비스</v>
          </cell>
        </row>
        <row r="201">
          <cell r="E201" t="str">
            <v>보증기간후 1년 하드웨어 근무시간 4시간내 방문 서비스</v>
          </cell>
        </row>
        <row r="202">
          <cell r="E202" t="str">
            <v>보증기간후 1년 하드웨어 24X7 4시간내 방문 서비스</v>
          </cell>
        </row>
        <row r="203">
          <cell r="E203" t="str">
            <v>보증기간후 1년 하드웨어 24x7 6시간내 복구완료 서비스</v>
          </cell>
        </row>
        <row r="204">
          <cell r="A204" t="str">
            <v xml:space="preserve"> DL740</v>
          </cell>
          <cell r="B204" t="str">
            <v>3년 HW 익일방문 서비스</v>
          </cell>
          <cell r="C204" t="str">
            <v>U4713E</v>
          </cell>
          <cell r="E204" t="str">
            <v>하드웨어 근무시간 4시간내 방문 서비스</v>
          </cell>
          <cell r="F204">
            <v>1854000</v>
          </cell>
        </row>
        <row r="205">
          <cell r="B205" t="str">
            <v>(3-3-3)</v>
          </cell>
          <cell r="C205" t="str">
            <v>U4714E</v>
          </cell>
          <cell r="E205" t="str">
            <v>하드웨어 24X7 4시간내 방문 서비스</v>
          </cell>
          <cell r="F205">
            <v>3462000</v>
          </cell>
        </row>
        <row r="206">
          <cell r="C206" t="str">
            <v>U4715E</v>
          </cell>
          <cell r="E206" t="str">
            <v>하드웨어 24X7 6시간내 복구완료 서비스</v>
          </cell>
          <cell r="F206">
            <v>6106000</v>
          </cell>
        </row>
        <row r="207">
          <cell r="C207" t="str">
            <v>U4725E</v>
          </cell>
          <cell r="E207" t="str">
            <v>서포트플러스 Microsoft OS 프로라이언트서버용</v>
          </cell>
          <cell r="F207">
            <v>5154000</v>
          </cell>
        </row>
        <row r="208">
          <cell r="C208" t="str">
            <v>U4726E</v>
          </cell>
          <cell r="E208" t="str">
            <v>서포트플러스24 Microsoft OS 프로라이언트서버용</v>
          </cell>
          <cell r="F208">
            <v>8586000</v>
          </cell>
        </row>
        <row r="209">
          <cell r="E209" t="str">
            <v>프로라이언트서버 설치 및 스타트업 서비스</v>
          </cell>
        </row>
        <row r="210">
          <cell r="E210" t="str">
            <v>프로라이언트서버 설치 서비스</v>
          </cell>
        </row>
        <row r="211">
          <cell r="E211" t="str">
            <v>보증기간후 1년 하드웨어 익일방문 서비스</v>
          </cell>
        </row>
        <row r="212">
          <cell r="E212" t="str">
            <v>보증기간후 1년 하드웨어 근무시간 4시간내 방문 서비스</v>
          </cell>
        </row>
        <row r="213">
          <cell r="E213" t="str">
            <v>보증기간후 1년 하드웨어 24X7 4시간내 방문 서비스</v>
          </cell>
        </row>
        <row r="214">
          <cell r="E214" t="str">
            <v>보증기간후 1년 하드웨어 24x7 6시간내 복구완료 서비스</v>
          </cell>
        </row>
        <row r="215">
          <cell r="A215" t="str">
            <v xml:space="preserve"> DL760</v>
          </cell>
          <cell r="B215" t="str">
            <v>3년 HW 익일방문 서비스</v>
          </cell>
          <cell r="C215" t="str">
            <v>U4623E</v>
          </cell>
          <cell r="E215" t="str">
            <v>하드웨어 근무시간 4시간내 방문 서비스</v>
          </cell>
          <cell r="F215">
            <v>1854000</v>
          </cell>
        </row>
        <row r="216">
          <cell r="B216" t="str">
            <v>(3-3-3)</v>
          </cell>
          <cell r="C216" t="str">
            <v>U4624E</v>
          </cell>
          <cell r="E216" t="str">
            <v>하드웨어 24X7 4시간내 방문 서비스</v>
          </cell>
          <cell r="F216">
            <v>3462000</v>
          </cell>
        </row>
        <row r="217">
          <cell r="C217" t="str">
            <v>U4625E</v>
          </cell>
          <cell r="E217" t="str">
            <v>하드웨어 24X7 6시간내 복구완료 서비스</v>
          </cell>
          <cell r="F217">
            <v>6106000</v>
          </cell>
        </row>
        <row r="218">
          <cell r="C218" t="str">
            <v>U4635E</v>
          </cell>
          <cell r="E218" t="str">
            <v>서포트플러스 Microsoft OS 프로라이언트서버용</v>
          </cell>
          <cell r="F218">
            <v>5154000</v>
          </cell>
        </row>
        <row r="219">
          <cell r="C219" t="str">
            <v>U4636E</v>
          </cell>
          <cell r="E219" t="str">
            <v>서포트플러스24 Microsoft OS 프로라이언트서버용</v>
          </cell>
          <cell r="F219">
            <v>8586000</v>
          </cell>
        </row>
        <row r="220">
          <cell r="E220" t="str">
            <v>프로라이언트서버 설치 및 스타트업 서비스</v>
          </cell>
        </row>
        <row r="221">
          <cell r="E221" t="str">
            <v>프로라이언트서버 설치 서비스</v>
          </cell>
        </row>
        <row r="222">
          <cell r="E222" t="str">
            <v>보증기간후 1년 하드웨어 익일방문 서비스</v>
          </cell>
        </row>
        <row r="223">
          <cell r="E223" t="str">
            <v>보증기간후 1년 하드웨어 근무시간 4시간내 방문 서비스</v>
          </cell>
        </row>
        <row r="224">
          <cell r="E224" t="str">
            <v>보증기간후 1년 하드웨어 24X7 4시간내 방문 서비스</v>
          </cell>
        </row>
        <row r="225">
          <cell r="E225" t="str">
            <v>보증기간후 1년 하드웨어 24x7 6시간내 복구완료 서비스</v>
          </cell>
        </row>
        <row r="226">
          <cell r="A226" t="str">
            <v xml:space="preserve">e-class Blade Server </v>
          </cell>
          <cell r="B226" t="str">
            <v>1년간 부품만 지원(1-0-0)</v>
          </cell>
          <cell r="C226" t="str">
            <v>UA220E</v>
          </cell>
          <cell r="E226" t="str">
            <v>하드웨어 익일 방문 서비스</v>
          </cell>
          <cell r="F226">
            <v>362000</v>
          </cell>
        </row>
        <row r="227">
          <cell r="A227" t="str">
            <v>BL10e</v>
          </cell>
          <cell r="B227" t="str">
            <v>243280-B21,273644-B21</v>
          </cell>
          <cell r="C227" t="str">
            <v>UA221E</v>
          </cell>
          <cell r="E227" t="str">
            <v>하드웨어 근무시간 4시간내 방문 서비스</v>
          </cell>
          <cell r="F227">
            <v>573000</v>
          </cell>
        </row>
        <row r="228">
          <cell r="C228" t="str">
            <v>UA222E</v>
          </cell>
          <cell r="E228" t="str">
            <v>하드웨어 24X7 4시간내 방문 서비스</v>
          </cell>
          <cell r="F228">
            <v>660000</v>
          </cell>
        </row>
        <row r="229">
          <cell r="E229" t="str">
            <v>프로라이언트서버 설치 서비스</v>
          </cell>
        </row>
        <row r="230">
          <cell r="E230" t="str">
            <v>보증기간후 1년 하드웨어 익일방문 서비스</v>
          </cell>
        </row>
        <row r="231">
          <cell r="E231" t="str">
            <v>보증기간후 1년 하드웨어 근무시간 4시간내 방문 서비스</v>
          </cell>
        </row>
        <row r="232">
          <cell r="E232" t="str">
            <v>보증기간후 1년 하드웨어 24X7 4시간내 방문 서비스</v>
          </cell>
        </row>
        <row r="233">
          <cell r="E233" t="str">
            <v>보증기간후 1년 하드웨어 24x7 6시간내 복구완료 서비스</v>
          </cell>
        </row>
        <row r="234">
          <cell r="A234" t="str">
            <v xml:space="preserve"> p-Class Blade Server</v>
          </cell>
          <cell r="B234" t="str">
            <v>3년 HW 익일방문 서비스</v>
          </cell>
          <cell r="C234" t="str">
            <v>UA203E</v>
          </cell>
          <cell r="E234" t="str">
            <v>하드웨어 익일방문 서비스</v>
          </cell>
          <cell r="F234">
            <v>171000</v>
          </cell>
        </row>
        <row r="235">
          <cell r="A235" t="str">
            <v>BL20p, 30p, 40p</v>
          </cell>
          <cell r="B235" t="str">
            <v>(3-3-3)</v>
          </cell>
          <cell r="C235" t="str">
            <v>UA204E</v>
          </cell>
          <cell r="E235" t="str">
            <v>하드웨어 근무시간 4시간내 방문 서비스</v>
          </cell>
          <cell r="F235">
            <v>340000</v>
          </cell>
        </row>
        <row r="236">
          <cell r="B236" t="str">
            <v>243564-B21,281404-B21,</v>
          </cell>
          <cell r="C236" t="str">
            <v>UA205E</v>
          </cell>
          <cell r="E236" t="str">
            <v>하드웨어 24X7 4시간내 방문 서비스</v>
          </cell>
          <cell r="F236">
            <v>487000</v>
          </cell>
        </row>
        <row r="237">
          <cell r="B237" t="str">
            <v>306465-B21</v>
          </cell>
          <cell r="C237" t="str">
            <v>UA206E</v>
          </cell>
          <cell r="E237" t="str">
            <v>하드웨어 24X7 6시간내 복구완료 서비스</v>
          </cell>
          <cell r="F237">
            <v>930000</v>
          </cell>
        </row>
        <row r="238">
          <cell r="E238" t="str">
            <v>프로라이언트서버 설치 서비스</v>
          </cell>
        </row>
        <row r="239">
          <cell r="E239" t="str">
            <v>보증기간후 1년 하드웨어 익일방문 서비스</v>
          </cell>
        </row>
        <row r="240">
          <cell r="E240" t="str">
            <v>보증기간후 1년 하드웨어 근무시간 4시간내 방문 서비스</v>
          </cell>
        </row>
        <row r="241">
          <cell r="E241" t="str">
            <v>보증기간후 1년 하드웨어 24X7 4시간내 방문 서비스</v>
          </cell>
        </row>
        <row r="242">
          <cell r="E242" t="str">
            <v>보증기간후 1년 하드웨어 24x7 6시간내 복구완료 서비스</v>
          </cell>
        </row>
        <row r="243">
          <cell r="A243" t="str">
            <v xml:space="preserve"> HP Proliant MSA500</v>
          </cell>
          <cell r="B243" t="str">
            <v>3년간 부품만 제공 (3-0-0)</v>
          </cell>
          <cell r="C243" t="str">
            <v>U6455E</v>
          </cell>
          <cell r="E243" t="str">
            <v>하드웨어 근무시간 4시간내 방문 서비스</v>
          </cell>
          <cell r="F243">
            <v>1561000</v>
          </cell>
        </row>
        <row r="244">
          <cell r="C244" t="str">
            <v>U6456E</v>
          </cell>
          <cell r="E244" t="str">
            <v>하드웨어 24X7 4시간내 방문 서비스</v>
          </cell>
          <cell r="F244">
            <v>2239000</v>
          </cell>
        </row>
        <row r="245">
          <cell r="C245" t="str">
            <v>U6457E</v>
          </cell>
          <cell r="E245" t="str">
            <v>하드웨어 24X7 6시간내 복구완료 서비스</v>
          </cell>
          <cell r="F245">
            <v>4237000</v>
          </cell>
        </row>
        <row r="246">
          <cell r="E246" t="str">
            <v>HP SAC Storage 설치서비스</v>
          </cell>
        </row>
        <row r="247">
          <cell r="A247" t="str">
            <v xml:space="preserve"> HP Proliant MSA30</v>
          </cell>
          <cell r="B247" t="str">
            <v>3년간 부품만 제공 (3-0-0)</v>
          </cell>
          <cell r="C247" t="str">
            <v>U8128E</v>
          </cell>
          <cell r="E247" t="str">
            <v>하드웨어 익일방문 서비스</v>
          </cell>
          <cell r="F247">
            <v>1082000</v>
          </cell>
        </row>
        <row r="248">
          <cell r="B248" t="str">
            <v>PL72</v>
          </cell>
          <cell r="C248" t="str">
            <v>U8129E</v>
          </cell>
          <cell r="E248" t="str">
            <v>하드웨어 근무시간 4시간내 방문 서비스</v>
          </cell>
          <cell r="F248">
            <v>1807000</v>
          </cell>
        </row>
        <row r="249">
          <cell r="C249" t="str">
            <v>U8130E</v>
          </cell>
          <cell r="E249" t="str">
            <v>하드웨어 24X7 4시간내 방문 서비스</v>
          </cell>
          <cell r="F249">
            <v>2098000</v>
          </cell>
        </row>
        <row r="250">
          <cell r="C250" t="str">
            <v>U8131E</v>
          </cell>
          <cell r="E250" t="str">
            <v>하드웨어 24X7 6시간내 복구완료 서비스</v>
          </cell>
          <cell r="F250">
            <v>3021000</v>
          </cell>
        </row>
        <row r="251">
          <cell r="E251" t="str">
            <v>HP MSA30 Storage 설치서비스</v>
          </cell>
        </row>
        <row r="253">
          <cell r="C253" t="str">
            <v>U5971E</v>
          </cell>
          <cell r="E253" t="str">
            <v>HP CP 3Y NxtDay HW Switches 8 port</v>
          </cell>
          <cell r="F253">
            <v>652000</v>
          </cell>
          <cell r="G253" t="str">
            <v>UA474PE</v>
          </cell>
        </row>
        <row r="254">
          <cell r="A254" t="str">
            <v>A7346A</v>
          </cell>
          <cell r="B254" t="str">
            <v>HP FC 1Gb/2Gb Entry Switch 8B, Field Rk</v>
          </cell>
          <cell r="C254" t="str">
            <v>U2088E</v>
          </cell>
          <cell r="E254" t="str">
            <v>HP CP 3Y 4H 13x5 Brocade/Entry Switch</v>
          </cell>
          <cell r="F254">
            <v>1194000</v>
          </cell>
          <cell r="G254" t="str">
            <v>UA475PE</v>
          </cell>
        </row>
        <row r="255">
          <cell r="A255" t="str">
            <v>A7346AZ</v>
          </cell>
          <cell r="B255" t="str">
            <v>HP FC 1Gb/2Gb Entry Switch 8B,Factory Rk</v>
          </cell>
          <cell r="C255" t="str">
            <v>U2089E</v>
          </cell>
          <cell r="E255" t="str">
            <v>HP CP 3Y 4H 24x7 Brocade/Entry Switch</v>
          </cell>
          <cell r="F255">
            <v>1411000</v>
          </cell>
          <cell r="G255" t="str">
            <v>UA476PE</v>
          </cell>
        </row>
        <row r="256">
          <cell r="A256" t="str">
            <v>A7347A</v>
          </cell>
          <cell r="B256" t="str">
            <v>HP FC 1Gb/2Gb Switch 8B, Field rack</v>
          </cell>
          <cell r="C256" t="str">
            <v>U9402E</v>
          </cell>
          <cell r="E256" t="str">
            <v>HP CP 4Y 4H 13x5 Brocade/Entry Switch</v>
          </cell>
          <cell r="F256">
            <v>1668000</v>
          </cell>
        </row>
        <row r="257">
          <cell r="A257" t="str">
            <v>A7347AZ</v>
          </cell>
          <cell r="B257" t="str">
            <v>HP FC 1Gb/2Gb Switch 8B,Factory Rack</v>
          </cell>
          <cell r="C257" t="str">
            <v>U9403E</v>
          </cell>
          <cell r="E257" t="str">
            <v>HP CP 4Y 4H 24x7 Brocade/Entry Switch</v>
          </cell>
          <cell r="F257">
            <v>1953000</v>
          </cell>
        </row>
        <row r="258">
          <cell r="A258" t="str">
            <v>258707-B21</v>
          </cell>
          <cell r="B258" t="str">
            <v>SAN Switch 2/8 EL, ALL</v>
          </cell>
          <cell r="C258" t="str">
            <v>U9404E</v>
          </cell>
          <cell r="E258" t="str">
            <v>HP CP 5Y 4H 13x5 Brocade/Entry Switch</v>
          </cell>
          <cell r="F258">
            <v>2120000</v>
          </cell>
        </row>
        <row r="259">
          <cell r="A259" t="str">
            <v>AA979A</v>
          </cell>
          <cell r="B259" t="str">
            <v>SW SAN Switch 2/8V</v>
          </cell>
          <cell r="C259" t="str">
            <v>U9405E</v>
          </cell>
          <cell r="E259" t="str">
            <v>HP CP 5Y 4H 24x7 Brocade/Entry Switch</v>
          </cell>
          <cell r="F259">
            <v>2469000</v>
          </cell>
        </row>
        <row r="260">
          <cell r="A260" t="str">
            <v>AD515A</v>
          </cell>
          <cell r="B260" t="str">
            <v>SW SAN GSA SWCH 2/8V</v>
          </cell>
          <cell r="C260" t="str">
            <v>U5988E</v>
          </cell>
          <cell r="E260" t="str">
            <v>HP CP Install Storage 8,16,24,32 port</v>
          </cell>
          <cell r="F260">
            <v>1413000</v>
          </cell>
        </row>
        <row r="261">
          <cell r="A261" t="str">
            <v>322120-B21</v>
          </cell>
          <cell r="B261" t="str">
            <v>SAN Switch 2/8 EL</v>
          </cell>
        </row>
        <row r="262">
          <cell r="C262" t="str">
            <v>UA255E</v>
          </cell>
          <cell r="E262" t="str">
            <v>CP 1YSupportPlus Strg Switch 8 port N PP</v>
          </cell>
          <cell r="F262">
            <v>1275000</v>
          </cell>
        </row>
        <row r="263">
          <cell r="A263" t="str">
            <v>AA980A</v>
          </cell>
          <cell r="B263" t="str">
            <v>SW SAN Switch 2/8V PP</v>
          </cell>
          <cell r="C263" t="str">
            <v>UA257E</v>
          </cell>
          <cell r="E263" t="str">
            <v>CP 1Y SupportPlus24 Stg Switch8port N PP</v>
          </cell>
          <cell r="F263">
            <v>1570000</v>
          </cell>
          <cell r="G263" t="str">
            <v>UA481PE</v>
          </cell>
        </row>
        <row r="264">
          <cell r="A264" t="str">
            <v>AD516A</v>
          </cell>
          <cell r="B264" t="str">
            <v>SW SAN GSA SWCH 2/8V PP</v>
          </cell>
          <cell r="C264" t="str">
            <v>UA254E</v>
          </cell>
          <cell r="E264" t="str">
            <v>CP 3YSupportPlus Strg Switch 8 port N PP</v>
          </cell>
          <cell r="F264">
            <v>4362000</v>
          </cell>
          <cell r="G264" t="str">
            <v>UA482PE</v>
          </cell>
        </row>
        <row r="265">
          <cell r="A265" t="str">
            <v>322121-B21</v>
          </cell>
          <cell r="B265" t="str">
            <v>SAN Switch 2/8 PP</v>
          </cell>
          <cell r="C265" t="str">
            <v>UA256E</v>
          </cell>
          <cell r="E265" t="str">
            <v>CP 3Y SupportPlus24 Stg Switch8port N PP</v>
          </cell>
          <cell r="F265">
            <v>5219000</v>
          </cell>
        </row>
        <row r="266">
          <cell r="C266" t="str">
            <v>U5988E</v>
          </cell>
          <cell r="E266" t="str">
            <v>HP CP Install Storage 8,16,24,32 port</v>
          </cell>
          <cell r="F266">
            <v>1413000</v>
          </cell>
        </row>
        <row r="269">
          <cell r="A269" t="str">
            <v>A7340A</v>
          </cell>
          <cell r="B269" t="str">
            <v>HP Surestore FC switch 4316, 2 Gb 16 ports</v>
          </cell>
          <cell r="C269" t="str">
            <v>U5972E</v>
          </cell>
          <cell r="E269" t="str">
            <v>HP CP 3Y Next Day HW Switch 16 ports</v>
          </cell>
          <cell r="F269">
            <v>1555000</v>
          </cell>
          <cell r="G269" t="str">
            <v>UA493PE</v>
          </cell>
        </row>
        <row r="270">
          <cell r="A270" t="str">
            <v>A7340AZ</v>
          </cell>
          <cell r="B270" t="str">
            <v xml:space="preserve">HP FC 1Gb/2Gb Switch 16B, Field Rack </v>
          </cell>
          <cell r="C270" t="str">
            <v>H4620E</v>
          </cell>
          <cell r="E270" t="str">
            <v>HP CP 3Y 4H 13x5 Switch 16 ports</v>
          </cell>
          <cell r="F270">
            <v>2850000</v>
          </cell>
          <cell r="G270" t="str">
            <v>UA494PE</v>
          </cell>
        </row>
        <row r="271">
          <cell r="A271" t="str">
            <v>283056-B21</v>
          </cell>
          <cell r="B271" t="str">
            <v>SAN Switch 2/16 EL, ALL</v>
          </cell>
          <cell r="C271" t="str">
            <v>H4621E</v>
          </cell>
          <cell r="E271" t="str">
            <v>HP CP 3Y 4H 24x7 Switch 16 ports</v>
          </cell>
          <cell r="F271">
            <v>3369000</v>
          </cell>
          <cell r="G271" t="str">
            <v>UA495PE</v>
          </cell>
        </row>
        <row r="272">
          <cell r="A272" t="str">
            <v>344181-B21</v>
          </cell>
          <cell r="B272" t="str">
            <v xml:space="preserve">Fibre Channel Switch,2/16 EL All </v>
          </cell>
          <cell r="C272" t="str">
            <v>U9474E</v>
          </cell>
          <cell r="E272" t="str">
            <v>HP CP 4Y 4H 13x5 Switch 16 ports</v>
          </cell>
          <cell r="F272">
            <v>4016000</v>
          </cell>
        </row>
        <row r="273">
          <cell r="A273" t="str">
            <v>AA978A</v>
          </cell>
          <cell r="B273" t="str">
            <v xml:space="preserve">SW SAN Switch 2/16V  </v>
          </cell>
          <cell r="C273" t="str">
            <v>U9475E</v>
          </cell>
          <cell r="E273" t="str">
            <v>HP CP 4Y 4H 24x7 Switch 16 ports</v>
          </cell>
          <cell r="F273">
            <v>4699000</v>
          </cell>
        </row>
        <row r="274">
          <cell r="A274" t="str">
            <v>AA990A</v>
          </cell>
          <cell r="B274" t="str">
            <v>SW SAN Switch 2/16V  FF</v>
          </cell>
          <cell r="C274" t="str">
            <v>U9476E</v>
          </cell>
          <cell r="E274" t="str">
            <v>HP CP 5Y 4H 13x5 Switch 16 ports</v>
          </cell>
          <cell r="F274">
            <v>5156000</v>
          </cell>
        </row>
        <row r="275">
          <cell r="A275" t="str">
            <v>AD512A</v>
          </cell>
          <cell r="B275" t="str">
            <v xml:space="preserve">SW SAN GSA SWCH 2/16V </v>
          </cell>
          <cell r="C275" t="str">
            <v>U9477E</v>
          </cell>
          <cell r="E275" t="str">
            <v>HP CP 5Y 4H 24x7 Switch 16 ports</v>
          </cell>
          <cell r="F275">
            <v>6002000</v>
          </cell>
        </row>
        <row r="276">
          <cell r="A276" t="str">
            <v>AD513A</v>
          </cell>
          <cell r="B276" t="str">
            <v>SW SAN GSA SWCH 2/16V FF</v>
          </cell>
          <cell r="G276" t="str">
            <v>n/a</v>
          </cell>
        </row>
        <row r="277">
          <cell r="A277" t="str">
            <v>322118-B21</v>
          </cell>
          <cell r="B277" t="str">
            <v>SAN Switch 2/16 Base</v>
          </cell>
          <cell r="C277" t="str">
            <v>U5988E</v>
          </cell>
          <cell r="E277" t="str">
            <v>HP CP Install Storage 8,16,24,32 port</v>
          </cell>
          <cell r="F277">
            <v>1413000</v>
          </cell>
        </row>
        <row r="278">
          <cell r="A278" t="str">
            <v>287055-B21</v>
          </cell>
          <cell r="B278" t="str">
            <v>SAN Switch 2/16 Pwer ALL</v>
          </cell>
        </row>
        <row r="280">
          <cell r="C280" t="str">
            <v>UA251E</v>
          </cell>
          <cell r="E280" t="str">
            <v>CP 1YSupportPlus Strg Switch 16port N PP</v>
          </cell>
          <cell r="F280">
            <v>1897000</v>
          </cell>
        </row>
        <row r="281">
          <cell r="A281" t="str">
            <v>AA977A</v>
          </cell>
          <cell r="B281" t="str">
            <v>SW SAN Switch 2/16V PP</v>
          </cell>
          <cell r="C281" t="str">
            <v>UA253E</v>
          </cell>
          <cell r="E281" t="str">
            <v>CP 1YSupportPlus24 Strg Switch 16port N PP</v>
          </cell>
          <cell r="F281">
            <v>2368000</v>
          </cell>
          <cell r="G281" t="str">
            <v>UA487PE</v>
          </cell>
        </row>
        <row r="282">
          <cell r="A282" t="str">
            <v>AD514A</v>
          </cell>
          <cell r="B282" t="str">
            <v>SW SAN GSA SWCH 216V PP</v>
          </cell>
          <cell r="C282" t="str">
            <v>UA250E</v>
          </cell>
          <cell r="E282" t="str">
            <v>CP 3Y SupportPlus Stg Switch16prt N PP</v>
          </cell>
          <cell r="F282">
            <v>7075000</v>
          </cell>
          <cell r="G282" t="str">
            <v>UA488PE</v>
          </cell>
        </row>
        <row r="283">
          <cell r="A283" t="str">
            <v>322119-B21</v>
          </cell>
          <cell r="B283" t="str">
            <v>SAN Switch 2/16 PP</v>
          </cell>
          <cell r="C283" t="str">
            <v>UA252E</v>
          </cell>
          <cell r="E283" t="str">
            <v>CP 3YSupportPlus24 Strg Switch 16port N PP</v>
          </cell>
          <cell r="F283">
            <v>8447000</v>
          </cell>
        </row>
        <row r="284">
          <cell r="C284" t="str">
            <v>U5988E</v>
          </cell>
          <cell r="E284" t="str">
            <v>HP CP Install Storage 8,16,24,32 port</v>
          </cell>
          <cell r="F284">
            <v>1413000</v>
          </cell>
        </row>
        <row r="285">
          <cell r="C285" t="str">
            <v>UA258E</v>
          </cell>
          <cell r="E285" t="str">
            <v>HP CP 3Y Next Day HW B Series 32 Ports</v>
          </cell>
          <cell r="F285">
            <v>3236000</v>
          </cell>
        </row>
        <row r="286">
          <cell r="A286" t="str">
            <v>240603-B21</v>
          </cell>
          <cell r="B286" t="str">
            <v>SAN Switch 2/32 Base</v>
          </cell>
          <cell r="C286" t="str">
            <v>UA259E</v>
          </cell>
          <cell r="E286" t="str">
            <v>HP CP 3Y 4h 13x5 HW B Series 32 Ports</v>
          </cell>
          <cell r="F286">
            <v>4741000</v>
          </cell>
          <cell r="G286" t="str">
            <v>UA489PE</v>
          </cell>
        </row>
        <row r="287">
          <cell r="C287" t="str">
            <v>UA260E</v>
          </cell>
          <cell r="E287" t="str">
            <v>HP CP 3Y 4h 24x7 HW B Series 32 Ports</v>
          </cell>
          <cell r="F287">
            <v>6837000</v>
          </cell>
          <cell r="G287" t="str">
            <v>UA490PE</v>
          </cell>
        </row>
        <row r="288">
          <cell r="C288" t="str">
            <v>U9306E</v>
          </cell>
          <cell r="E288" t="str">
            <v>HP CP 4Y 4H 13x5 Switches 32 ports</v>
          </cell>
          <cell r="F288">
            <v>8064000</v>
          </cell>
        </row>
        <row r="289">
          <cell r="C289" t="str">
            <v>U9307E</v>
          </cell>
          <cell r="E289" t="str">
            <v>HP CP 4Y 4H 24x7 Switches 32 ports</v>
          </cell>
          <cell r="F289">
            <v>9438000</v>
          </cell>
        </row>
        <row r="290">
          <cell r="C290" t="str">
            <v>U9308E</v>
          </cell>
          <cell r="E290" t="str">
            <v>HP CP 5Y 4H 13x5 Switches 32 ports</v>
          </cell>
          <cell r="F290">
            <v>10252000</v>
          </cell>
        </row>
        <row r="291">
          <cell r="C291" t="str">
            <v>U9309E</v>
          </cell>
          <cell r="E291" t="str">
            <v>HP CP 5Y 4H 24x7 Switches 32 ports</v>
          </cell>
          <cell r="F291">
            <v>11938000</v>
          </cell>
        </row>
        <row r="293">
          <cell r="C293" t="str">
            <v>U5988E</v>
          </cell>
          <cell r="E293" t="str">
            <v>HP CP Install Storage 8,16,24,32 port</v>
          </cell>
          <cell r="F293">
            <v>1413000</v>
          </cell>
        </row>
        <row r="294">
          <cell r="C294" t="str">
            <v>U5955E</v>
          </cell>
          <cell r="E294" t="str">
            <v>HP CP 1Y SupportPlus Strg  Swh32prt pk</v>
          </cell>
          <cell r="F294">
            <v>2786000</v>
          </cell>
        </row>
        <row r="295">
          <cell r="A295" t="str">
            <v>333764-B21</v>
          </cell>
          <cell r="B295" t="str">
            <v>SAN Switch 2/32 PP</v>
          </cell>
          <cell r="C295" t="str">
            <v>U5956E</v>
          </cell>
          <cell r="E295" t="str">
            <v>HP CP 1Y SupportPlus24 Strg Swh32prt pk</v>
          </cell>
          <cell r="F295">
            <v>3880000</v>
          </cell>
          <cell r="G295" t="str">
            <v>UA491PE</v>
          </cell>
        </row>
        <row r="296">
          <cell r="A296" t="str">
            <v>311026-B21</v>
          </cell>
          <cell r="B296" t="str">
            <v>SAN Switch 2/32 PP</v>
          </cell>
          <cell r="C296" t="str">
            <v>U5957E</v>
          </cell>
          <cell r="E296" t="str">
            <v>HP CP 3Y SupportPlus Strg Swh32prt pk</v>
          </cell>
          <cell r="F296">
            <v>10105000</v>
          </cell>
          <cell r="G296" t="str">
            <v>UA492PE</v>
          </cell>
        </row>
        <row r="297">
          <cell r="C297" t="str">
            <v>U5958E</v>
          </cell>
          <cell r="E297" t="str">
            <v>HP CP 3Y SupportPlus24 Strg Swh32prt pk</v>
          </cell>
          <cell r="F297">
            <v>14288000</v>
          </cell>
        </row>
        <row r="302">
          <cell r="C302" t="str">
            <v>U5988E</v>
          </cell>
          <cell r="E302" t="str">
            <v>HP CP Install Storage 8,16,24,32 port</v>
          </cell>
          <cell r="F302">
            <v>1413000</v>
          </cell>
        </row>
        <row r="304">
          <cell r="C304" t="str">
            <v>H5545E</v>
          </cell>
          <cell r="E304" t="str">
            <v>HP CP 3Y Nxt Day HW Switches 64 ports</v>
          </cell>
          <cell r="F304">
            <v>10994000</v>
          </cell>
        </row>
        <row r="305">
          <cell r="C305" t="str">
            <v>H5546E</v>
          </cell>
          <cell r="E305" t="str">
            <v>HP CP 3Y 4H 13x5 HW Switches 64 ports</v>
          </cell>
          <cell r="F305">
            <v>14897000</v>
          </cell>
          <cell r="G305" t="str">
            <v>n/a</v>
          </cell>
        </row>
        <row r="306">
          <cell r="A306" t="str">
            <v>A6509A</v>
          </cell>
          <cell r="B306" t="str">
            <v>HP StorageWorks Core Switch 2/64</v>
          </cell>
          <cell r="C306" t="str">
            <v>H5547E</v>
          </cell>
          <cell r="E306" t="str">
            <v>HP CP 3Y 4H 24x7 HW Switches 64 ports</v>
          </cell>
          <cell r="F306">
            <v>19737000</v>
          </cell>
        </row>
        <row r="307">
          <cell r="A307" t="str">
            <v>A6534B</v>
          </cell>
          <cell r="B307" t="str">
            <v>HP StorageWorks Director 64</v>
          </cell>
          <cell r="C307" t="str">
            <v>H7724E</v>
          </cell>
          <cell r="E307" t="str">
            <v>HP CP 3Y 6H CTR HW Switches 64 ports</v>
          </cell>
          <cell r="F307">
            <v>40342000</v>
          </cell>
        </row>
        <row r="308">
          <cell r="A308" t="str">
            <v>A6534BZ</v>
          </cell>
          <cell r="B308" t="str">
            <v xml:space="preserve">HP StorageWorks director 64 Fact Rack </v>
          </cell>
          <cell r="C308" t="str">
            <v>U9482E</v>
          </cell>
          <cell r="E308" t="str">
            <v>HP CP 4Y 4H 13x5 Switches 64 ports</v>
          </cell>
          <cell r="F308">
            <v>23678000</v>
          </cell>
        </row>
        <row r="309">
          <cell r="A309" t="str">
            <v>286809-B21</v>
          </cell>
          <cell r="B309" t="str">
            <v>HP StorageWorks SAN director 2/64</v>
          </cell>
          <cell r="C309" t="str">
            <v>U9483E</v>
          </cell>
          <cell r="E309" t="str">
            <v>HP CP 4Y 4H 24x7 Switches 64 ports</v>
          </cell>
          <cell r="F309">
            <v>30801000</v>
          </cell>
        </row>
        <row r="310">
          <cell r="A310" t="str">
            <v>254508-B21</v>
          </cell>
          <cell r="B310" t="str">
            <v>SW SAN CORE SWTCH/64 ALL</v>
          </cell>
          <cell r="C310" t="str">
            <v>U9484E</v>
          </cell>
          <cell r="E310" t="str">
            <v>HP CP 5Y 4H 13x5 Switches 64 ports</v>
          </cell>
          <cell r="F310">
            <v>30835000</v>
          </cell>
        </row>
        <row r="311">
          <cell r="A311" t="str">
            <v>332177-B22</v>
          </cell>
          <cell r="B311" t="str">
            <v>SAN Core Switch 2/64</v>
          </cell>
          <cell r="C311" t="str">
            <v>U9485E</v>
          </cell>
          <cell r="E311" t="str">
            <v>HP CP 5Y 4H 24x7 Switches 64 ports</v>
          </cell>
          <cell r="F311">
            <v>39727000</v>
          </cell>
        </row>
        <row r="312">
          <cell r="B312" t="str">
            <v xml:space="preserve"> </v>
          </cell>
          <cell r="C312" t="str">
            <v>U5990E</v>
          </cell>
          <cell r="E312" t="str">
            <v>HP CP Installation Strg Directors&amp;64 Swh</v>
          </cell>
          <cell r="F312">
            <v>1305000</v>
          </cell>
        </row>
        <row r="313">
          <cell r="C313" t="str">
            <v>U5963E</v>
          </cell>
          <cell r="E313" t="str">
            <v>HP CP 1Y SupportPlus Strg Swh 64 port Pk</v>
          </cell>
          <cell r="F313">
            <v>9262000</v>
          </cell>
        </row>
        <row r="314">
          <cell r="C314" t="str">
            <v>U5964E</v>
          </cell>
          <cell r="E314" t="str">
            <v>HP CP 1Y SupportPlus24 Strg Swh64port Pk</v>
          </cell>
          <cell r="F314">
            <v>12464000</v>
          </cell>
        </row>
        <row r="315">
          <cell r="A315" t="str">
            <v>332178-B22</v>
          </cell>
          <cell r="B315" t="str">
            <v>SAN Core Switch 2/64 PP</v>
          </cell>
          <cell r="C315" t="str">
            <v>U5965E</v>
          </cell>
          <cell r="E315" t="str">
            <v>HP CP 3Y SupportPlus Strg Swh 64port Pk</v>
          </cell>
          <cell r="F315">
            <v>43099000</v>
          </cell>
          <cell r="G315" t="str">
            <v>n/a</v>
          </cell>
        </row>
        <row r="316">
          <cell r="C316" t="str">
            <v>U5966E</v>
          </cell>
          <cell r="E316" t="str">
            <v>HP CP 3Y SupportPlus24 Strg Swh64port Pk</v>
          </cell>
          <cell r="F316">
            <v>53815000</v>
          </cell>
        </row>
        <row r="317">
          <cell r="C317" t="str">
            <v>U5990E</v>
          </cell>
          <cell r="E317" t="str">
            <v>HP CP Installation Strg Directors&amp;64 Swh</v>
          </cell>
          <cell r="F317">
            <v>1305000</v>
          </cell>
        </row>
        <row r="322">
          <cell r="C322" t="str">
            <v>U3413E</v>
          </cell>
          <cell r="E322" t="str">
            <v>HP CP 3Y Nxt Day HW B Series Core Blades</v>
          </cell>
          <cell r="F322">
            <v>3061000</v>
          </cell>
        </row>
        <row r="323">
          <cell r="A323" t="str">
            <v>334883-B21</v>
          </cell>
          <cell r="B323" t="str">
            <v>Core blade for 64 ports switch</v>
          </cell>
          <cell r="C323" t="str">
            <v>U3414E</v>
          </cell>
          <cell r="E323" t="str">
            <v>HP CP 3Y 4H 13x5 HW B Series Core Blades</v>
          </cell>
          <cell r="F323">
            <v>4148000</v>
          </cell>
        </row>
        <row r="324">
          <cell r="A324" t="str">
            <v>A6510A</v>
          </cell>
          <cell r="B324" t="str">
            <v>HP Brocade 16 port slot upgrade</v>
          </cell>
          <cell r="C324" t="str">
            <v>U3415E</v>
          </cell>
          <cell r="E324" t="str">
            <v>HP CP 3Y 4H 24x7 HW B Series Core Blades</v>
          </cell>
          <cell r="F324">
            <v>5496000</v>
          </cell>
          <cell r="G324" t="str">
            <v>n/a</v>
          </cell>
        </row>
        <row r="325">
          <cell r="C325" t="str">
            <v>U3416E</v>
          </cell>
          <cell r="E325" t="str">
            <v>HP CP 3Y 6H CTR HW B Series Core Blades</v>
          </cell>
          <cell r="F325">
            <v>9581000</v>
          </cell>
        </row>
        <row r="326">
          <cell r="C326" t="str">
            <v>U9490E</v>
          </cell>
          <cell r="E326" t="str">
            <v>HP CP 4Y 4H 13x5 B Series Core Blades</v>
          </cell>
          <cell r="F326">
            <v>6535000</v>
          </cell>
        </row>
        <row r="327">
          <cell r="C327" t="str">
            <v>U9491E</v>
          </cell>
          <cell r="E327" t="str">
            <v>HP CP 4Y 4H 24x7 B Series Core Blades</v>
          </cell>
          <cell r="F327">
            <v>8505000</v>
          </cell>
        </row>
        <row r="328">
          <cell r="C328" t="str">
            <v>U9492E</v>
          </cell>
          <cell r="E328" t="str">
            <v>HP CP 5Y 4H 13x5 B Series Core Blades</v>
          </cell>
          <cell r="F328">
            <v>8421000</v>
          </cell>
        </row>
        <row r="329">
          <cell r="C329" t="str">
            <v>U9493E</v>
          </cell>
          <cell r="E329" t="str">
            <v>HP CP 5Y 4H 24x7 B Series Core Blades</v>
          </cell>
          <cell r="F329">
            <v>10860000</v>
          </cell>
        </row>
        <row r="330">
          <cell r="C330" t="str">
            <v>U5989E</v>
          </cell>
          <cell r="E330" t="str">
            <v>HP CP Inst Core blade, Rtr,Edge 12 ports</v>
          </cell>
          <cell r="F330">
            <v>457000</v>
          </cell>
        </row>
        <row r="332">
          <cell r="G332" t="str">
            <v>UA263PE</v>
          </cell>
        </row>
        <row r="333">
          <cell r="C333" t="str">
            <v>U5985E</v>
          </cell>
          <cell r="E333" t="str">
            <v>HP CP 3Y NxtDay HW Routers</v>
          </cell>
          <cell r="F333">
            <v>1367000</v>
          </cell>
          <cell r="G333" t="str">
            <v>UA264PE</v>
          </cell>
        </row>
        <row r="334">
          <cell r="A334" t="str">
            <v>293360-B21</v>
          </cell>
          <cell r="B334" t="str">
            <v>HP SW SR2122 iSCSI router</v>
          </cell>
          <cell r="C334" t="str">
            <v>U5986E</v>
          </cell>
          <cell r="E334" t="str">
            <v>3 Yr Same Day/Onsite</v>
          </cell>
          <cell r="F334">
            <v>2507000</v>
          </cell>
        </row>
        <row r="335">
          <cell r="A335" t="str">
            <v>348406-B21</v>
          </cell>
          <cell r="B335" t="str">
            <v>EDGE SWITCH 2/12</v>
          </cell>
          <cell r="C335" t="str">
            <v>U5987E</v>
          </cell>
          <cell r="E335" t="str">
            <v>3 Yr 7X24/Onsite</v>
          </cell>
          <cell r="F335">
            <v>2963000</v>
          </cell>
        </row>
        <row r="336">
          <cell r="A336" t="str">
            <v>350074-B21</v>
          </cell>
          <cell r="B336" t="str">
            <v>IP Storage Router 2122-2</v>
          </cell>
          <cell r="C336" t="str">
            <v>U9418E</v>
          </cell>
          <cell r="E336" t="str">
            <v>4 Yr Same Day/Onsite</v>
          </cell>
          <cell r="F336">
            <v>3531000</v>
          </cell>
        </row>
        <row r="337">
          <cell r="C337" t="str">
            <v>U9419E</v>
          </cell>
          <cell r="E337" t="str">
            <v>HP CP 4Y 4H 24x7 Routers</v>
          </cell>
          <cell r="F337">
            <v>4132000</v>
          </cell>
        </row>
        <row r="338">
          <cell r="C338" t="str">
            <v>U9420E</v>
          </cell>
          <cell r="E338" t="str">
            <v>HP CP 5Y 4H 13x5 Routers</v>
          </cell>
          <cell r="F338">
            <v>4534000</v>
          </cell>
        </row>
        <row r="339">
          <cell r="C339" t="str">
            <v>U9421E</v>
          </cell>
          <cell r="E339" t="str">
            <v>HP CP 5Y 4H 24x7 Routers</v>
          </cell>
          <cell r="F339">
            <v>5278000</v>
          </cell>
        </row>
        <row r="341">
          <cell r="C341" t="str">
            <v>U5989E</v>
          </cell>
          <cell r="E341" t="str">
            <v>HP CP Inst Core blade, Rtr,Edge 12 ports</v>
          </cell>
          <cell r="F341">
            <v>457000</v>
          </cell>
        </row>
        <row r="343">
          <cell r="A343" t="str">
            <v>A7284A</v>
          </cell>
          <cell r="B343" t="str">
            <v>HP StorageWorks Edge Switch 2/16</v>
          </cell>
          <cell r="C343" t="str">
            <v>U3486E</v>
          </cell>
          <cell r="E343" t="str">
            <v>HP CP 3Y NxtDay Edge Switch 16 ports</v>
          </cell>
          <cell r="F343">
            <v>2272000</v>
          </cell>
          <cell r="G343" t="str">
            <v>UA498PE</v>
          </cell>
        </row>
        <row r="344">
          <cell r="A344" t="str">
            <v>286811-B21</v>
          </cell>
          <cell r="B344" t="str">
            <v xml:space="preserve">Stgwks SAN Edg Sw ALL </v>
          </cell>
          <cell r="C344" t="str">
            <v>U3487E</v>
          </cell>
          <cell r="E344" t="str">
            <v>HP CP 3Y 4H 13x5 Edge Switch 16 ports</v>
          </cell>
          <cell r="F344">
            <v>4165000</v>
          </cell>
          <cell r="G344" t="str">
            <v>UA499PE</v>
          </cell>
        </row>
        <row r="345">
          <cell r="C345" t="str">
            <v>U3488E</v>
          </cell>
          <cell r="E345" t="str">
            <v>HP CP 3Y 4H 24x7 Edge Switch 16 ports</v>
          </cell>
          <cell r="F345">
            <v>4923000</v>
          </cell>
          <cell r="G345" t="str">
            <v>UA062PE</v>
          </cell>
        </row>
        <row r="346">
          <cell r="C346" t="str">
            <v>U3489E</v>
          </cell>
          <cell r="E346" t="str">
            <v>HP CP 3Y 6H CTR Edge Switch 16 ports</v>
          </cell>
          <cell r="F346">
            <v>7332000</v>
          </cell>
        </row>
        <row r="347">
          <cell r="C347" t="str">
            <v>U9498E</v>
          </cell>
          <cell r="E347" t="str">
            <v>HP CP 4Y 4H 13x5 Edge Switch 16 port</v>
          </cell>
          <cell r="F347">
            <v>5784000</v>
          </cell>
        </row>
        <row r="348">
          <cell r="C348" t="str">
            <v>U9499E</v>
          </cell>
          <cell r="E348" t="str">
            <v>HP CP 4Y 4H 24x7 Edge Switch 16 port</v>
          </cell>
          <cell r="F348">
            <v>6771000</v>
          </cell>
        </row>
        <row r="349">
          <cell r="C349" t="str">
            <v>U9500E</v>
          </cell>
          <cell r="E349" t="str">
            <v>HP CP 5Y 4H 13x5 Edge Switch 16 port</v>
          </cell>
          <cell r="F349">
            <v>7355000</v>
          </cell>
        </row>
        <row r="350">
          <cell r="C350" t="str">
            <v>U9501E</v>
          </cell>
          <cell r="E350" t="str">
            <v>HP CP 5Y 4H 24x7 Edge Switch 16 port</v>
          </cell>
          <cell r="F350">
            <v>8564000</v>
          </cell>
        </row>
        <row r="351">
          <cell r="C351" t="str">
            <v>U5988E</v>
          </cell>
          <cell r="E351" t="str">
            <v>HP CP Install Storage 8,16,24,32 port</v>
          </cell>
          <cell r="F351">
            <v>1413000</v>
          </cell>
        </row>
        <row r="353">
          <cell r="A353" t="str">
            <v>A7283A</v>
          </cell>
          <cell r="B353" t="str">
            <v>HP StorageWorks Edge Switch 2/32</v>
          </cell>
          <cell r="C353" t="str">
            <v>U3490E</v>
          </cell>
          <cell r="E353" t="str">
            <v>HP CP 3Y Next Day Edge Switches 32 ports</v>
          </cell>
          <cell r="F353">
            <v>4749000</v>
          </cell>
          <cell r="G353" t="str">
            <v>UA496PE</v>
          </cell>
        </row>
        <row r="354">
          <cell r="A354" t="str">
            <v>286810-B21</v>
          </cell>
          <cell r="B354" t="str">
            <v>Edge Switch 2/32</v>
          </cell>
          <cell r="C354" t="str">
            <v>U3491E</v>
          </cell>
          <cell r="E354" t="str">
            <v>HP CP 3Y 4H 13x5 Edge Switches 32 ports</v>
          </cell>
          <cell r="F354">
            <v>8707000</v>
          </cell>
          <cell r="G354" t="str">
            <v>UA497PE</v>
          </cell>
        </row>
        <row r="355">
          <cell r="C355" t="str">
            <v>U3492E</v>
          </cell>
          <cell r="E355" t="str">
            <v>HP CP 3Y 4H 24x7 Edge Switches 32 ports</v>
          </cell>
          <cell r="F355">
            <v>10290000</v>
          </cell>
        </row>
        <row r="356">
          <cell r="C356" t="str">
            <v>U3493E</v>
          </cell>
          <cell r="E356" t="str">
            <v>HP CP 3Y 6H CTR Edge Switches 32 ports</v>
          </cell>
          <cell r="F356">
            <v>15328000</v>
          </cell>
        </row>
        <row r="357">
          <cell r="C357" t="str">
            <v>U9394E</v>
          </cell>
          <cell r="E357" t="str">
            <v>HP CP 4Y 4H 13x5 Edge Switches 32 port</v>
          </cell>
          <cell r="F357">
            <v>12160000</v>
          </cell>
        </row>
        <row r="358">
          <cell r="C358" t="str">
            <v>U9395E</v>
          </cell>
          <cell r="E358" t="str">
            <v>HP CP 4Y 4H 24x7 Edge Switches 32 port</v>
          </cell>
          <cell r="F358">
            <v>14233000</v>
          </cell>
        </row>
        <row r="359">
          <cell r="C359" t="str">
            <v>U9396E</v>
          </cell>
          <cell r="E359" t="str">
            <v>HP CP 5Y 4H 13x5 Edge Switches 32 port</v>
          </cell>
          <cell r="F359">
            <v>15460000</v>
          </cell>
        </row>
        <row r="360">
          <cell r="C360" t="str">
            <v>U9397E</v>
          </cell>
          <cell r="E360" t="str">
            <v>HP CP 5Y 4H 24x7 Edge Switches 32 port</v>
          </cell>
          <cell r="F360">
            <v>18003000</v>
          </cell>
        </row>
        <row r="361">
          <cell r="C361" t="str">
            <v>U5988E</v>
          </cell>
          <cell r="E361" t="str">
            <v>HP CP Install Storage 8,16,24,32 port</v>
          </cell>
          <cell r="F361">
            <v>1413000</v>
          </cell>
        </row>
        <row r="363">
          <cell r="C363" t="str">
            <v>U5973E</v>
          </cell>
          <cell r="E363" t="str">
            <v>HP CP 3Y NxtDay HW Edge Switch 24 ports</v>
          </cell>
          <cell r="F363">
            <v>3422000</v>
          </cell>
          <cell r="G363" t="str">
            <v>UA063PE</v>
          </cell>
        </row>
        <row r="364">
          <cell r="A364" t="str">
            <v>316095-B21</v>
          </cell>
          <cell r="B364" t="str">
            <v>hp StorageWorks Edge switch 2/24</v>
          </cell>
          <cell r="C364" t="str">
            <v>U5974E</v>
          </cell>
          <cell r="E364" t="str">
            <v>HP CP 3Y 4H 13x5 HW Edge Switch 24 ports</v>
          </cell>
          <cell r="F364">
            <v>6276000</v>
          </cell>
          <cell r="G364" t="str">
            <v>UA064PE</v>
          </cell>
        </row>
        <row r="365">
          <cell r="C365" t="str">
            <v>U5975E</v>
          </cell>
          <cell r="E365" t="str">
            <v>HP CP 3Y 4H 24x7 HW Edge Switch 24 ports</v>
          </cell>
          <cell r="F365">
            <v>7417000</v>
          </cell>
        </row>
        <row r="366">
          <cell r="C366" t="str">
            <v>U9410E</v>
          </cell>
          <cell r="E366" t="str">
            <v>HP CP 4Y 4H 13x5 Edge Switch 24 ports</v>
          </cell>
          <cell r="F366">
            <v>8785000</v>
          </cell>
        </row>
        <row r="367">
          <cell r="C367" t="str">
            <v>U9411E</v>
          </cell>
          <cell r="E367" t="str">
            <v>HP CP 4Y 4H 24x7 Edge Switch 24 ports</v>
          </cell>
          <cell r="F367">
            <v>10283000</v>
          </cell>
        </row>
        <row r="368">
          <cell r="C368" t="str">
            <v>U9412E</v>
          </cell>
          <cell r="E368" t="str">
            <v>HP CP 5Y 4H 13x5 Edge Switch 24 ports</v>
          </cell>
          <cell r="F368">
            <v>11170000</v>
          </cell>
        </row>
        <row r="369">
          <cell r="C369" t="str">
            <v>U9413E</v>
          </cell>
          <cell r="E369" t="str">
            <v>HP CP 5Y 4H 24x7 Edge Switch 24 ports</v>
          </cell>
          <cell r="F369">
            <v>13006000</v>
          </cell>
        </row>
        <row r="370">
          <cell r="C370" t="str">
            <v>U5988E</v>
          </cell>
          <cell r="E370" t="str">
            <v>HP CP Install Storage 8,16,24,32 port</v>
          </cell>
          <cell r="F370">
            <v>1413000</v>
          </cell>
        </row>
        <row r="372">
          <cell r="C372" t="str">
            <v>U5976E</v>
          </cell>
          <cell r="E372" t="str">
            <v>HP CP 3Y NxtDay HW M Series Dir base 64p</v>
          </cell>
          <cell r="F372">
            <v>18259000</v>
          </cell>
        </row>
        <row r="373">
          <cell r="A373" t="str">
            <v>316093-B21</v>
          </cell>
          <cell r="B373" t="str">
            <v>hp StorageWorks Director 2/140 with 64 ports</v>
          </cell>
          <cell r="C373" t="str">
            <v>U5977E</v>
          </cell>
          <cell r="E373" t="str">
            <v>HP CP 3Y 4H 13x5 HW M SeriesDir base 64p</v>
          </cell>
          <cell r="F373">
            <v>24740000</v>
          </cell>
        </row>
        <row r="374">
          <cell r="C374" t="str">
            <v>U5978E</v>
          </cell>
          <cell r="E374" t="str">
            <v>HP CP 3Y 4H 24x7HW M Series Dir base 64p</v>
          </cell>
          <cell r="F374">
            <v>32776000</v>
          </cell>
        </row>
        <row r="375">
          <cell r="C375" t="str">
            <v>U9318E</v>
          </cell>
          <cell r="E375" t="str">
            <v>HP CP 4Y 4H 13x5 M Series Dir base 64 p</v>
          </cell>
          <cell r="F375">
            <v>35482000</v>
          </cell>
        </row>
        <row r="376">
          <cell r="C376" t="str">
            <v>U9319E</v>
          </cell>
          <cell r="E376" t="str">
            <v>HP CP 4Y 4H 24x7 M Series Dir base 64 p</v>
          </cell>
          <cell r="F376">
            <v>46184000</v>
          </cell>
        </row>
        <row r="377">
          <cell r="C377" t="str">
            <v>U9320E</v>
          </cell>
          <cell r="E377" t="str">
            <v>HP CP 5Y 4H 13x5 M Series Dir base 64 p</v>
          </cell>
          <cell r="F377">
            <v>45728000</v>
          </cell>
        </row>
        <row r="378">
          <cell r="C378" t="str">
            <v>U9321E</v>
          </cell>
          <cell r="E378" t="str">
            <v>HP CP 5Y 4H 24x7 M Series Dir base 64 p</v>
          </cell>
          <cell r="F378">
            <v>58971000</v>
          </cell>
        </row>
        <row r="379">
          <cell r="C379" t="str">
            <v>U5990E</v>
          </cell>
          <cell r="E379" t="str">
            <v>HP CP Installation Strg Directors&amp;64 Swh</v>
          </cell>
          <cell r="F379">
            <v>1305000</v>
          </cell>
        </row>
        <row r="381">
          <cell r="C381" t="str">
            <v>U5979E</v>
          </cell>
          <cell r="E381" t="str">
            <v>HP CP 3Y NxtDay M Series Director upgkit</v>
          </cell>
          <cell r="F381">
            <v>951000</v>
          </cell>
        </row>
        <row r="382">
          <cell r="A382" t="str">
            <v>316094-B21</v>
          </cell>
          <cell r="B382" t="str">
            <v>hp StorageWorks Director 2/140 upgrade kit</v>
          </cell>
          <cell r="C382" t="str">
            <v>U5980E</v>
          </cell>
          <cell r="E382" t="str">
            <v>HP CP 3Y 4H 13x5 M SeriesDirector upgkit</v>
          </cell>
          <cell r="F382">
            <v>1289000</v>
          </cell>
        </row>
        <row r="383">
          <cell r="C383" t="str">
            <v>U5981E</v>
          </cell>
          <cell r="E383" t="str">
            <v>HP CP 3Y 4H 24x7 M SeriesDirector upgkit</v>
          </cell>
          <cell r="F383">
            <v>1707000</v>
          </cell>
        </row>
        <row r="384">
          <cell r="C384" t="str">
            <v>U9322E</v>
          </cell>
          <cell r="E384" t="str">
            <v>HP CP 4Y 4H 13x5 M SeriesDirector upgkit</v>
          </cell>
          <cell r="F384">
            <v>1827000</v>
          </cell>
        </row>
        <row r="385">
          <cell r="C385" t="str">
            <v>U9323E</v>
          </cell>
          <cell r="E385" t="str">
            <v>HP CP 4Y 4H 24x7 M SeriesDirector upgkit</v>
          </cell>
          <cell r="F385">
            <v>2378000</v>
          </cell>
        </row>
        <row r="386">
          <cell r="C386" t="str">
            <v>U9324E</v>
          </cell>
          <cell r="E386" t="str">
            <v>HP CP 5Y 4H 13x5 M SeriesDirector upgkit</v>
          </cell>
          <cell r="F386">
            <v>2354000</v>
          </cell>
        </row>
        <row r="387">
          <cell r="C387" t="str">
            <v>U9325E</v>
          </cell>
          <cell r="E387" t="str">
            <v>HP CP 5Y 4H 24x7 M SeriesDirector upgkit</v>
          </cell>
          <cell r="F387">
            <v>3036000</v>
          </cell>
        </row>
        <row r="388">
          <cell r="C388" t="str">
            <v>U5989E</v>
          </cell>
          <cell r="E388" t="str">
            <v>HP CP Inst Core blade, Rtr,Edge 12 ports</v>
          </cell>
          <cell r="F388">
            <v>457000</v>
          </cell>
        </row>
        <row r="390">
          <cell r="A390" t="str">
            <v>335701-B21</v>
          </cell>
          <cell r="B390" t="str">
            <v xml:space="preserve">HA-Fabric Manager Server ALL </v>
          </cell>
          <cell r="G390" t="str">
            <v>UA778PE</v>
          </cell>
        </row>
        <row r="391">
          <cell r="C391" t="str">
            <v>U9272E</v>
          </cell>
          <cell r="E391" t="str">
            <v>HP CP 3Y Support Plus HAFM Server</v>
          </cell>
          <cell r="F391">
            <v>6004000</v>
          </cell>
          <cell r="G391" t="str">
            <v>UA779PE</v>
          </cell>
        </row>
        <row r="392">
          <cell r="C392" t="str">
            <v>U9273E</v>
          </cell>
          <cell r="E392" t="str">
            <v>HP CP 1Y Support Plus HAFM Server</v>
          </cell>
          <cell r="F392">
            <v>1722000</v>
          </cell>
        </row>
        <row r="393">
          <cell r="C393" t="str">
            <v>U9274E</v>
          </cell>
          <cell r="E393" t="str">
            <v>HP CP 3Y Support Plus 24 HAFM Server</v>
          </cell>
          <cell r="F393">
            <v>7815000</v>
          </cell>
        </row>
        <row r="394">
          <cell r="C394" t="str">
            <v>U9275E</v>
          </cell>
          <cell r="E394" t="str">
            <v>HP CPe 1Y Support Plus 24 HAFM Server</v>
          </cell>
          <cell r="F394">
            <v>2346000</v>
          </cell>
        </row>
        <row r="395">
          <cell r="C395" t="str">
            <v>U5988E</v>
          </cell>
          <cell r="E395" t="str">
            <v>HP CP Install Storage 8,16,24,32 port</v>
          </cell>
          <cell r="F395">
            <v>1413000</v>
          </cell>
        </row>
        <row r="397">
          <cell r="C397" t="str">
            <v>U5988E</v>
          </cell>
          <cell r="E397" t="str">
            <v>HP CP Install Storage 8,16,24,32 port</v>
          </cell>
          <cell r="F397">
            <v>1413000</v>
          </cell>
        </row>
        <row r="398">
          <cell r="C398" t="str">
            <v>UB123E</v>
          </cell>
          <cell r="E398" t="str">
            <v>HP 1y Support Plus HAFM Appliance SVC</v>
          </cell>
          <cell r="F398">
            <v>1366000</v>
          </cell>
        </row>
        <row r="399">
          <cell r="A399" t="str">
            <v>A7489A</v>
          </cell>
          <cell r="B399" t="str">
            <v>HA FABRIC MANAGER APPLIANCE</v>
          </cell>
          <cell r="C399" t="str">
            <v>UB124E</v>
          </cell>
          <cell r="E399" t="str">
            <v>HP 1y Support Plus 24 HAFM Appliance SVC</v>
          </cell>
          <cell r="F399">
            <v>2190000</v>
          </cell>
        </row>
        <row r="400">
          <cell r="C400" t="str">
            <v>UB125E</v>
          </cell>
          <cell r="E400" t="str">
            <v>HP 3y Support Plus HAFM Appliance SVC</v>
          </cell>
          <cell r="F400">
            <v>9346000</v>
          </cell>
        </row>
        <row r="401">
          <cell r="C401" t="str">
            <v>UB126E</v>
          </cell>
          <cell r="E401" t="str">
            <v>HP 3y Support Plus 24 HAFM Appliance SVC</v>
          </cell>
          <cell r="F401">
            <v>11740000</v>
          </cell>
        </row>
        <row r="402">
          <cell r="C402" t="str">
            <v>U5988E</v>
          </cell>
          <cell r="E402" t="str">
            <v>HP CP Install Storage 8,16,24,32 port</v>
          </cell>
          <cell r="F402">
            <v>1413000</v>
          </cell>
        </row>
        <row r="403">
          <cell r="C403" t="str">
            <v>UB131E</v>
          </cell>
          <cell r="E403" t="str">
            <v>HP 1y Support Plus Appliancew/o HAFM SVC</v>
          </cell>
          <cell r="F403">
            <v>434000</v>
          </cell>
        </row>
        <row r="404">
          <cell r="A404" t="str">
            <v>A7509A</v>
          </cell>
          <cell r="B404" t="str">
            <v>HAFM APPLIANCE W/O HAFM</v>
          </cell>
          <cell r="C404" t="str">
            <v>UB132E</v>
          </cell>
          <cell r="E404" t="str">
            <v>HP 1y Support Plus 24 Appli w/o HAFM SVC</v>
          </cell>
          <cell r="F404">
            <v>607000</v>
          </cell>
        </row>
        <row r="405">
          <cell r="C405" t="str">
            <v>UB133E</v>
          </cell>
          <cell r="E405" t="str">
            <v>HP 3y Support Plus Appliancew/o HAFM SVC</v>
          </cell>
          <cell r="F405">
            <v>2258000</v>
          </cell>
        </row>
        <row r="406">
          <cell r="C406" t="str">
            <v>UB134E</v>
          </cell>
          <cell r="E406" t="str">
            <v>HP 3y Support Plus 24 Appli w/o HAFM SVC</v>
          </cell>
          <cell r="F406">
            <v>2759000</v>
          </cell>
        </row>
        <row r="408">
          <cell r="C408" t="str">
            <v>U9276E</v>
          </cell>
          <cell r="E408" t="str">
            <v xml:space="preserve">HP CP 3Y Next Day HW MDS 9120 </v>
          </cell>
          <cell r="F408">
            <v>2359000</v>
          </cell>
          <cell r="G408" t="str">
            <v>UA065PE</v>
          </cell>
        </row>
        <row r="409">
          <cell r="A409" t="str">
            <v>A7426A</v>
          </cell>
          <cell r="B409" t="str">
            <v>MDS 9120</v>
          </cell>
          <cell r="C409" t="str">
            <v>U9277E</v>
          </cell>
          <cell r="E409" t="str">
            <v>HP CP 3Y 4H 13x5 HW MDS 9120</v>
          </cell>
          <cell r="F409">
            <v>4326000</v>
          </cell>
          <cell r="G409" t="str">
            <v>UA066PE</v>
          </cell>
        </row>
        <row r="410">
          <cell r="C410" t="str">
            <v>U9278E</v>
          </cell>
          <cell r="E410" t="str">
            <v>HP CP 3Y 4H 24x7 HW MDS 9120</v>
          </cell>
          <cell r="F410">
            <v>5111000</v>
          </cell>
        </row>
        <row r="411">
          <cell r="C411" t="str">
            <v>U5988E</v>
          </cell>
          <cell r="E411" t="str">
            <v>HP CP Instl Router, Swt 8,12,16,24,32 pr</v>
          </cell>
          <cell r="F411">
            <v>1413000</v>
          </cell>
        </row>
        <row r="413">
          <cell r="C413" t="str">
            <v>U9279E</v>
          </cell>
          <cell r="E413" t="str">
            <v xml:space="preserve">HP CP 3Y Next Day HW MDS 9140 </v>
          </cell>
          <cell r="F413">
            <v>2949000</v>
          </cell>
          <cell r="G413" t="str">
            <v>UA067PE</v>
          </cell>
        </row>
        <row r="414">
          <cell r="A414" t="str">
            <v>A7427A</v>
          </cell>
          <cell r="B414" t="str">
            <v>MDS 9140</v>
          </cell>
          <cell r="C414" t="str">
            <v>U9280E</v>
          </cell>
          <cell r="E414" t="str">
            <v>HP CP 3Y 4H 13x5 HW MDS 9140</v>
          </cell>
          <cell r="F414">
            <v>5406000</v>
          </cell>
          <cell r="G414" t="str">
            <v>UA068PE</v>
          </cell>
        </row>
        <row r="415">
          <cell r="C415" t="str">
            <v>U9281E</v>
          </cell>
          <cell r="E415" t="str">
            <v>HP CP 3Y 4H 24x7 HW MDS 9140</v>
          </cell>
          <cell r="F415">
            <v>6390000</v>
          </cell>
        </row>
        <row r="416">
          <cell r="C416" t="str">
            <v>U5988E</v>
          </cell>
          <cell r="E416" t="str">
            <v>HP CP Instl Router, Swt 8,12,16,24,32 pr</v>
          </cell>
          <cell r="F416">
            <v>1413000</v>
          </cell>
        </row>
        <row r="418">
          <cell r="C418" t="str">
            <v>U9918E</v>
          </cell>
          <cell r="E418" t="str">
            <v>HP CP 3Y Next Day HW Prt Analyzer Adpt</v>
          </cell>
          <cell r="F418">
            <v>426000</v>
          </cell>
          <cell r="G418" t="str">
            <v>UA069PE</v>
          </cell>
        </row>
        <row r="419">
          <cell r="A419" t="str">
            <v>A7430A</v>
          </cell>
          <cell r="B419" t="str">
            <v>MDS Port Analyzer Adapter</v>
          </cell>
          <cell r="C419" t="str">
            <v>U9919E</v>
          </cell>
          <cell r="E419" t="str">
            <v>HP CP 3Y 4H 13x5 HW Prt Analyzer Adpt</v>
          </cell>
          <cell r="F419">
            <v>782000</v>
          </cell>
          <cell r="G419" t="str">
            <v>UA262PE</v>
          </cell>
        </row>
        <row r="420">
          <cell r="C420" t="str">
            <v>U9920E</v>
          </cell>
          <cell r="E420" t="str">
            <v>HP CP 3Y 4H 24x7 HW Prt Analyzer Adpt</v>
          </cell>
          <cell r="F420">
            <v>925000</v>
          </cell>
        </row>
        <row r="423">
          <cell r="A423" t="str">
            <v>308540-B21</v>
          </cell>
          <cell r="B423" t="str">
            <v>FCA2355 - 64BIT 2GB PCI FC HBA, W2K</v>
          </cell>
        </row>
        <row r="424">
          <cell r="A424" t="str">
            <v>321835-B21</v>
          </cell>
          <cell r="B424" t="str">
            <v>FCA2214DC - PL LL</v>
          </cell>
          <cell r="G424" t="str">
            <v>UA265PE</v>
          </cell>
        </row>
        <row r="425">
          <cell r="A425" t="str">
            <v>245299-B21</v>
          </cell>
          <cell r="B425" t="str">
            <v>PCI-FCH HBA 2GB W2K ALL</v>
          </cell>
          <cell r="G425" t="str">
            <v>UA266PE</v>
          </cell>
        </row>
        <row r="426">
          <cell r="A426" t="str">
            <v>254456-B21</v>
          </cell>
          <cell r="B426" t="str">
            <v>PCI-FC 2 GB HBA SOL ALL</v>
          </cell>
          <cell r="C426" t="str">
            <v>U5982E</v>
          </cell>
          <cell r="E426" t="str">
            <v>HP CP 3Y NxtDay HW HBAs</v>
          </cell>
          <cell r="F426">
            <v>489000</v>
          </cell>
        </row>
        <row r="427">
          <cell r="A427" t="str">
            <v>254457-B21</v>
          </cell>
          <cell r="B427" t="str">
            <v>cPCI-FC 1 GB HBA SOL ALL</v>
          </cell>
          <cell r="C427" t="str">
            <v>U5983E</v>
          </cell>
          <cell r="E427" t="str">
            <v>HP CP 3Y 4H 13x5 HW HBAs</v>
          </cell>
          <cell r="F427">
            <v>818000</v>
          </cell>
        </row>
        <row r="428">
          <cell r="A428" t="str">
            <v>254458-B21</v>
          </cell>
          <cell r="B428" t="str">
            <v>SBUS-FC 1 GB HBA SOL ALL</v>
          </cell>
          <cell r="C428" t="str">
            <v>U5984E</v>
          </cell>
          <cell r="E428" t="str">
            <v>HP CP 3Y 4H 24x7 HW HBAs</v>
          </cell>
          <cell r="F428">
            <v>948000</v>
          </cell>
        </row>
        <row r="429">
          <cell r="A429" t="str">
            <v>197819-B21</v>
          </cell>
          <cell r="B429" t="str">
            <v>IBM FC ADPT PCI SWTCH ALL</v>
          </cell>
          <cell r="C429" t="str">
            <v>U9414E</v>
          </cell>
          <cell r="E429" t="str">
            <v>HP CP 4Y 4H 13x5 HBAs</v>
          </cell>
          <cell r="F429">
            <v>1106000</v>
          </cell>
        </row>
        <row r="430">
          <cell r="A430" t="str">
            <v>302784-B21</v>
          </cell>
          <cell r="B430" t="str">
            <v>64BIT 2GB PCIX FC HBA ALL</v>
          </cell>
          <cell r="C430" t="str">
            <v>U9415E</v>
          </cell>
          <cell r="E430" t="str">
            <v>HP CP 4Y 4H 24x7 HBAs</v>
          </cell>
          <cell r="F430">
            <v>1278000</v>
          </cell>
        </row>
        <row r="431">
          <cell r="A431" t="str">
            <v>176479-B21</v>
          </cell>
          <cell r="B431" t="str">
            <v>64 bit FC HBA NT-RA8K ALL</v>
          </cell>
          <cell r="C431" t="str">
            <v>U9416E</v>
          </cell>
          <cell r="E431" t="str">
            <v>HP CP 5Y 4H 13x5 HBAs</v>
          </cell>
          <cell r="F431">
            <v>1382000</v>
          </cell>
        </row>
        <row r="432">
          <cell r="A432" t="str">
            <v>281540-B21</v>
          </cell>
          <cell r="B432" t="str">
            <v>FC HBA 2GB 64 Bit NW ALL</v>
          </cell>
          <cell r="C432" t="str">
            <v>U9417E</v>
          </cell>
          <cell r="E432" t="str">
            <v>HP CP 5Y 4H 24x7 HBAs</v>
          </cell>
          <cell r="F432">
            <v>1592000</v>
          </cell>
        </row>
        <row r="433">
          <cell r="A433" t="str">
            <v>281541-B21</v>
          </cell>
          <cell r="B433" t="str">
            <v>FC HBA 2GB 64 Bit LNX ALL</v>
          </cell>
        </row>
        <row r="434">
          <cell r="C434" t="str">
            <v>U6305E</v>
          </cell>
          <cell r="E434" t="str">
            <v>HP CP Installation Storage HBAs</v>
          </cell>
          <cell r="F434">
            <v>457000</v>
          </cell>
        </row>
        <row r="435">
          <cell r="A435" t="str">
            <v>305573-B21</v>
          </cell>
          <cell r="B435" t="str">
            <v xml:space="preserve">E982 PCIx 2GBFC HBA ALL </v>
          </cell>
        </row>
        <row r="436">
          <cell r="A436" t="str">
            <v>343073-B21</v>
          </cell>
          <cell r="B436" t="str">
            <v xml:space="preserve">E982 PCIx 2GB Fibre Channel HBA All </v>
          </cell>
          <cell r="C436" t="str">
            <v>U6445E</v>
          </cell>
          <cell r="E436" t="str">
            <v xml:space="preserve">HP CP 3Y 2H 13x5 Strg HBAs </v>
          </cell>
          <cell r="F436">
            <v>940000</v>
          </cell>
        </row>
        <row r="437">
          <cell r="A437" t="str">
            <v>323264-B21</v>
          </cell>
          <cell r="B437" t="str">
            <v xml:space="preserve">2GB Dual Channel PCI-X for WIN All </v>
          </cell>
          <cell r="C437" t="str">
            <v>U6446E</v>
          </cell>
          <cell r="E437" t="str">
            <v xml:space="preserve">HP CP 3Y 2H 24x7 Strg HBAs </v>
          </cell>
          <cell r="F437">
            <v>1091000</v>
          </cell>
        </row>
        <row r="440">
          <cell r="A440" t="str">
            <v>C4473A</v>
          </cell>
          <cell r="B440" t="str">
            <v xml:space="preserve">HP SureStore NetStorage 6000 4 36GB </v>
          </cell>
          <cell r="C440" t="str">
            <v>N/A</v>
          </cell>
          <cell r="E440" t="str">
            <v>N/A</v>
          </cell>
          <cell r="G440" t="str">
            <v>n/a</v>
          </cell>
        </row>
        <row r="441">
          <cell r="A441" t="str">
            <v>C4474A</v>
          </cell>
          <cell r="B441" t="str">
            <v xml:space="preserve">HP SureStore NetStorage 6000 7 36GB </v>
          </cell>
        </row>
        <row r="442">
          <cell r="A442" t="str">
            <v>C4475A</v>
          </cell>
          <cell r="B442" t="str">
            <v xml:space="preserve">HP SureStore NetStorage 6000 10 36GB </v>
          </cell>
        </row>
        <row r="443">
          <cell r="A443" t="str">
            <v>C4485A</v>
          </cell>
          <cell r="B443" t="str">
            <v xml:space="preserve">HP SureStore NetStorage 6000 4 73GB </v>
          </cell>
        </row>
        <row r="444">
          <cell r="A444" t="str">
            <v>C4486A</v>
          </cell>
          <cell r="B444" t="str">
            <v xml:space="preserve">HP SureStore NetStorage 6000 7 73GB </v>
          </cell>
        </row>
        <row r="445">
          <cell r="A445" t="str">
            <v>C4487A</v>
          </cell>
          <cell r="B445" t="str">
            <v xml:space="preserve">HP SureStore NetStorage 6000 10 73GB </v>
          </cell>
        </row>
        <row r="447">
          <cell r="A447" t="str">
            <v>A5635A</v>
          </cell>
          <cell r="B447" t="str">
            <v xml:space="preserve">SureStore E Disk Array FC60 for NT </v>
          </cell>
          <cell r="C447" t="str">
            <v>N/A</v>
          </cell>
          <cell r="E447" t="str">
            <v>N/A</v>
          </cell>
          <cell r="G447" t="str">
            <v>n/a</v>
          </cell>
        </row>
        <row r="452">
          <cell r="A452" t="str">
            <v>C1556D</v>
          </cell>
          <cell r="B452" t="str">
            <v>HP SureStore DAT 24e 24GB Ext Tape Drive</v>
          </cell>
          <cell r="C452" t="str">
            <v>H3155E</v>
          </cell>
          <cell r="E452" t="str">
            <v>HP CP 3Y Nxt Day DAT/DDS External Tape</v>
          </cell>
          <cell r="F452">
            <v>294000</v>
          </cell>
          <cell r="G452" t="str">
            <v>UA450PE</v>
          </cell>
        </row>
        <row r="453">
          <cell r="A453" t="str">
            <v>C5653C</v>
          </cell>
          <cell r="B453" t="str">
            <v>HP SureStore DAT 24eU 24GB Ext Tape Drive</v>
          </cell>
          <cell r="C453" t="str">
            <v>H4616E</v>
          </cell>
          <cell r="E453" t="str">
            <v>HP CP 3Y 4H 13x5 DAT/DDS External Tape</v>
          </cell>
          <cell r="F453">
            <v>383000</v>
          </cell>
          <cell r="G453" t="str">
            <v>UA451PE</v>
          </cell>
        </row>
        <row r="454">
          <cell r="A454" t="str">
            <v>C5686B</v>
          </cell>
          <cell r="B454" t="str">
            <v xml:space="preserve">HP DAT 40 Internal Tape Drive </v>
          </cell>
          <cell r="C454" t="str">
            <v>U2068E</v>
          </cell>
          <cell r="E454" t="str">
            <v>HP CP 3Y 4H 24x7 DAT/DDS External Tape</v>
          </cell>
          <cell r="F454">
            <v>493000</v>
          </cell>
          <cell r="G454" t="str">
            <v>UA452PE</v>
          </cell>
        </row>
        <row r="455">
          <cell r="A455" t="str">
            <v>C5687A</v>
          </cell>
          <cell r="B455" t="str">
            <v xml:space="preserve">HP SureStore DAT40e 40GB Ext UNIX comp </v>
          </cell>
          <cell r="C455" t="str">
            <v>U6358E</v>
          </cell>
          <cell r="E455" t="str">
            <v>HP CP 3Y 6H CTR SureStore DAT/DLT</v>
          </cell>
          <cell r="F455">
            <v>965000</v>
          </cell>
          <cell r="G455" t="str">
            <v>UA453PE</v>
          </cell>
        </row>
        <row r="456">
          <cell r="A456" t="str">
            <v>C5687B</v>
          </cell>
          <cell r="B456" t="str">
            <v xml:space="preserve">HP DAT 40e External Tape Drive </v>
          </cell>
          <cell r="C456" t="str">
            <v>U9338E</v>
          </cell>
          <cell r="E456" t="str">
            <v>HP CP 4Y 4H 13x5 SureStore DAT/DLT</v>
          </cell>
          <cell r="F456">
            <v>522000</v>
          </cell>
        </row>
        <row r="457">
          <cell r="A457" t="str">
            <v>C5687C</v>
          </cell>
          <cell r="B457" t="str">
            <v xml:space="preserve">HP DAT 40 External Tape Drive </v>
          </cell>
          <cell r="C457" t="str">
            <v>U9339E</v>
          </cell>
          <cell r="E457" t="str">
            <v>HP CP 4Y 4H 24x7 SureStore DAT/DLT</v>
          </cell>
          <cell r="F457">
            <v>667000</v>
          </cell>
        </row>
        <row r="458">
          <cell r="A458" t="str">
            <v>C6525A</v>
          </cell>
          <cell r="B458" t="str">
            <v xml:space="preserve">HP SureStore DAT24k Tape Drive </v>
          </cell>
          <cell r="C458" t="str">
            <v>U9340E</v>
          </cell>
          <cell r="E458" t="str">
            <v>HP CP 5Y 4H 13x5 SureStore DAT/DLT</v>
          </cell>
          <cell r="F458">
            <v>655000</v>
          </cell>
        </row>
        <row r="459">
          <cell r="A459" t="str">
            <v>C6541A</v>
          </cell>
          <cell r="B459" t="str">
            <v xml:space="preserve">HP SureStore DAT40k Tape Drive </v>
          </cell>
          <cell r="C459" t="str">
            <v>U9341E</v>
          </cell>
          <cell r="E459" t="str">
            <v>HP CP 5Y 4H 24x7 SureStore DAT/DLT</v>
          </cell>
          <cell r="F459">
            <v>833000</v>
          </cell>
        </row>
        <row r="460">
          <cell r="A460" t="str">
            <v>C7503A</v>
          </cell>
          <cell r="B460" t="str">
            <v>HP SureStore DLT VS80 External Tape Drive</v>
          </cell>
        </row>
        <row r="461">
          <cell r="A461" t="str">
            <v>157770-B32</v>
          </cell>
          <cell r="B461" t="str">
            <v>DAT 2040 DRV Ext CRB INTL</v>
          </cell>
          <cell r="C461" t="str">
            <v>U2090E</v>
          </cell>
          <cell r="E461" t="str">
            <v>HP CP Install Stg Autoldr/TapeDrv&amp;Array</v>
          </cell>
          <cell r="F461">
            <v>540000</v>
          </cell>
        </row>
        <row r="462">
          <cell r="A462" t="str">
            <v>216885-B31</v>
          </cell>
          <cell r="B462" t="str">
            <v>35 AIT LVD External INTL </v>
          </cell>
        </row>
        <row r="463">
          <cell r="A463" t="str">
            <v>280129-B31</v>
          </cell>
          <cell r="B463" t="str">
            <v>DLT VS80 40/80 Extrnl INTL </v>
          </cell>
          <cell r="C463" t="str">
            <v>U6437E</v>
          </cell>
          <cell r="E463" t="str">
            <v xml:space="preserve">HP CP 3Y 2H 13x5 Strg SureStore DAT/DLT </v>
          </cell>
          <cell r="F463">
            <v>730000</v>
          </cell>
        </row>
        <row r="464">
          <cell r="A464" t="str">
            <v>Q1523A</v>
          </cell>
          <cell r="B464" t="str">
            <v>HP DAT 72e External Tape Drive</v>
          </cell>
          <cell r="C464" t="str">
            <v>U6438E</v>
          </cell>
          <cell r="E464" t="str">
            <v xml:space="preserve">HP CP 3Y 2H 24x7 Strg SureStore DAT/DLT </v>
          </cell>
          <cell r="F464">
            <v>941000</v>
          </cell>
        </row>
        <row r="465">
          <cell r="A465" t="str">
            <v>337699-B22</v>
          </cell>
          <cell r="B465" t="str">
            <v xml:space="preserve">HP StorageWorks DLT VS 80 External NA </v>
          </cell>
        </row>
        <row r="466">
          <cell r="A466" t="str">
            <v>337699-291</v>
          </cell>
          <cell r="B466" t="str">
            <v xml:space="preserve">HP StorageWorks DLT VS 80 External JPN </v>
          </cell>
        </row>
        <row r="467">
          <cell r="A467" t="str">
            <v>337699-B31</v>
          </cell>
          <cell r="B467" t="str">
            <v xml:space="preserve">HP StorageWorks DLT VS 80 External WW </v>
          </cell>
        </row>
        <row r="469">
          <cell r="A469" t="str">
            <v>C5725A</v>
          </cell>
          <cell r="B469" t="str">
            <v>HP DLT 80i Internal Tape Drive</v>
          </cell>
          <cell r="C469" t="str">
            <v>H3157E</v>
          </cell>
          <cell r="E469" t="str">
            <v>HP CP 3Y Nxt Day DLT/LTO External Tape</v>
          </cell>
          <cell r="F469">
            <v>800000</v>
          </cell>
        </row>
        <row r="470">
          <cell r="A470" t="str">
            <v>C5726A</v>
          </cell>
          <cell r="B470" t="str">
            <v xml:space="preserve">HP SureStore DLT80e </v>
          </cell>
          <cell r="C470" t="str">
            <v>H4617E</v>
          </cell>
          <cell r="E470" t="str">
            <v>HP CP 3Y 4H 13x5 DLT/LTO External Tape</v>
          </cell>
          <cell r="F470">
            <v>1044000</v>
          </cell>
          <cell r="G470" t="str">
            <v>UA454PE</v>
          </cell>
        </row>
        <row r="471">
          <cell r="A471" t="str">
            <v>C7401A</v>
          </cell>
          <cell r="B471" t="str">
            <v xml:space="preserve">HP SureStore Ultrium 230 Ext Tape Drive </v>
          </cell>
          <cell r="C471" t="str">
            <v>H4622E</v>
          </cell>
          <cell r="E471" t="str">
            <v>HP CP 3Y 4H 24x7 DLT/LTO External Tape</v>
          </cell>
          <cell r="F471">
            <v>1346000</v>
          </cell>
          <cell r="G471" t="str">
            <v>UA455PE</v>
          </cell>
        </row>
        <row r="472">
          <cell r="A472" t="str">
            <v>C7401B</v>
          </cell>
          <cell r="B472" t="str">
            <v>HP Ultrium 230e External Tape Drive</v>
          </cell>
          <cell r="C472" t="str">
            <v>U6359E</v>
          </cell>
          <cell r="E472" t="str">
            <v>HP CP 3Y 6H CTR SureStore (DLT/LTO)</v>
          </cell>
          <cell r="F472">
            <v>2633000</v>
          </cell>
          <cell r="G472" t="str">
            <v>UA456PE</v>
          </cell>
        </row>
        <row r="473">
          <cell r="A473" t="str">
            <v>C7421A</v>
          </cell>
          <cell r="B473" t="str">
            <v>HP SureStore Ultrium 215 External Tape Drive</v>
          </cell>
          <cell r="C473" t="str">
            <v>U9342E</v>
          </cell>
          <cell r="E473" t="str">
            <v>HP CP 4Y 4H 13x5 SureStore (DLT/LTO)</v>
          </cell>
          <cell r="F473">
            <v>1423000</v>
          </cell>
          <cell r="G473" t="str">
            <v>UA457PE</v>
          </cell>
        </row>
        <row r="474">
          <cell r="A474" t="str">
            <v>C7421B</v>
          </cell>
          <cell r="B474" t="str">
            <v>HP Ultrium 215e External Tape Drive</v>
          </cell>
          <cell r="C474" t="str">
            <v>U9343E</v>
          </cell>
          <cell r="E474" t="str">
            <v>HP CP 4Y 4H 24x7 SureStore (DLT/LTO)</v>
          </cell>
          <cell r="F474">
            <v>1819000</v>
          </cell>
        </row>
        <row r="475">
          <cell r="A475" t="str">
            <v>Q1509A</v>
          </cell>
          <cell r="B475" t="str">
            <v>HP S'store Ultrium Gen2 External Tape Drive</v>
          </cell>
          <cell r="C475" t="str">
            <v>U9344E</v>
          </cell>
          <cell r="E475" t="str">
            <v>HP CP 5Y 4H 13x5 SureStore (DLT/LTO)</v>
          </cell>
          <cell r="F475">
            <v>1787000</v>
          </cell>
        </row>
        <row r="476">
          <cell r="A476" t="str">
            <v>Q1519A</v>
          </cell>
          <cell r="B476" t="str">
            <v>Proliant Ultrium Gen2 External (US)</v>
          </cell>
          <cell r="C476" t="str">
            <v>U9345E</v>
          </cell>
          <cell r="E476" t="str">
            <v>HP CP 5Y 4H 24x7 SureStore (DLT/LTO)</v>
          </cell>
          <cell r="F476">
            <v>2271000</v>
          </cell>
        </row>
        <row r="477">
          <cell r="A477" t="str">
            <v>Q1520A</v>
          </cell>
          <cell r="B477" t="str">
            <v>Proliant Ultrium Gen2 External (Int)</v>
          </cell>
        </row>
        <row r="478">
          <cell r="A478" t="str">
            <v>Q1517A</v>
          </cell>
          <cell r="B478" t="str">
            <v xml:space="preserve">LTO 100/200 GB Ext </v>
          </cell>
          <cell r="C478" t="str">
            <v>U2090E</v>
          </cell>
          <cell r="E478" t="str">
            <v>HP CP Install Stg Autoldr/TapeDrv&amp;Array</v>
          </cell>
          <cell r="F478">
            <v>540000</v>
          </cell>
        </row>
        <row r="479">
          <cell r="A479" t="str">
            <v>C7395B</v>
          </cell>
          <cell r="B479" t="str">
            <v>HP Trade-Ready Ultrium 230 - dove grey</v>
          </cell>
        </row>
        <row r="480">
          <cell r="A480" t="str">
            <v>C6529A</v>
          </cell>
          <cell r="B480" t="str">
            <v xml:space="preserve">HP SureStore DLT 80k Tape Drive </v>
          </cell>
          <cell r="C480" t="str">
            <v>U6439E</v>
          </cell>
          <cell r="E480" t="str">
            <v xml:space="preserve">HP CP 3Y 2H 13x5 Strg SureStore DLT/LTO </v>
          </cell>
          <cell r="F480">
            <v>2142000</v>
          </cell>
        </row>
        <row r="481">
          <cell r="A481" t="str">
            <v>C7396B</v>
          </cell>
          <cell r="B481" t="str">
            <v>HP Trade-Ready Ultrium 230 - white </v>
          </cell>
          <cell r="C481" t="str">
            <v>U6440E</v>
          </cell>
          <cell r="E481" t="str">
            <v xml:space="preserve">HP CP 3Y 2H 24x7 Strg SureStore DLT/LTO </v>
          </cell>
          <cell r="F481">
            <v>2763000</v>
          </cell>
        </row>
        <row r="482">
          <cell r="A482" t="str">
            <v>C7400A</v>
          </cell>
          <cell r="B482" t="str">
            <v>HP Ultrium 230i Internal Tape Drive</v>
          </cell>
        </row>
        <row r="483">
          <cell r="A483" t="str">
            <v>C7420A</v>
          </cell>
          <cell r="B483" t="str">
            <v>HP Ultrium 215i Internal Tape Drive </v>
          </cell>
        </row>
        <row r="484">
          <cell r="A484" t="str">
            <v>C7422B</v>
          </cell>
          <cell r="B484" t="str">
            <v>HP Trade-Ready Ultrium 215 Tape Drive</v>
          </cell>
        </row>
        <row r="485">
          <cell r="A485" t="str">
            <v>C7515A</v>
          </cell>
          <cell r="B485" t="str">
            <v>HP Ultrium 230 Internal Solution Bundle </v>
          </cell>
        </row>
        <row r="486">
          <cell r="A486" t="str">
            <v>C7516A</v>
          </cell>
          <cell r="B486" t="str">
            <v>HP Ultrium 230e solution bundle </v>
          </cell>
        </row>
        <row r="487">
          <cell r="A487" t="str">
            <v>C7516B</v>
          </cell>
          <cell r="B487" t="str">
            <v>HP Ultrium 230 External Solution Bundle</v>
          </cell>
        </row>
        <row r="488">
          <cell r="A488" t="str">
            <v>C7517A</v>
          </cell>
          <cell r="B488" t="str">
            <v>HP Ultrium 215 Internal Solution Bundle </v>
          </cell>
        </row>
        <row r="489">
          <cell r="A489" t="str">
            <v>C7518A</v>
          </cell>
          <cell r="B489" t="str">
            <v>SureStore Ultrium 215e solution bundle</v>
          </cell>
        </row>
        <row r="490">
          <cell r="A490" t="str">
            <v>C7518B</v>
          </cell>
          <cell r="B490" t="str">
            <v>HP Ultrium 215 External Solution Bundle</v>
          </cell>
        </row>
        <row r="491">
          <cell r="A491" t="str">
            <v>Q1516A</v>
          </cell>
          <cell r="B491" t="str">
            <v>LTO 100/200 GB Ext US </v>
          </cell>
        </row>
        <row r="492">
          <cell r="A492" t="str">
            <v>Q1517A</v>
          </cell>
          <cell r="B492" t="str">
            <v>LTO 100/200 GB Ext </v>
          </cell>
        </row>
        <row r="493">
          <cell r="A493" t="str">
            <v>Q1545A</v>
          </cell>
          <cell r="B493" t="str">
            <v>HP Ultrium 215 external (carbon) Intl</v>
          </cell>
        </row>
        <row r="494">
          <cell r="A494" t="str">
            <v>146197-293</v>
          </cell>
          <cell r="B494" t="str">
            <v xml:space="preserve">DLT 40/80 External JPN2 </v>
          </cell>
        </row>
        <row r="495">
          <cell r="A495" t="str">
            <v>146197-B23</v>
          </cell>
          <cell r="B495" t="str">
            <v>DLT 4080 DR Ext CRB JPN2</v>
          </cell>
        </row>
        <row r="496">
          <cell r="A496" t="str">
            <v>157767-B32</v>
          </cell>
          <cell r="B496" t="str">
            <v xml:space="preserve">AIT 50100 DRV, EXT CR INTL  </v>
          </cell>
        </row>
        <row r="497">
          <cell r="A497" t="str">
            <v>192103-292</v>
          </cell>
          <cell r="B497" t="str">
            <v>SDLT 110/220, External JPN2</v>
          </cell>
        </row>
        <row r="498">
          <cell r="A498" t="str">
            <v>192103-B32</v>
          </cell>
          <cell r="B498" t="str">
            <v>SDLT 110 Drive EXT CRB JPN2</v>
          </cell>
        </row>
        <row r="499">
          <cell r="A499" t="str">
            <v>249160-001</v>
          </cell>
          <cell r="B499" t="str">
            <v xml:space="preserve">AIT 100/200 GB Extrnl US  </v>
          </cell>
        </row>
        <row r="500">
          <cell r="A500" t="str">
            <v>249160-B31</v>
          </cell>
          <cell r="B500" t="str">
            <v>AIT 100/200 GB Extrnl US</v>
          </cell>
        </row>
        <row r="501">
          <cell r="A501" t="str">
            <v>257319-B31</v>
          </cell>
          <cell r="B501" t="str">
            <v xml:space="preserve">SDLT 160/320 GB Extrn INTL  </v>
          </cell>
        </row>
        <row r="502">
          <cell r="A502" t="str">
            <v>274331-B21</v>
          </cell>
          <cell r="B502" t="str">
            <v>SDLT 160/320 GB Extrn INTL</v>
          </cell>
        </row>
        <row r="503">
          <cell r="A503" t="str">
            <v>274332-B21</v>
          </cell>
          <cell r="B503" t="str">
            <v>DLT 40/80 RM All ALL </v>
          </cell>
        </row>
        <row r="505">
          <cell r="C505" t="str">
            <v>UB135E</v>
          </cell>
          <cell r="E505" t="str">
            <v>HP 3Y 4H 13x5 Onsite 1U Tape Array SVC</v>
          </cell>
          <cell r="F505">
            <v>905000</v>
          </cell>
        </row>
        <row r="506">
          <cell r="C506" t="str">
            <v>UB136E</v>
          </cell>
          <cell r="E506" t="str">
            <v xml:space="preserve">HP 3Y Next day 1U Tape Array SVC </v>
          </cell>
          <cell r="F506">
            <v>693000</v>
          </cell>
        </row>
        <row r="507">
          <cell r="A507" t="str">
            <v>A7443A</v>
          </cell>
          <cell r="B507" t="str">
            <v>HP SureStore Tape Array 5300</v>
          </cell>
          <cell r="C507" t="str">
            <v>UB137E</v>
          </cell>
          <cell r="E507" t="str">
            <v>HP 3Y 4H 24x7 1U Tape Array SVC</v>
          </cell>
          <cell r="F507">
            <v>1167000</v>
          </cell>
        </row>
        <row r="508">
          <cell r="A508" t="str">
            <v>A7444A</v>
          </cell>
          <cell r="B508" t="str">
            <v>3U Rackmount Kit All</v>
          </cell>
          <cell r="C508" t="str">
            <v>UB138E</v>
          </cell>
          <cell r="E508" t="str">
            <v>HP 3Y 6H CTR 1U Tape Array SVC</v>
          </cell>
          <cell r="F508">
            <v>2283000</v>
          </cell>
        </row>
        <row r="509">
          <cell r="A509" t="str">
            <v>A7445A</v>
          </cell>
          <cell r="C509" t="str">
            <v>UB139PE</v>
          </cell>
          <cell r="E509" t="str">
            <v>HP PW 1Y PW Nxt Day 1U Tape Array SVC</v>
          </cell>
        </row>
        <row r="510">
          <cell r="C510" t="str">
            <v>UB140E</v>
          </cell>
          <cell r="E510" t="str">
            <v>HP 4Y 4H 13x5 Onsite 1U Tape Array SVC</v>
          </cell>
          <cell r="F510">
            <v>1234000</v>
          </cell>
        </row>
        <row r="511">
          <cell r="C511" t="str">
            <v>UB141E</v>
          </cell>
          <cell r="E511" t="str">
            <v>HP 5Y 4H 24x7 1U Tape Array SVC</v>
          </cell>
          <cell r="F511">
            <v>1969000</v>
          </cell>
        </row>
        <row r="512">
          <cell r="C512" t="str">
            <v>UB144E</v>
          </cell>
          <cell r="E512" t="str">
            <v>HP 5Y 4H 13x5 Onsite 1U Tape Array SVC</v>
          </cell>
          <cell r="F512">
            <v>1548000</v>
          </cell>
        </row>
        <row r="513">
          <cell r="C513" t="str">
            <v>UB148E</v>
          </cell>
          <cell r="E513" t="str">
            <v>HP 4Y 4H 24x7 1U Tape Array SVC</v>
          </cell>
          <cell r="F513">
            <v>1577000</v>
          </cell>
        </row>
        <row r="514">
          <cell r="C514" t="str">
            <v>U2090E</v>
          </cell>
          <cell r="E514" t="str">
            <v>HP CP Install Stg Autoldr/TapeDrv&amp;Array</v>
          </cell>
          <cell r="F514">
            <v>540000</v>
          </cell>
        </row>
        <row r="515">
          <cell r="C515" t="str">
            <v>UB147PE</v>
          </cell>
          <cell r="E515" t="str">
            <v>HP PW 1Y PW 4H 13x5 1U Tape Array SVC</v>
          </cell>
        </row>
        <row r="516">
          <cell r="C516" t="str">
            <v>UC005PE</v>
          </cell>
          <cell r="E516" t="str">
            <v>HP PW 1Y PW 4H 24x7 1U Tape Array SVC</v>
          </cell>
        </row>
        <row r="517">
          <cell r="C517" t="str">
            <v>UC006PE</v>
          </cell>
          <cell r="E517" t="str">
            <v>HP PW 1Y PW 6H CTR 1U Tape Array SVC</v>
          </cell>
        </row>
        <row r="519">
          <cell r="C519" t="str">
            <v>H4618E</v>
          </cell>
          <cell r="E519" t="str">
            <v>HP CP 3Y 4H 13x5 Tape Array 5500/5300</v>
          </cell>
          <cell r="F519">
            <v>1148000</v>
          </cell>
          <cell r="G519" t="str">
            <v>UA458PE</v>
          </cell>
        </row>
        <row r="520">
          <cell r="A520" t="str">
            <v>C7508A</v>
          </cell>
          <cell r="B520" t="str">
            <v>HP SureStore Tape Array 5300</v>
          </cell>
          <cell r="C520" t="str">
            <v>H4623E</v>
          </cell>
          <cell r="E520" t="str">
            <v>HP CP 3Y 4H 24x7 Tape Array 5500/5300</v>
          </cell>
          <cell r="F520">
            <v>1480000</v>
          </cell>
          <cell r="G520" t="str">
            <v>UA459PE</v>
          </cell>
        </row>
        <row r="521">
          <cell r="A521" t="str">
            <v>274338-B21</v>
          </cell>
          <cell r="B521" t="str">
            <v>3U Rackmount Kit All</v>
          </cell>
          <cell r="C521" t="str">
            <v>U6368E</v>
          </cell>
          <cell r="E521" t="str">
            <v>HP CP 3Y 6H CTR 4 Bay Rack2</v>
          </cell>
          <cell r="F521">
            <v>4706000</v>
          </cell>
          <cell r="G521" t="str">
            <v>UA460PE</v>
          </cell>
        </row>
        <row r="522">
          <cell r="C522" t="str">
            <v>U9346E</v>
          </cell>
          <cell r="E522" t="str">
            <v>HP CP 4Y 4H 13x5 Tape Array - 4 Bay Rack</v>
          </cell>
          <cell r="F522">
            <v>1565000</v>
          </cell>
          <cell r="G522" t="str">
            <v>UA461PE</v>
          </cell>
        </row>
        <row r="523">
          <cell r="C523" t="str">
            <v>U9347E</v>
          </cell>
          <cell r="E523" t="str">
            <v>HP CP 4Y 4H 24x7 Tape Array - 4 Bay Rack</v>
          </cell>
          <cell r="F523">
            <v>2002000</v>
          </cell>
        </row>
        <row r="524">
          <cell r="C524" t="str">
            <v>U9348E</v>
          </cell>
          <cell r="E524" t="str">
            <v>HP CP 5Y 4H 13x5 Tape Array - 4 Bay Rack</v>
          </cell>
          <cell r="F524">
            <v>1965000</v>
          </cell>
        </row>
        <row r="525">
          <cell r="C525" t="str">
            <v>U9349E</v>
          </cell>
          <cell r="E525" t="str">
            <v>HP CP 5Y 4H 24x7 Tape Array - 4 Bay Rack</v>
          </cell>
          <cell r="F525">
            <v>2499000</v>
          </cell>
        </row>
        <row r="526">
          <cell r="C526" t="str">
            <v>U2090E</v>
          </cell>
          <cell r="E526" t="str">
            <v>HP CP Install Stg Autoldr/TapeDrv&amp;Array</v>
          </cell>
          <cell r="F526">
            <v>540000</v>
          </cell>
        </row>
        <row r="528">
          <cell r="C528" t="str">
            <v>U6369E</v>
          </cell>
          <cell r="E528" t="str">
            <v>HP CP 3Y 4H 13x5 5 Bay Rack</v>
          </cell>
          <cell r="F528">
            <v>3652000</v>
          </cell>
          <cell r="G528" t="str">
            <v>UA462PE</v>
          </cell>
        </row>
        <row r="529">
          <cell r="A529" t="str">
            <v>C1354A</v>
          </cell>
          <cell r="B529" t="str">
            <v xml:space="preserve">HP SureStore H/A Tape Array 5500 </v>
          </cell>
          <cell r="C529" t="str">
            <v>U6370E</v>
          </cell>
          <cell r="E529" t="str">
            <v>HP CP 3Y 4H 24x7 5 Bay Rack</v>
          </cell>
          <cell r="F529">
            <v>4711000</v>
          </cell>
          <cell r="G529" t="str">
            <v>UA463PE</v>
          </cell>
        </row>
        <row r="530">
          <cell r="A530" t="str">
            <v>274339-B21</v>
          </cell>
          <cell r="B530" t="str">
            <v>5U Rackmount Kit All ALL</v>
          </cell>
          <cell r="C530" t="str">
            <v>U6371E</v>
          </cell>
          <cell r="E530" t="str">
            <v>HP CP 3Y 6H CTR 5 Bay Rack</v>
          </cell>
          <cell r="F530">
            <v>9216000</v>
          </cell>
          <cell r="G530" t="str">
            <v>UA464PE</v>
          </cell>
        </row>
        <row r="531">
          <cell r="C531" t="str">
            <v>U9350E</v>
          </cell>
          <cell r="E531" t="str">
            <v>HP CP 4Y 4H 13x5 Tape Array - 5 Bay Rack</v>
          </cell>
          <cell r="F531">
            <v>4981000</v>
          </cell>
          <cell r="G531" t="str">
            <v>UA465PE</v>
          </cell>
        </row>
        <row r="532">
          <cell r="C532" t="str">
            <v>U9351E</v>
          </cell>
          <cell r="E532" t="str">
            <v>HP CP 4Y 4H 24x7 Tape Array - 5 Bay Rack</v>
          </cell>
          <cell r="F532">
            <v>6367000</v>
          </cell>
        </row>
        <row r="533">
          <cell r="C533" t="str">
            <v>U9352E</v>
          </cell>
          <cell r="E533" t="str">
            <v>HP CP 5Y 4H 13x5 Tape Array - 5 Bay Rack</v>
          </cell>
          <cell r="F533">
            <v>6252000</v>
          </cell>
        </row>
        <row r="534">
          <cell r="C534" t="str">
            <v>U9353E</v>
          </cell>
          <cell r="E534" t="str">
            <v>HP CP 5Y 4H 24x7 Tape Array - 5 Bay Rack</v>
          </cell>
          <cell r="F534">
            <v>7951000</v>
          </cell>
        </row>
        <row r="535">
          <cell r="C535" t="str">
            <v>U2090E</v>
          </cell>
          <cell r="E535" t="str">
            <v>HP CP Install Stg Autoldr/TapeDrv&amp;Array</v>
          </cell>
          <cell r="F535">
            <v>540000</v>
          </cell>
        </row>
        <row r="537">
          <cell r="C537" t="str">
            <v>U6335E</v>
          </cell>
          <cell r="E537" t="str">
            <v>HP CP 3Y NxtDay 3U Rackmount</v>
          </cell>
          <cell r="F537">
            <v>1600000</v>
          </cell>
          <cell r="G537" t="str">
            <v>UA466PE</v>
          </cell>
        </row>
        <row r="538">
          <cell r="A538" t="str">
            <v>274334-B21</v>
          </cell>
          <cell r="B538" t="str">
            <v>SDLT 110 2-Drive RM ALL </v>
          </cell>
          <cell r="C538" t="str">
            <v>U6336E</v>
          </cell>
          <cell r="E538" t="str">
            <v>HP CP 3Y 4H 13x5 3U Rackmount</v>
          </cell>
          <cell r="F538">
            <v>2087000</v>
          </cell>
          <cell r="G538" t="str">
            <v>UA467PE</v>
          </cell>
        </row>
        <row r="539">
          <cell r="A539" t="str">
            <v>274335-B21</v>
          </cell>
          <cell r="B539" t="str">
            <v xml:space="preserve">DLT 40/80, 2-Drive, RM ALL </v>
          </cell>
          <cell r="C539" t="str">
            <v>U6337E</v>
          </cell>
          <cell r="E539" t="str">
            <v>HP CP 3Y 4H 24x7 3U Rackmount</v>
          </cell>
          <cell r="F539">
            <v>2692000</v>
          </cell>
          <cell r="G539" t="str">
            <v>UA468PE</v>
          </cell>
        </row>
        <row r="540">
          <cell r="C540" t="str">
            <v>U9354E</v>
          </cell>
          <cell r="E540" t="str">
            <v>HP CP 4Y 4H 13x5 DLT/SDLT 2 Drives</v>
          </cell>
          <cell r="F540">
            <v>2846000</v>
          </cell>
          <cell r="G540" t="str">
            <v>UA469PE</v>
          </cell>
        </row>
        <row r="541">
          <cell r="A541" t="str">
            <v>350544-B21</v>
          </cell>
          <cell r="B541" t="str">
            <v>3u RM with one Ultrium 215 Tape Drive</v>
          </cell>
          <cell r="C541" t="str">
            <v>U9355E</v>
          </cell>
          <cell r="E541" t="str">
            <v>HP CP 4Y 4H 24x7 DLT/SDLT 2 Drives</v>
          </cell>
          <cell r="F541">
            <v>3638000</v>
          </cell>
        </row>
        <row r="542">
          <cell r="A542" t="str">
            <v>350545-B21</v>
          </cell>
          <cell r="B542" t="str">
            <v>3u RM with one Ultrium 230 Tape Drive</v>
          </cell>
          <cell r="C542" t="str">
            <v>U9356E</v>
          </cell>
          <cell r="E542" t="str">
            <v>HP CP 5Y 4H 13x5 DLT/SDLT 2 Drives</v>
          </cell>
          <cell r="F542">
            <v>3573000</v>
          </cell>
        </row>
        <row r="543">
          <cell r="A543" t="str">
            <v>350546-B21</v>
          </cell>
          <cell r="B543" t="str">
            <v>3u RM with one Ultrium 460 Tape Drive</v>
          </cell>
          <cell r="C543" t="str">
            <v>U9357E</v>
          </cell>
          <cell r="E543" t="str">
            <v>HP CP 5Y 4H 24x7 DLT/SDLT 2 Drives</v>
          </cell>
          <cell r="F543">
            <v>4544000</v>
          </cell>
        </row>
        <row r="544">
          <cell r="C544" t="str">
            <v>U9285E</v>
          </cell>
          <cell r="E544" t="str">
            <v>HP CP 3Y 6H CTR 3U DLT/SDLT 2 Drive</v>
          </cell>
          <cell r="F544">
            <v>5266000</v>
          </cell>
        </row>
        <row r="545">
          <cell r="A545" t="str">
            <v>Q1595A</v>
          </cell>
          <cell r="B545" t="str">
            <v>HP StorageWorks Ultrium 960 Rack-mount</v>
          </cell>
          <cell r="C545" t="str">
            <v>U2090E</v>
          </cell>
          <cell r="E545" t="str">
            <v>HP CP Install Stg Autoldr/TapeDrv&amp;Array</v>
          </cell>
          <cell r="F545">
            <v>540000</v>
          </cell>
        </row>
        <row r="547">
          <cell r="C547" t="str">
            <v>U6427E</v>
          </cell>
          <cell r="E547" t="str">
            <v xml:space="preserve">HP CP 3Y 2H 13x5 Strg 3U Rackmount </v>
          </cell>
          <cell r="F547">
            <v>5280000</v>
          </cell>
        </row>
        <row r="548">
          <cell r="C548" t="str">
            <v>U6428E</v>
          </cell>
          <cell r="E548" t="str">
            <v xml:space="preserve">HP CP 3Y 2H 24x7 Strg 3U Rackmount </v>
          </cell>
          <cell r="F548">
            <v>6810000</v>
          </cell>
        </row>
        <row r="550">
          <cell r="C550" t="str">
            <v>U6338E</v>
          </cell>
          <cell r="E550" t="str">
            <v>HP CP 3Y NxtDay 5U Rackmount</v>
          </cell>
          <cell r="F550">
            <v>3198000</v>
          </cell>
        </row>
        <row r="551">
          <cell r="A551" t="str">
            <v>274336-B21</v>
          </cell>
          <cell r="B551" t="str">
            <v>DLT 40/80 2-Drive RM ALL</v>
          </cell>
          <cell r="C551" t="str">
            <v>U6339E</v>
          </cell>
          <cell r="E551" t="str">
            <v>HP CP 3Y 4H 13x5 5U Rackmount</v>
          </cell>
          <cell r="F551">
            <v>4174000</v>
          </cell>
          <cell r="G551" t="str">
            <v>UA470PE</v>
          </cell>
        </row>
        <row r="552">
          <cell r="A552" t="str">
            <v>274337-B21</v>
          </cell>
          <cell r="B552" t="str">
            <v xml:space="preserve">DLT 40/80 4-Drive RM ALL </v>
          </cell>
          <cell r="C552" t="str">
            <v>U6340E</v>
          </cell>
          <cell r="E552" t="str">
            <v>HP CP 3Y 4H 24x7 5U Rackmount</v>
          </cell>
          <cell r="F552">
            <v>5383000</v>
          </cell>
          <cell r="G552" t="str">
            <v>UA471PE</v>
          </cell>
        </row>
        <row r="553">
          <cell r="C553" t="str">
            <v>U9358E</v>
          </cell>
          <cell r="E553" t="str">
            <v>HP CP 4Y 4H 13x5 DLT/SDLT 4 Drives</v>
          </cell>
          <cell r="F553">
            <v>5693000</v>
          </cell>
          <cell r="G553" t="str">
            <v>UA472PE</v>
          </cell>
        </row>
        <row r="554">
          <cell r="C554" t="str">
            <v>U9359E</v>
          </cell>
          <cell r="E554" t="str">
            <v>HP CP 4Y 4H 24x7 DLT/SDLT 4 Drives</v>
          </cell>
          <cell r="F554">
            <v>7276000</v>
          </cell>
          <cell r="G554" t="str">
            <v>UA473PE</v>
          </cell>
        </row>
        <row r="555">
          <cell r="C555" t="str">
            <v>U9360E</v>
          </cell>
          <cell r="E555" t="str">
            <v>HP CP 5Y 4H 13x5 DLT/SDLT 4 Drives</v>
          </cell>
          <cell r="F555">
            <v>7145000</v>
          </cell>
        </row>
        <row r="556">
          <cell r="C556" t="str">
            <v>U9361E</v>
          </cell>
          <cell r="E556" t="str">
            <v>HP CP 5Y 4H 24x7 DLT/SDLT 4 Drives</v>
          </cell>
          <cell r="F556">
            <v>9087000</v>
          </cell>
        </row>
        <row r="557">
          <cell r="C557" t="str">
            <v>U9286E</v>
          </cell>
          <cell r="E557" t="str">
            <v>HP CP 3Y 6H CTR 5U DLT/SDLT 4 Drive</v>
          </cell>
          <cell r="F557">
            <v>10533000</v>
          </cell>
        </row>
        <row r="558">
          <cell r="C558" t="str">
            <v>U2090E</v>
          </cell>
          <cell r="E558" t="str">
            <v>HP CP Install Stg Autoldr/TapeDrv&amp;Array</v>
          </cell>
          <cell r="F558">
            <v>540000</v>
          </cell>
        </row>
        <row r="560">
          <cell r="C560" t="str">
            <v>U6429E</v>
          </cell>
          <cell r="E560" t="str">
            <v xml:space="preserve">HP CP 3Y 2H 13x5 Strg 5U Rackmount </v>
          </cell>
          <cell r="F560">
            <v>8800000</v>
          </cell>
        </row>
        <row r="561">
          <cell r="C561" t="str">
            <v>U6430E</v>
          </cell>
          <cell r="E561" t="str">
            <v xml:space="preserve">HP CP 3Y 2H 24x7 Strg 5U Rackmount  </v>
          </cell>
          <cell r="F561">
            <v>11350000</v>
          </cell>
        </row>
        <row r="563">
          <cell r="A563" t="str">
            <v>C1559C </v>
          </cell>
          <cell r="B563" t="str">
            <v> HP SureStore DAT24x6e Ext Autoloader</v>
          </cell>
          <cell r="C563" t="str">
            <v>U6360E</v>
          </cell>
          <cell r="E563" t="str">
            <v>HP CP 3Y NxtDay DAT,AIT Autoloader</v>
          </cell>
          <cell r="F563">
            <v>1083000</v>
          </cell>
        </row>
        <row r="564">
          <cell r="A564" t="str">
            <v>C1559D </v>
          </cell>
          <cell r="B564" t="str">
            <v> HP SureStore DAT24x6e External A/L</v>
          </cell>
          <cell r="C564" t="str">
            <v>U6361E</v>
          </cell>
          <cell r="E564" t="str">
            <v>HP CP 3Y 4H 13x5 DAT,AIT Autoloader</v>
          </cell>
          <cell r="F564">
            <v>1412000</v>
          </cell>
          <cell r="G564" t="str">
            <v>UA267PE</v>
          </cell>
        </row>
        <row r="565">
          <cell r="C565" t="str">
            <v>U6362E</v>
          </cell>
          <cell r="E565" t="str">
            <v>HP CP 3Y 4H 24x7 DAT,AIT Autoloader</v>
          </cell>
          <cell r="F565">
            <v>1823000</v>
          </cell>
          <cell r="G565" t="str">
            <v>UA268PE</v>
          </cell>
        </row>
        <row r="566">
          <cell r="A566" t="str">
            <v>C5717B </v>
          </cell>
          <cell r="B566" t="str">
            <v> HP SureStore DAT40x6e External A/L</v>
          </cell>
          <cell r="C566" t="str">
            <v>U6363E</v>
          </cell>
          <cell r="E566" t="str">
            <v>HP CP 3Y 6H CTR DAT,AIT Autoloader</v>
          </cell>
          <cell r="F566">
            <v>3565000</v>
          </cell>
          <cell r="G566" t="str">
            <v>UA269PE</v>
          </cell>
        </row>
        <row r="567">
          <cell r="A567" t="str">
            <v>C5717C </v>
          </cell>
          <cell r="B567" t="str">
            <v> HP DAT40x6e External Autoloader</v>
          </cell>
          <cell r="C567" t="str">
            <v>U9370E</v>
          </cell>
          <cell r="E567" t="str">
            <v>HP CP 4Y 4H 13x5 DAT/AIT Autoloaders</v>
          </cell>
          <cell r="F567">
            <v>1928000</v>
          </cell>
          <cell r="G567" t="str">
            <v>UA700PE</v>
          </cell>
        </row>
        <row r="568">
          <cell r="A568" t="str">
            <v>166504-B21 </v>
          </cell>
          <cell r="B568" t="str">
            <v>20/40 Dat8 Cassette AutoLoader </v>
          </cell>
          <cell r="C568" t="str">
            <v>U9371E</v>
          </cell>
          <cell r="E568" t="str">
            <v>HP CP 4Y 4H 24x7 DAT/AIT Autoloaders</v>
          </cell>
          <cell r="F568">
            <v>2463000</v>
          </cell>
        </row>
        <row r="569">
          <cell r="A569" t="str">
            <v>166505-001 </v>
          </cell>
          <cell r="B569" t="str">
            <v> 20/40GB DDS4 DAT 8 Cassette AutoLoader </v>
          </cell>
          <cell r="C569" t="str">
            <v>U9372E</v>
          </cell>
          <cell r="E569" t="str">
            <v>HP CP 5Y 4H 13x5 DAT/AIT Autoloaders</v>
          </cell>
          <cell r="F569">
            <v>2419000</v>
          </cell>
        </row>
        <row r="570">
          <cell r="A570" t="str">
            <v>166505-B31 </v>
          </cell>
          <cell r="B570" t="str">
            <v> 20/40GB DAT 8 Cassette AutoLoader Ext </v>
          </cell>
          <cell r="C570" t="str">
            <v>U9373E</v>
          </cell>
          <cell r="E570" t="str">
            <v>HP CP 5Y 4H 24x7 DAT/AIT Autoloaders</v>
          </cell>
          <cell r="F570">
            <v>3076000</v>
          </cell>
        </row>
        <row r="571">
          <cell r="A571" t="str">
            <v>280349-B31 </v>
          </cell>
          <cell r="B571" t="str">
            <v> HP StorageWork AIT 35GB Autoldr RM INTL</v>
          </cell>
        </row>
        <row r="572">
          <cell r="A572" t="str">
            <v>292355-B31 </v>
          </cell>
          <cell r="B572" t="str">
            <v> HP StorageWorks AIT 35GB Autoldr TT INTL</v>
          </cell>
          <cell r="C572" t="str">
            <v>U2090E</v>
          </cell>
          <cell r="E572" t="str">
            <v>HP CP Install Stg Autoldr/TapeDrv&amp;Array</v>
          </cell>
          <cell r="F572">
            <v>540000</v>
          </cell>
        </row>
        <row r="574">
          <cell r="A574" t="str">
            <v>Q1550A</v>
          </cell>
          <cell r="B574" t="str">
            <v xml:space="preserve"> HP DAT 40x6 Int Autoloader for ProLiant </v>
          </cell>
        </row>
        <row r="575">
          <cell r="A575" t="str">
            <v>Q1551A</v>
          </cell>
          <cell r="B575" t="str">
            <v xml:space="preserve">HP DAT40x6 Ext Autoloader US ProLiant </v>
          </cell>
        </row>
        <row r="576">
          <cell r="A576" t="str">
            <v>Q1552A</v>
          </cell>
          <cell r="B576" t="str">
            <v>HP DAT40x6 Ext Autoloader ProLiant Intl</v>
          </cell>
        </row>
        <row r="578">
          <cell r="A578" t="str">
            <v xml:space="preserve">Q1566A </v>
          </cell>
          <cell r="B578" t="str">
            <v>HP Storageworks DAT72x6i Tape Autoloader</v>
          </cell>
        </row>
        <row r="579">
          <cell r="A579" t="str">
            <v>Q1567A</v>
          </cell>
          <cell r="B579" t="str">
            <v>HP Storageworks DAT72x6e Tape Autoloader</v>
          </cell>
        </row>
        <row r="582">
          <cell r="A582" t="str">
            <v>C7145RA/NB</v>
          </cell>
          <cell r="B582" t="str">
            <v xml:space="preserve">HP SureStore Autoldr 1/9 HVDS Dsk no RMC </v>
          </cell>
          <cell r="G582" t="str">
            <v>H2737PA/PE</v>
          </cell>
        </row>
        <row r="583">
          <cell r="A583" t="str">
            <v>C7745RA/NB</v>
          </cell>
          <cell r="B583" t="str">
            <v xml:space="preserve">HP SureStore Autoldr 1/9 HVDS Rck no RMC </v>
          </cell>
        </row>
        <row r="584">
          <cell r="A584" t="str">
            <v>C7146RA/NB</v>
          </cell>
          <cell r="B584" t="str">
            <v xml:space="preserve">HP SureStore Autoldr 1/9 HVDS Dsk w/ RMC </v>
          </cell>
          <cell r="C584" t="str">
            <v>U6364E</v>
          </cell>
          <cell r="E584" t="str">
            <v>HP CP 1Y 4H 13x5 DLT Autoloader</v>
          </cell>
          <cell r="F584">
            <v>1009000</v>
          </cell>
          <cell r="G584" t="str">
            <v>UA701PE</v>
          </cell>
        </row>
        <row r="585">
          <cell r="A585" t="str">
            <v>C7746RA/NB</v>
          </cell>
          <cell r="B585" t="str">
            <v xml:space="preserve">HP SureStore Autoldr 1/9 HVDS Rck w/ RMC </v>
          </cell>
          <cell r="C585" t="str">
            <v>U6365E</v>
          </cell>
          <cell r="E585" t="str">
            <v>HP CP 1Y 4H 24x7 DLT Autoloader</v>
          </cell>
          <cell r="F585">
            <v>1303000</v>
          </cell>
          <cell r="G585" t="str">
            <v>UA702PE</v>
          </cell>
        </row>
        <row r="586">
          <cell r="A586" t="str">
            <v>C7147AA</v>
          </cell>
          <cell r="B586" t="str">
            <v xml:space="preserve">HP SureStore Autoldr 1/9 Ultrm HVDS Dsk </v>
          </cell>
          <cell r="C586" t="str">
            <v>U6366E</v>
          </cell>
          <cell r="E586" t="str">
            <v>HP CP 1Y 6H CTR DLT Autoloader</v>
          </cell>
          <cell r="F586">
            <v>2548000</v>
          </cell>
          <cell r="G586" t="str">
            <v>UA703PE</v>
          </cell>
        </row>
        <row r="587">
          <cell r="A587" t="str">
            <v>C7147CB</v>
          </cell>
          <cell r="B587" t="str">
            <v xml:space="preserve">HP SureStore Autoldr 1/9 Ultrm LVDS Dsk </v>
          </cell>
        </row>
        <row r="588">
          <cell r="A588" t="str">
            <v>C7747AA</v>
          </cell>
          <cell r="B588" t="str">
            <v xml:space="preserve">HP SureStore Autoldr 1/9 Ult HVDS Rck </v>
          </cell>
          <cell r="C588" t="str">
            <v>H4619E</v>
          </cell>
          <cell r="E588" t="str">
            <v>HP CP 3Y Nxt Day DLT/LTO Autoloader</v>
          </cell>
          <cell r="F588">
            <v>2579000</v>
          </cell>
        </row>
        <row r="589">
          <cell r="A589" t="str">
            <v xml:space="preserve">C7747CB </v>
          </cell>
          <cell r="B589" t="str">
            <v xml:space="preserve">HP SureStore Autoldr 1/9 Ult LVDS Rck </v>
          </cell>
          <cell r="C589" t="str">
            <v>H5526E</v>
          </cell>
          <cell r="E589" t="str">
            <v>HP CP 3Y 4H 13x5 HW DLT/LTO Autoloader</v>
          </cell>
          <cell r="F589">
            <v>3264000</v>
          </cell>
        </row>
        <row r="590">
          <cell r="A590" t="str">
            <v>C7149AA</v>
          </cell>
          <cell r="B590" t="str">
            <v xml:space="preserve">HP SureStore Autoldr 1/9 Ult HV Dsk RMC </v>
          </cell>
          <cell r="C590" t="str">
            <v>H4624E</v>
          </cell>
          <cell r="E590" t="str">
            <v>HP CP 3Y 4H 24x7 DLT/LTO Autoloader</v>
          </cell>
          <cell r="F590">
            <v>4116000</v>
          </cell>
        </row>
        <row r="591">
          <cell r="A591" t="str">
            <v>C7149CB</v>
          </cell>
          <cell r="B591" t="str">
            <v xml:space="preserve">HP SureStore Autoldr 1/9 Ult LV Dsk RMC </v>
          </cell>
          <cell r="C591" t="str">
            <v>U6367E</v>
          </cell>
          <cell r="E591" t="str">
            <v>HP CP 3Y 6H CTR DLT Autoloader</v>
          </cell>
          <cell r="F591">
            <v>7742000</v>
          </cell>
        </row>
        <row r="592">
          <cell r="A592" t="str">
            <v>C7748AA</v>
          </cell>
          <cell r="B592" t="str">
            <v xml:space="preserve">HP SureStore Autoldr 1/9 Ult HV Rck RMC </v>
          </cell>
        </row>
        <row r="593">
          <cell r="A593" t="str">
            <v xml:space="preserve">C7748CB   </v>
          </cell>
          <cell r="B593" t="str">
            <v xml:space="preserve">HP SureStore Autoldr 1/9 Ult LV Rck RMC </v>
          </cell>
          <cell r="C593" t="str">
            <v>U9374E</v>
          </cell>
          <cell r="E593" t="str">
            <v>HP CP 4Y 4H 13x5 DLT Autoloader</v>
          </cell>
          <cell r="F593">
            <v>4328000</v>
          </cell>
        </row>
        <row r="594">
          <cell r="A594" t="str">
            <v>C9240CB</v>
          </cell>
          <cell r="B594" t="str">
            <v xml:space="preserve">HP SureStore Autoldr 1/9 DLT1 LVD Dsk </v>
          </cell>
          <cell r="C594" t="str">
            <v>U9375E</v>
          </cell>
          <cell r="E594" t="str">
            <v>HP CP 4Y 4H 24x7 DLT Autoloader</v>
          </cell>
          <cell r="F594">
            <v>5442000</v>
          </cell>
        </row>
        <row r="595">
          <cell r="A595" t="str">
            <v>C9241CB</v>
          </cell>
          <cell r="B595" t="str">
            <v xml:space="preserve">HP SureStore Autoldr 1/9 DLT1 LVD Rck </v>
          </cell>
          <cell r="C595" t="str">
            <v>U9376E</v>
          </cell>
          <cell r="E595" t="str">
            <v>HP CP 5Y 4H 13x5 DLT Autoloader</v>
          </cell>
          <cell r="F595">
            <v>5343000</v>
          </cell>
        </row>
        <row r="596">
          <cell r="A596" t="str">
            <v>C9250CB</v>
          </cell>
          <cell r="B596" t="str">
            <v xml:space="preserve">HP SureStore Autoldr 1/9 DLT1 LV Dsk RMC </v>
          </cell>
          <cell r="C596" t="str">
            <v>U9377E</v>
          </cell>
          <cell r="E596" t="str">
            <v>HP CP 5Y 4H 24x7 DLT Autoloader</v>
          </cell>
          <cell r="F596">
            <v>6711000</v>
          </cell>
        </row>
        <row r="597">
          <cell r="A597" t="str">
            <v>C9251CB</v>
          </cell>
          <cell r="B597" t="str">
            <v>HP SureStore Autoldr 1/9 DLT1 LV Rck RMC</v>
          </cell>
        </row>
        <row r="598">
          <cell r="A598" t="str">
            <v>C9264CB</v>
          </cell>
          <cell r="B598" t="str">
            <v xml:space="preserve">HP Surestore DLT VS Autoloader 1/8 </v>
          </cell>
          <cell r="C598" t="str">
            <v>U2090E*</v>
          </cell>
          <cell r="E598" t="str">
            <v>HP CP Install Stg Autoldr/TapeDrv&amp;Array</v>
          </cell>
          <cell r="F598">
            <v>540000</v>
          </cell>
        </row>
        <row r="599">
          <cell r="A599" t="str">
            <v>C9572CB</v>
          </cell>
          <cell r="B599" t="str">
            <v xml:space="preserve">HP Ultrium Tape Autoloader 1/8 </v>
          </cell>
        </row>
        <row r="600">
          <cell r="A600" t="str">
            <v>330815-B21</v>
          </cell>
          <cell r="B600" t="str">
            <v>HP SSL1016 DLT1 Tape Autoloader</v>
          </cell>
        </row>
        <row r="601">
          <cell r="A601" t="str">
            <v>330816-B21</v>
          </cell>
          <cell r="B601" t="str">
            <v>HP SSL1016 SDLT320 Tape Autoloader</v>
          </cell>
        </row>
        <row r="602">
          <cell r="A602" t="str">
            <v>330821-B21*</v>
          </cell>
          <cell r="B602" t="str">
            <v>SSL1016 Ultrium 460 LTO2 Tape Autoloader</v>
          </cell>
        </row>
        <row r="603">
          <cell r="C603" t="str">
            <v>H2698E</v>
          </cell>
          <cell r="E603" t="str">
            <v>HP CP 3Y NxtDayExch DLT/LTO Autoloader</v>
          </cell>
          <cell r="F603">
            <v>1509000</v>
          </cell>
        </row>
        <row r="605">
          <cell r="A605" t="str">
            <v>C6280F/J</v>
          </cell>
          <cell r="B605" t="str">
            <v xml:space="preserve">HP SureStore DLT Autoloader 718 </v>
          </cell>
          <cell r="C605" t="str">
            <v>n/a</v>
          </cell>
          <cell r="E605" t="str">
            <v>n/a</v>
          </cell>
        </row>
        <row r="606">
          <cell r="A606" t="str">
            <v>C6282RA/NB</v>
          </cell>
          <cell r="B606" t="str">
            <v xml:space="preserve">HP SureStore DLT Autoloader 818 HVDS </v>
          </cell>
        </row>
        <row r="607">
          <cell r="A607" t="str">
            <v>C6284NB</v>
          </cell>
          <cell r="B607" t="str">
            <v xml:space="preserve">HP SureStore DLT Tape Autoloader 818 </v>
          </cell>
          <cell r="C607" t="str">
            <v>U6431E</v>
          </cell>
          <cell r="E607" t="str">
            <v xml:space="preserve">HP CP 1Y 2H 13x5 Strg DLT Autoloader </v>
          </cell>
          <cell r="F607">
            <v>1563000</v>
          </cell>
        </row>
        <row r="608">
          <cell r="A608" t="str">
            <v>C6340F</v>
          </cell>
          <cell r="B608" t="str">
            <v xml:space="preserve">HP SureStore 2100ER Fibre SCSI Bridge </v>
          </cell>
          <cell r="C608" t="str">
            <v>U6432E</v>
          </cell>
          <cell r="E608" t="str">
            <v xml:space="preserve">HP CP 1Y 2H 24x7 Strg DLT Autoloader </v>
          </cell>
          <cell r="F608">
            <v>2016000</v>
          </cell>
        </row>
        <row r="609">
          <cell r="C609" t="str">
            <v>U6433E</v>
          </cell>
          <cell r="E609" t="str">
            <v xml:space="preserve">HP CP 3Y 2H 13x5 Strg DLT Autoloader </v>
          </cell>
          <cell r="F609">
            <v>4548000</v>
          </cell>
        </row>
        <row r="610">
          <cell r="A610" t="str">
            <v>AA927A</v>
          </cell>
          <cell r="B610" t="str">
            <v>HP Storageworks 1/8 Ultrium 460 Tape Autoloader</v>
          </cell>
          <cell r="C610" t="str">
            <v>U6434E</v>
          </cell>
          <cell r="E610" t="str">
            <v xml:space="preserve">HP CP 3Y 2H 24x7 Strg DLT Autoloader </v>
          </cell>
          <cell r="F610">
            <v>5868000</v>
          </cell>
        </row>
        <row r="611">
          <cell r="A611" t="str">
            <v>AA926A</v>
          </cell>
          <cell r="B611" t="str">
            <v>HP Storageworks 1/8 SDLT 320 Tape Autoloader</v>
          </cell>
        </row>
        <row r="615">
          <cell r="A615" t="str">
            <v>A4688A</v>
          </cell>
          <cell r="B615" t="str">
            <v xml:space="preserve">FC Bridge 1 FC port, 4 HVDS SCSI ports </v>
          </cell>
          <cell r="C615" t="str">
            <v>U9378E</v>
          </cell>
          <cell r="E615" t="str">
            <v>HP CP 4Y 4H 13x5 HP FC Bridges</v>
          </cell>
          <cell r="F615">
            <v>8465000</v>
          </cell>
          <cell r="G615" t="str">
            <v>UA704PE</v>
          </cell>
        </row>
        <row r="616">
          <cell r="A616" t="str">
            <v>A4689A</v>
          </cell>
          <cell r="B616" t="str">
            <v xml:space="preserve">FC Bridge 1 FC port, 2 LVDS SCSI ports </v>
          </cell>
          <cell r="C616" t="str">
            <v>U9379E</v>
          </cell>
          <cell r="E616" t="str">
            <v>HP CP 4Y 4H 24x7 HP FC Bridges</v>
          </cell>
          <cell r="F616">
            <v>11114000</v>
          </cell>
          <cell r="G616" t="str">
            <v>UA705PE</v>
          </cell>
        </row>
        <row r="617">
          <cell r="C617" t="str">
            <v>U9380E</v>
          </cell>
          <cell r="E617" t="str">
            <v>HP CP 5Y 4H 13x5 HP FC Bridges</v>
          </cell>
          <cell r="F617">
            <v>10880000</v>
          </cell>
          <cell r="G617" t="str">
            <v>UA706PE</v>
          </cell>
        </row>
        <row r="618">
          <cell r="C618" t="str">
            <v>U9381E</v>
          </cell>
          <cell r="E618" t="str">
            <v>HP CP 5Y 4H 24x7 HP FC Bridges</v>
          </cell>
          <cell r="F618">
            <v>14128000</v>
          </cell>
          <cell r="G618" t="str">
            <v>UA707PE</v>
          </cell>
        </row>
        <row r="621">
          <cell r="A621" t="str">
            <v xml:space="preserve">301897-B21 </v>
          </cell>
          <cell r="B621" t="str">
            <v xml:space="preserve">MSL5030L1, 0,Drv RM Library </v>
          </cell>
          <cell r="G621" t="str">
            <v>UA708PE</v>
          </cell>
        </row>
        <row r="622">
          <cell r="A622" t="str">
            <v xml:space="preserve">301897-B22 </v>
          </cell>
          <cell r="B622" t="str">
            <v xml:space="preserve">MSL5030L1, 1Drv LTO1 RM Library </v>
          </cell>
          <cell r="C622" t="str">
            <v>U2859E</v>
          </cell>
          <cell r="E622" t="str">
            <v>HP CP 3Y Nxt Day HW MSL5030 Library</v>
          </cell>
          <cell r="F622">
            <v>1935000</v>
          </cell>
          <cell r="G622" t="str">
            <v>UA709PE</v>
          </cell>
        </row>
        <row r="623">
          <cell r="A623" t="str">
            <v>301897-B23</v>
          </cell>
          <cell r="B623" t="str">
            <v xml:space="preserve">MSL5030L1, 2Drv LTO1 RM Library  </v>
          </cell>
          <cell r="C623" t="str">
            <v>U2860E</v>
          </cell>
          <cell r="E623" t="str">
            <v>HP CP 3Y 4H 13x5 HW MSL5030 Library</v>
          </cell>
          <cell r="F623">
            <v>3548000</v>
          </cell>
          <cell r="G623" t="str">
            <v>UA710PE</v>
          </cell>
        </row>
        <row r="624">
          <cell r="A624" t="str">
            <v>301898-B21</v>
          </cell>
          <cell r="B624" t="str">
            <v xml:space="preserve">MSL5030L1, 1Drv LTO1 TT Library  </v>
          </cell>
          <cell r="C624" t="str">
            <v>U2861E</v>
          </cell>
          <cell r="E624" t="str">
            <v>HP CP 3Y 4H 24x7 HW MSL5030 Library</v>
          </cell>
          <cell r="F624">
            <v>4193000</v>
          </cell>
          <cell r="G624" t="str">
            <v>UA711PE</v>
          </cell>
        </row>
        <row r="625">
          <cell r="A625" t="str">
            <v>301898-B22</v>
          </cell>
          <cell r="B625" t="str">
            <v xml:space="preserve">MSL5030L1, 2Drv LTO1 TT Library  </v>
          </cell>
          <cell r="C625" t="str">
            <v>U9422E</v>
          </cell>
          <cell r="E625" t="str">
            <v>HP CP 4Y 4H 13x5 MSL5030</v>
          </cell>
          <cell r="F625">
            <v>4954000</v>
          </cell>
        </row>
        <row r="626">
          <cell r="A626" t="str">
            <v>301897-B24</v>
          </cell>
          <cell r="B626" t="str">
            <v xml:space="preserve">MSL5030L1FC 1Drv LTO1 RM-with integrated FC router </v>
          </cell>
          <cell r="C626" t="str">
            <v>U9423E</v>
          </cell>
          <cell r="E626" t="str">
            <v>HP CP 4Y 4H 24x7 MSL5030</v>
          </cell>
          <cell r="F626">
            <v>5799000</v>
          </cell>
        </row>
        <row r="627">
          <cell r="A627" t="str">
            <v>301897-B25</v>
          </cell>
          <cell r="B627" t="str">
            <v xml:space="preserve">MSL5030L1FC 2Drv LTO1 RM- with integrated FC router </v>
          </cell>
          <cell r="C627" t="str">
            <v>U9424E</v>
          </cell>
          <cell r="E627" t="str">
            <v>HP CP 5Y 4H 13x5 MSL5030</v>
          </cell>
          <cell r="F627">
            <v>6299000</v>
          </cell>
        </row>
        <row r="628">
          <cell r="A628" t="str">
            <v>330731-B21</v>
          </cell>
          <cell r="B628" t="str">
            <v xml:space="preserve"> MSL6030 0-dr, LTO, LVDS, RM             </v>
          </cell>
          <cell r="C628" t="str">
            <v>U9425E</v>
          </cell>
          <cell r="E628" t="str">
            <v>HP CP 5Y 4H 24x7 MSL5030</v>
          </cell>
          <cell r="F628">
            <v>7334000</v>
          </cell>
        </row>
        <row r="629">
          <cell r="A629" t="str">
            <v>330731-B22</v>
          </cell>
          <cell r="B629" t="str">
            <v xml:space="preserve"> MSL6030 1-dr, LTO2, LVDS, RM            </v>
          </cell>
        </row>
        <row r="630">
          <cell r="A630" t="str">
            <v>330731-B23</v>
          </cell>
          <cell r="B630" t="str">
            <v xml:space="preserve"> MSL6030 2-dr, LTO2, LVDS, RM            </v>
          </cell>
          <cell r="C630" t="str">
            <v>U4823E</v>
          </cell>
          <cell r="E630" t="str">
            <v>HP CP Install Stg MSL5030/6030,Opt Libr</v>
          </cell>
          <cell r="F630">
            <v>374000</v>
          </cell>
        </row>
        <row r="631">
          <cell r="A631" t="str">
            <v>330731-B24</v>
          </cell>
          <cell r="B631" t="str">
            <v xml:space="preserve"> MSL6030 1-dr, LTO2, Fibre, RM           </v>
          </cell>
        </row>
        <row r="632">
          <cell r="A632" t="str">
            <v>330731-B25</v>
          </cell>
          <cell r="B632" t="str">
            <v xml:space="preserve"> MSL6030 2-dr, LTO2, Fibre, RM           </v>
          </cell>
          <cell r="C632" t="str">
            <v>U9287E</v>
          </cell>
          <cell r="E632" t="str">
            <v>HP CP 3Y 6H CTR MSL 5026/5030/6030</v>
          </cell>
          <cell r="F632">
            <v>6243000</v>
          </cell>
        </row>
        <row r="633">
          <cell r="A633" t="str">
            <v>330788-B21</v>
          </cell>
          <cell r="B633" t="str">
            <v xml:space="preserve"> MSL6030 1-dr, LTO2, LVDS, TT            </v>
          </cell>
        </row>
        <row r="634">
          <cell r="A634" t="str">
            <v>330788-B22</v>
          </cell>
          <cell r="B634" t="str">
            <v xml:space="preserve"> MSL6030 2-dr, LTO2, LVDS, TT            </v>
          </cell>
          <cell r="C634" t="str">
            <v>U6422E</v>
          </cell>
          <cell r="E634" t="str">
            <v xml:space="preserve">HP CP 1Y 2H 13x5 MSL 5026/5030/6030 </v>
          </cell>
          <cell r="F634">
            <v>2627000</v>
          </cell>
        </row>
        <row r="635">
          <cell r="A635" t="str">
            <v>302512-B21</v>
          </cell>
          <cell r="B635" t="str">
            <v>MSL5026SL RM 1, SDLT Graphite ALL</v>
          </cell>
          <cell r="C635" t="str">
            <v>U6423E</v>
          </cell>
          <cell r="E635" t="str">
            <v xml:space="preserve">HP CP 3Y 2H 24x7 MSL 5026/5030/6030 </v>
          </cell>
          <cell r="F635">
            <v>9475000</v>
          </cell>
        </row>
        <row r="636">
          <cell r="A636" t="str">
            <v>231891-B21</v>
          </cell>
          <cell r="B636" t="str">
            <v>MSL5026DLX,1 40/80RM ALL</v>
          </cell>
          <cell r="C636" t="str">
            <v>U6424E</v>
          </cell>
          <cell r="E636" t="str">
            <v xml:space="preserve">HP CP 1Y 2H 24x7 Strg MSL 5026/5030/6030 </v>
          </cell>
          <cell r="F636">
            <v>3785000</v>
          </cell>
        </row>
        <row r="637">
          <cell r="A637" t="str">
            <v>293472-B21</v>
          </cell>
          <cell r="B637" t="str">
            <v>MSL5026 S2, 0Drv RM Library</v>
          </cell>
          <cell r="C637" t="str">
            <v>UA871E</v>
          </cell>
          <cell r="E637" t="str">
            <v>HP Startup TapeLib MSL5026/5030/6030 SVC</v>
          </cell>
          <cell r="F637">
            <v>6526000</v>
          </cell>
        </row>
        <row r="638">
          <cell r="A638" t="str">
            <v>293472-B22</v>
          </cell>
          <cell r="B638" t="str">
            <v>MSL5026 S2, 1Drv SDLT2 RM Lib</v>
          </cell>
        </row>
        <row r="639">
          <cell r="A639" t="str">
            <v>293473-B21</v>
          </cell>
          <cell r="B639" t="str">
            <v>MSL5026 S2, 1Drv SDLT2 TT Lib</v>
          </cell>
          <cell r="C639" t="str">
            <v>UC649E</v>
          </cell>
          <cell r="E639" t="str">
            <v>HP 1y 4h 13x5 MSL5030/6030/5026 HW Supp</v>
          </cell>
        </row>
        <row r="640">
          <cell r="A640" t="str">
            <v>293472-B23</v>
          </cell>
          <cell r="B640" t="str">
            <v>MSL5026 S2, 2Drv SDLT2 RM Lib</v>
          </cell>
          <cell r="C640" t="str">
            <v>UC650E</v>
          </cell>
          <cell r="E640" t="str">
            <v>HP 1y 4h 24x7 MSL5030/6030/5026 HW Supp</v>
          </cell>
        </row>
        <row r="641">
          <cell r="A641" t="str">
            <v>293473-B22</v>
          </cell>
          <cell r="B641" t="str">
            <v>MSL5026 S2, 2Drv SDLT2 TT Lib</v>
          </cell>
          <cell r="C641" t="str">
            <v>UC651E</v>
          </cell>
          <cell r="E641" t="str">
            <v>HP 1y 6h CTR MSL5030/6030/5026 HW Supp</v>
          </cell>
        </row>
        <row r="642">
          <cell r="A642" t="str">
            <v>293472-B24</v>
          </cell>
          <cell r="B642" t="str">
            <v>MSL5026 S2FC 1Drv SDLT2 RMwFC</v>
          </cell>
        </row>
        <row r="643">
          <cell r="A643" t="str">
            <v>293472-B25</v>
          </cell>
          <cell r="B643" t="str">
            <v>MSL5026 S2FC 2Drv SDLT2 RMwFC</v>
          </cell>
        </row>
        <row r="644">
          <cell r="A644" t="str">
            <v>231979-B21</v>
          </cell>
          <cell r="B644" t="str">
            <v>MSL5026, 0DR, LVD,  rack-mount model</v>
          </cell>
        </row>
        <row r="645">
          <cell r="A645" t="str">
            <v>231821-B21</v>
          </cell>
          <cell r="B645" t="str">
            <v>MSL5026DLX,1 40/80GB DLT DR,LVD,TT ALL</v>
          </cell>
        </row>
        <row r="646">
          <cell r="A646" t="str">
            <v>231891-B22</v>
          </cell>
          <cell r="B646" t="str">
            <v>MSL5026DLX,2 40/80GB DLT ,LVD,RM ALL</v>
          </cell>
        </row>
        <row r="647">
          <cell r="A647" t="str">
            <v>231821-B22</v>
          </cell>
          <cell r="B647" t="str">
            <v>MSL5026DLX,2 40/80GB DLT ,LVD,TT ALL</v>
          </cell>
        </row>
        <row r="648">
          <cell r="A648" t="str">
            <v>302512-B22</v>
          </cell>
          <cell r="B648" t="str">
            <v>MSL5026SL RM 2, SDLT Drv Graphite</v>
          </cell>
        </row>
        <row r="649">
          <cell r="A649" t="str">
            <v>302511-B21</v>
          </cell>
          <cell r="B649" t="str">
            <v>MSL5026SL TT 1SDLT Drv Graphite</v>
          </cell>
        </row>
        <row r="650">
          <cell r="A650" t="str">
            <v>302511-B22</v>
          </cell>
          <cell r="B650" t="str">
            <v>MSL5026SL TT 2SDLT Drv Graphite</v>
          </cell>
        </row>
        <row r="651">
          <cell r="A651" t="str">
            <v>231892-B21</v>
          </cell>
          <cell r="B651" t="str">
            <v>MSL5026SL, 1DR, SDLT 110/220, LVD, rack-mount model</v>
          </cell>
        </row>
        <row r="652">
          <cell r="A652" t="str">
            <v>231822-B21</v>
          </cell>
          <cell r="B652" t="str">
            <v>MSL5026SL, 1DV, SDLT 110/220, LVD, tabel top model</v>
          </cell>
        </row>
        <row r="653">
          <cell r="A653" t="str">
            <v>231892-B22</v>
          </cell>
          <cell r="B653" t="str">
            <v>MSL5026SL, 2DR, SDLT 110/220, LVD, rack-mount model</v>
          </cell>
        </row>
        <row r="654">
          <cell r="A654" t="str">
            <v>231822-B22</v>
          </cell>
          <cell r="B654" t="str">
            <v>MSL5026SL, 2DV, SDLT 110/220, LVD, tabel top model</v>
          </cell>
        </row>
        <row r="656">
          <cell r="A656" t="str">
            <v>301899-B21</v>
          </cell>
          <cell r="B656" t="str">
            <v>MSL5060L1, 0 DRV Rack Mount Library</v>
          </cell>
          <cell r="C656" t="str">
            <v>U2862E</v>
          </cell>
          <cell r="E656" t="str">
            <v>HP CP 3Y Nxt Day HW MSL5060 Library</v>
          </cell>
          <cell r="F656">
            <v>3851000</v>
          </cell>
          <cell r="G656" t="str">
            <v>UA712PE</v>
          </cell>
        </row>
        <row r="657">
          <cell r="A657" t="str">
            <v>301899-B22</v>
          </cell>
          <cell r="B657" t="str">
            <v xml:space="preserve">MSL5060L1, 2 DRV LTO Ulti Rk Mt Lib </v>
          </cell>
          <cell r="C657" t="str">
            <v>U2863E</v>
          </cell>
          <cell r="E657" t="str">
            <v>HP CP 3Y 4H 13x5 HW MSL5060 Library</v>
          </cell>
          <cell r="F657">
            <v>7061000</v>
          </cell>
          <cell r="G657" t="str">
            <v>UA713PE</v>
          </cell>
        </row>
        <row r="658">
          <cell r="A658" t="str">
            <v>301900-B21</v>
          </cell>
          <cell r="B658" t="str">
            <v xml:space="preserve">MSL5060L1, 2 DRV LTO Ultr Tble Top Libr </v>
          </cell>
          <cell r="C658" t="str">
            <v>U2864E</v>
          </cell>
          <cell r="E658" t="str">
            <v>HP CP 3Y 4H 24x7 HW MSL5060 Library</v>
          </cell>
          <cell r="F658">
            <v>8344000</v>
          </cell>
          <cell r="G658" t="str">
            <v>UA714PE</v>
          </cell>
        </row>
        <row r="659">
          <cell r="C659" t="str">
            <v>U9426E</v>
          </cell>
          <cell r="E659" t="str">
            <v>HP CP 4Y 4H 13x5 MSL5060</v>
          </cell>
          <cell r="F659">
            <v>9860000</v>
          </cell>
          <cell r="G659" t="str">
            <v>UA715PE</v>
          </cell>
        </row>
        <row r="660">
          <cell r="C660" t="str">
            <v>U9427E</v>
          </cell>
          <cell r="E660" t="str">
            <v>HP CP 4Y 4H 24x7 MSL5060</v>
          </cell>
          <cell r="F660">
            <v>11542000</v>
          </cell>
        </row>
        <row r="661">
          <cell r="C661" t="str">
            <v>U9428E</v>
          </cell>
          <cell r="E661" t="str">
            <v>HP CP 5Y 4H 13x5 MSL5060</v>
          </cell>
          <cell r="F661">
            <v>12537000</v>
          </cell>
        </row>
        <row r="662">
          <cell r="C662" t="str">
            <v>U9429E</v>
          </cell>
          <cell r="E662" t="str">
            <v>HP CP 5Y 4H 24x7 MSL5060</v>
          </cell>
          <cell r="F662">
            <v>14598000</v>
          </cell>
        </row>
        <row r="663">
          <cell r="A663" t="str">
            <v>301899-B23</v>
          </cell>
          <cell r="B663" t="str">
            <v>MSL5060L1FC 2 DRV LTO Ultrium 1 RM-with integrated FC Router</v>
          </cell>
        </row>
        <row r="664">
          <cell r="A664" t="str">
            <v>331196-B23</v>
          </cell>
          <cell r="B664" t="str">
            <v xml:space="preserve"> MSL6060 0-dr, LTO, LVDS, RM             </v>
          </cell>
          <cell r="C664" t="str">
            <v>U4824E*</v>
          </cell>
          <cell r="E664" t="str">
            <v>HP CP Install Storage MSL5060/6060 Tape</v>
          </cell>
          <cell r="F664">
            <v>832000</v>
          </cell>
        </row>
        <row r="665">
          <cell r="A665" t="str">
            <v>331195-B21</v>
          </cell>
          <cell r="B665" t="str">
            <v xml:space="preserve"> MSL6060 2-dr,LTO2,LVDS,TT               </v>
          </cell>
        </row>
        <row r="666">
          <cell r="A666" t="str">
            <v>331196-B21</v>
          </cell>
          <cell r="B666" t="str">
            <v xml:space="preserve"> MSL6060 2-dr,LTO2,LVDS,RM               </v>
          </cell>
          <cell r="C666" t="str">
            <v>U9288E</v>
          </cell>
          <cell r="E666" t="str">
            <v>HP CP 3Y 6H CTR MSL 5052/ 5060/6060</v>
          </cell>
          <cell r="F666">
            <v>12429000</v>
          </cell>
        </row>
        <row r="667">
          <cell r="A667" t="str">
            <v>331196-B22</v>
          </cell>
          <cell r="B667" t="str">
            <v xml:space="preserve"> MSL6060 2-dr,LTO2,Fibre,RM              </v>
          </cell>
        </row>
        <row r="668">
          <cell r="A668" t="str">
            <v>293474-B21</v>
          </cell>
          <cell r="B668" t="str">
            <v>MSL5052 S2 2Drv SDLT2 RM Lib</v>
          </cell>
          <cell r="C668" t="str">
            <v>U6418E</v>
          </cell>
          <cell r="E668" t="str">
            <v xml:space="preserve">HP CP 3Y 2H 13x5 MSL 5052/5060/6060 </v>
          </cell>
          <cell r="F668">
            <v>13605000</v>
          </cell>
        </row>
        <row r="669">
          <cell r="A669" t="str">
            <v>293476-B21</v>
          </cell>
          <cell r="B669" t="str">
            <v>MSL5052 S2 2Drv SDLT2 TT Lib</v>
          </cell>
          <cell r="C669" t="str">
            <v>U6419E</v>
          </cell>
          <cell r="E669" t="str">
            <v xml:space="preserve">HP CP 1Y 2H 13x5 MSL 5052/5060/6060 </v>
          </cell>
          <cell r="F669">
            <v>5442000</v>
          </cell>
        </row>
        <row r="670">
          <cell r="A670" t="str">
            <v>293474-B24</v>
          </cell>
          <cell r="B670" t="str">
            <v>MSL5052 S2FC 2Drv SDLT2 RMwFC</v>
          </cell>
          <cell r="C670" t="str">
            <v>U6420E</v>
          </cell>
          <cell r="E670" t="str">
            <v xml:space="preserve">HP CP 1Y 2H 24x7 MSL 5052/5060/6060 </v>
          </cell>
          <cell r="F670">
            <v>6634000</v>
          </cell>
        </row>
        <row r="671">
          <cell r="A671" t="str">
            <v>255102-B21</v>
          </cell>
          <cell r="B671" t="str">
            <v>MSL5052,0DR,LVD,RM</v>
          </cell>
          <cell r="C671" t="str">
            <v>UA872E</v>
          </cell>
          <cell r="E671" t="str">
            <v>HP Startup TapeLib MSL5052/5060/6060 SVC</v>
          </cell>
          <cell r="F671">
            <v>6526000</v>
          </cell>
        </row>
        <row r="672">
          <cell r="A672" t="str">
            <v>249491-B21</v>
          </cell>
          <cell r="B672" t="str">
            <v>MSL5052SL,2 SDLT110/220DR,LVD,RM</v>
          </cell>
        </row>
        <row r="673">
          <cell r="A673" t="str">
            <v>249490-B21</v>
          </cell>
          <cell r="B673" t="str">
            <v>MSL5052SL,2 SDLT110/220DR,LVD,TT</v>
          </cell>
          <cell r="C673" t="str">
            <v>UC652E</v>
          </cell>
          <cell r="E673" t="str">
            <v>HP 1y 4h 13x5 MSL5060/6060/5052 HW Supp</v>
          </cell>
        </row>
        <row r="674">
          <cell r="C674" t="str">
            <v>UC653E</v>
          </cell>
          <cell r="E674" t="str">
            <v>HP 1y 4h 24x7 MSL5060/6060/5052 HW Supp</v>
          </cell>
        </row>
        <row r="675">
          <cell r="C675" t="str">
            <v>UC654E</v>
          </cell>
          <cell r="E675" t="str">
            <v>HP 1y 6h CTR MSL5060/6060/5052 HW Supp</v>
          </cell>
        </row>
        <row r="678">
          <cell r="A678" t="str">
            <v>175195-B21</v>
          </cell>
          <cell r="B678" t="str">
            <v>SSL2020 1 dr AIT TT Library</v>
          </cell>
          <cell r="C678" t="str">
            <v>U6344E</v>
          </cell>
          <cell r="E678" t="str">
            <v>HP CP 3Y NxtDay AIT SSL2020</v>
          </cell>
          <cell r="F678">
            <v>3301000</v>
          </cell>
          <cell r="G678" t="str">
            <v>UA716PE</v>
          </cell>
        </row>
        <row r="679">
          <cell r="A679" t="str">
            <v>175196-B21</v>
          </cell>
          <cell r="B679" t="str">
            <v>SSL2020 1 dr AIT RM Library </v>
          </cell>
          <cell r="C679" t="str">
            <v>U6345E</v>
          </cell>
          <cell r="E679" t="str">
            <v>HP CP 3Y 4H 13x5 AIT SSL2020</v>
          </cell>
          <cell r="F679">
            <v>4551000</v>
          </cell>
          <cell r="G679" t="str">
            <v>UA717PE</v>
          </cell>
        </row>
        <row r="680">
          <cell r="A680" t="str">
            <v>175196-B22</v>
          </cell>
          <cell r="B680" t="str">
            <v>SSL2020 2 dr AIT RM Library</v>
          </cell>
          <cell r="C680" t="str">
            <v>U6346E</v>
          </cell>
          <cell r="E680" t="str">
            <v>HP CP 3Y 4H 24x7 AIT SSL2020</v>
          </cell>
          <cell r="F680">
            <v>6103000</v>
          </cell>
        </row>
        <row r="681">
          <cell r="A681" t="str">
            <v>175195-B22</v>
          </cell>
          <cell r="B681" t="str">
            <v>SSL2020 2 dr AIT TT Library</v>
          </cell>
          <cell r="C681" t="str">
            <v>U9362E</v>
          </cell>
          <cell r="E681" t="str">
            <v>HP CP 4Y 4H 13x5 AIT Libraries</v>
          </cell>
          <cell r="F681">
            <v>6486000</v>
          </cell>
        </row>
        <row r="682">
          <cell r="C682" t="str">
            <v>U9363E</v>
          </cell>
          <cell r="E682" t="str">
            <v>HP CP 4Y 4H 24x7 AIT Libraries</v>
          </cell>
          <cell r="F682">
            <v>8517000</v>
          </cell>
        </row>
        <row r="683">
          <cell r="C683" t="str">
            <v>U9364E</v>
          </cell>
          <cell r="E683" t="str">
            <v>HP CP 5Y 4H 13x5 AIT Libraries</v>
          </cell>
          <cell r="F683">
            <v>8337000</v>
          </cell>
        </row>
        <row r="684">
          <cell r="C684" t="str">
            <v>U9365E</v>
          </cell>
          <cell r="E684" t="str">
            <v>HP CP 5Y 4H 24x7 AIT Libraries</v>
          </cell>
          <cell r="F684">
            <v>10827000</v>
          </cell>
        </row>
        <row r="685">
          <cell r="C685" t="str">
            <v>U9289E</v>
          </cell>
          <cell r="E685" t="str">
            <v>HP CP 3Y 6H CTR AIT SSL2020 1/2 Drives</v>
          </cell>
          <cell r="F685">
            <v>12705000</v>
          </cell>
        </row>
        <row r="686">
          <cell r="C686" t="str">
            <v>U2090E</v>
          </cell>
          <cell r="E686" t="str">
            <v>HP CP Install Stg Autoldr/TapeDrv&amp;Array</v>
          </cell>
          <cell r="F686">
            <v>540000</v>
          </cell>
        </row>
        <row r="688">
          <cell r="C688" t="str">
            <v>U6425E</v>
          </cell>
          <cell r="E688" t="str">
            <v xml:space="preserve">HP CP 3Y 2H 24x7 Strg AIT SSL2020 </v>
          </cell>
          <cell r="F688">
            <v>8543000</v>
          </cell>
        </row>
        <row r="689">
          <cell r="C689" t="str">
            <v>U6426E</v>
          </cell>
          <cell r="E689" t="str">
            <v xml:space="preserve">HP CP 3Y 2H 13x5 Strg AIT SSL2020 </v>
          </cell>
          <cell r="F689">
            <v>6370000</v>
          </cell>
        </row>
        <row r="692">
          <cell r="A692" t="str">
            <v>C7200NB/RC</v>
          </cell>
          <cell r="B692" t="str">
            <v xml:space="preserve">HP SureStore DLT Library 1/20,Rack,LVDS </v>
          </cell>
          <cell r="C692" t="str">
            <v>N/A</v>
          </cell>
          <cell r="E692" t="str">
            <v>N/A</v>
          </cell>
          <cell r="G692" t="str">
            <v>U2063PA/PE</v>
          </cell>
        </row>
        <row r="693">
          <cell r="A693" t="str">
            <v>C7201NB/RC</v>
          </cell>
          <cell r="B693" t="str">
            <v xml:space="preserve">HP SureStore DLT Library 1/20,Dsktp,LVDS </v>
          </cell>
          <cell r="G693" t="str">
            <v>H2734PA/PE</v>
          </cell>
        </row>
        <row r="694">
          <cell r="A694" t="str">
            <v>C7202NB/RC</v>
          </cell>
          <cell r="B694" t="str">
            <v xml:space="preserve">HP SureStore DLT Library 2/20,Rack,LVDS </v>
          </cell>
          <cell r="G694" t="str">
            <v>U3500PA/PE</v>
          </cell>
        </row>
        <row r="695">
          <cell r="A695" t="str">
            <v>C7203NB/RC</v>
          </cell>
          <cell r="B695" t="str">
            <v xml:space="preserve">HP SureStore DLT Library 2/20,Dsktp,LVDS </v>
          </cell>
        </row>
        <row r="696">
          <cell r="A696" t="str">
            <v>C9520CB</v>
          </cell>
          <cell r="B696" t="str">
            <v xml:space="preserve">HP SureStore Tape Library 1/20,Rack,LVDS </v>
          </cell>
        </row>
        <row r="697">
          <cell r="A697" t="str">
            <v>C9520CC</v>
          </cell>
          <cell r="B697" t="str">
            <v xml:space="preserve">HP SureStore Tape Library 1/20,Rack,FC </v>
          </cell>
        </row>
        <row r="698">
          <cell r="A698" t="str">
            <v>C9521CB</v>
          </cell>
          <cell r="B698" t="str">
            <v xml:space="preserve">HP SureStore Tape Library 1/20,SA,LVDS </v>
          </cell>
        </row>
        <row r="699">
          <cell r="A699" t="str">
            <v>C9521CC</v>
          </cell>
          <cell r="B699" t="str">
            <v xml:space="preserve">HP SureStore Tape Library 1/20,SA,FC </v>
          </cell>
        </row>
        <row r="700">
          <cell r="A700" t="str">
            <v>C9522CB</v>
          </cell>
          <cell r="B700" t="str">
            <v xml:space="preserve">HP SureStore Tape Library 2/20,Rack,LVDS </v>
          </cell>
        </row>
        <row r="701">
          <cell r="A701" t="str">
            <v>C9522CC</v>
          </cell>
          <cell r="B701" t="str">
            <v xml:space="preserve">HP SureStore Tape Library 2/20,Rack,FC </v>
          </cell>
        </row>
        <row r="702">
          <cell r="A702" t="str">
            <v>C9523CB</v>
          </cell>
          <cell r="B702" t="str">
            <v xml:space="preserve">HP SureStore Tape Library 2/20,SA,LVDS </v>
          </cell>
        </row>
        <row r="703">
          <cell r="A703" t="str">
            <v>C9523CC</v>
          </cell>
          <cell r="B703" t="str">
            <v xml:space="preserve">HP SureStore Tape Library 2/20,SA,FC </v>
          </cell>
        </row>
        <row r="704">
          <cell r="A704" t="str">
            <v>A4680AZ</v>
          </cell>
          <cell r="B704" t="str">
            <v>HP Surestore DLT 2/20 Factry Rck LVDS</v>
          </cell>
        </row>
        <row r="705">
          <cell r="A705" t="str">
            <v>A5583AZ</v>
          </cell>
          <cell r="B705" t="str">
            <v>HP Surestore DLT 2/20 Factry Rck HVDS</v>
          </cell>
        </row>
        <row r="706">
          <cell r="A706" t="str">
            <v>A4680A</v>
          </cell>
          <cell r="B706" t="str">
            <v>HP Surestore DLT Libr 2/20 Rack LVDS</v>
          </cell>
        </row>
        <row r="707">
          <cell r="A707" t="str">
            <v>A4681A</v>
          </cell>
          <cell r="B707" t="str">
            <v>HP Surestore DLT Libr 2/20 SA LVDS</v>
          </cell>
        </row>
        <row r="708">
          <cell r="A708" t="str">
            <v>A5583A</v>
          </cell>
          <cell r="B708" t="str">
            <v>HP Surestore DLT Libr 2/20 Rack HVDS</v>
          </cell>
        </row>
        <row r="709">
          <cell r="A709" t="str">
            <v>A5584A</v>
          </cell>
          <cell r="B709" t="str">
            <v>HP Surestore DLT Libr 2/20 SA HVDS</v>
          </cell>
        </row>
        <row r="710">
          <cell r="A710" t="str">
            <v>A6310A</v>
          </cell>
          <cell r="B710" t="str">
            <v>HP Surestore Ultrium Libr 2/20 Rk HVDS</v>
          </cell>
        </row>
        <row r="711">
          <cell r="A711" t="str">
            <v>A6311A</v>
          </cell>
          <cell r="B711" t="str">
            <v>HP Surestore Ultrium Libr 2/20 Rk LVDS</v>
          </cell>
        </row>
        <row r="712">
          <cell r="A712" t="str">
            <v>A6312A</v>
          </cell>
          <cell r="B712" t="str">
            <v>HP Surestore Ultrium Libr 2/20 SA HVDS</v>
          </cell>
        </row>
        <row r="713">
          <cell r="A713" t="str">
            <v>A6313A</v>
          </cell>
          <cell r="B713" t="str">
            <v>HP Surestore Ultrium Libr 2/20 SA LVDS</v>
          </cell>
        </row>
        <row r="715">
          <cell r="A715" t="str">
            <v>C5170F/J</v>
          </cell>
          <cell r="B715" t="str">
            <v xml:space="preserve">HP SureStore 4115we/7115we DLT Library </v>
          </cell>
          <cell r="C715" t="str">
            <v>n/a</v>
          </cell>
          <cell r="E715" t="str">
            <v>n/a</v>
          </cell>
          <cell r="G715" t="str">
            <v>U2063PA/PE</v>
          </cell>
        </row>
        <row r="716">
          <cell r="A716" t="str">
            <v>C5171F/J</v>
          </cell>
          <cell r="B716" t="str">
            <v>HP SureStore DLT Library 4215we/7215we</v>
          </cell>
          <cell r="G716" t="str">
            <v>H2734PA/PE</v>
          </cell>
        </row>
        <row r="717">
          <cell r="A717" t="str">
            <v>C5172F/J</v>
          </cell>
          <cell r="B717" t="str">
            <v>HP SureStore DLT Library 4115wr /7115wr</v>
          </cell>
          <cell r="G717" t="str">
            <v>U3500PA/PE</v>
          </cell>
        </row>
        <row r="718">
          <cell r="A718" t="str">
            <v>C5173F/J</v>
          </cell>
          <cell r="B718" t="str">
            <v>HP SureStore DLT Library 4215wr /7215wr</v>
          </cell>
        </row>
        <row r="719">
          <cell r="A719" t="str">
            <v>C5185F/J</v>
          </cell>
          <cell r="B719" t="str">
            <v>HP DLT Library 4115wr /7115wr</v>
          </cell>
        </row>
        <row r="720">
          <cell r="A720" t="str">
            <v>C5186F/J</v>
          </cell>
          <cell r="B720" t="str">
            <v>HP DLT Libary 4215wr /7215wr</v>
          </cell>
        </row>
        <row r="721">
          <cell r="A721" t="str">
            <v>C7200RA</v>
          </cell>
          <cell r="B721" t="str">
            <v xml:space="preserve">HP SureStore DLT Library 1/20,Rack,LVDS </v>
          </cell>
        </row>
        <row r="722">
          <cell r="A722" t="str">
            <v>C7201RA</v>
          </cell>
          <cell r="B722" t="str">
            <v xml:space="preserve">HP SureStore DLT Library 1/20,Dsktp,LVDS </v>
          </cell>
        </row>
        <row r="723">
          <cell r="A723" t="str">
            <v>C7202RA</v>
          </cell>
          <cell r="B723" t="str">
            <v xml:space="preserve">HP SureStore DLT Library 2/20,Rack,LVDS </v>
          </cell>
        </row>
        <row r="724">
          <cell r="A724" t="str">
            <v>C7203RA</v>
          </cell>
          <cell r="B724" t="str">
            <v xml:space="preserve">HP SureStore DLT Library 2/20,Dsktp,LVDS </v>
          </cell>
        </row>
        <row r="725">
          <cell r="A725" t="str">
            <v>C9520AA</v>
          </cell>
          <cell r="B725" t="str">
            <v xml:space="preserve">HP SureStore Tape Library 1/20,Rack,HVDS </v>
          </cell>
        </row>
        <row r="726">
          <cell r="A726" t="str">
            <v>C9521AA</v>
          </cell>
          <cell r="B726" t="str">
            <v xml:space="preserve">HP SureStore Tape Library 1/20,SA,HVDS </v>
          </cell>
        </row>
        <row r="727">
          <cell r="A727" t="str">
            <v>C9522AA</v>
          </cell>
          <cell r="B727" t="str">
            <v>HP SureStore Tape Library 2/20,Rack,HVDS</v>
          </cell>
        </row>
        <row r="728">
          <cell r="A728" t="str">
            <v>C9523AA</v>
          </cell>
          <cell r="B728" t="str">
            <v xml:space="preserve">HP SureStore Tape Library 2/20,SA,HVDS </v>
          </cell>
        </row>
        <row r="729">
          <cell r="A729" t="str">
            <v>157303-B21</v>
          </cell>
          <cell r="B729" t="str">
            <v xml:space="preserve">TL891DLX DLT Library </v>
          </cell>
        </row>
        <row r="733">
          <cell r="A733" t="str">
            <v>C7210NB/RC</v>
          </cell>
          <cell r="B733" t="str">
            <v xml:space="preserve">HP SureStore DLT Library 2/40,Rack,LVDS </v>
          </cell>
          <cell r="C733" t="str">
            <v>H5533E</v>
          </cell>
          <cell r="E733" t="str">
            <v>HP CP 3Y 4H 13x5 SureStore 1200mx Opt</v>
          </cell>
          <cell r="F733">
            <v>10716000</v>
          </cell>
          <cell r="G733" t="str">
            <v>U2064PA/PE</v>
          </cell>
        </row>
        <row r="734">
          <cell r="A734" t="str">
            <v>C7211NB/RC</v>
          </cell>
          <cell r="B734" t="str">
            <v xml:space="preserve">HP SureStore DLT Library 2/40,Dsktp,LVDS </v>
          </cell>
          <cell r="C734" t="str">
            <v>H4435E</v>
          </cell>
          <cell r="E734" t="str">
            <v>HP CP 3Y 4H 24x7 SureStore 1200mx</v>
          </cell>
          <cell r="F734">
            <v>12665000</v>
          </cell>
          <cell r="G734" t="str">
            <v>H2735PA/PE</v>
          </cell>
        </row>
        <row r="735">
          <cell r="A735" t="str">
            <v>C7214NB/RC</v>
          </cell>
          <cell r="B735" t="str">
            <v xml:space="preserve">HP SureStore DLT Library 4/40,Rack,LVDS </v>
          </cell>
          <cell r="G735" t="str">
            <v>H3501PA/PE</v>
          </cell>
        </row>
        <row r="736">
          <cell r="A736" t="str">
            <v>C7215NB/RC</v>
          </cell>
          <cell r="B736" t="str">
            <v xml:space="preserve">HP SureStore DLT Library 4/40,Dsktp,LVDS </v>
          </cell>
        </row>
        <row r="737">
          <cell r="A737" t="str">
            <v>C9529CB</v>
          </cell>
          <cell r="B737" t="str">
            <v xml:space="preserve">HP SureStore Tape Library 2/40,Rack,LVDS </v>
          </cell>
        </row>
        <row r="738">
          <cell r="A738" t="str">
            <v>C9529CC</v>
          </cell>
          <cell r="B738" t="str">
            <v xml:space="preserve">HP SureStore Tape Library 2/40,Rack,FC </v>
          </cell>
        </row>
        <row r="739">
          <cell r="A739" t="str">
            <v>C9530CB</v>
          </cell>
          <cell r="B739" t="str">
            <v xml:space="preserve">HP SureStore Tape Library 2/40,SA,LVDS </v>
          </cell>
        </row>
        <row r="740">
          <cell r="A740" t="str">
            <v>C9530CC</v>
          </cell>
          <cell r="B740" t="str">
            <v xml:space="preserve">HP SureStore Tape Library 2/40,SA,FC </v>
          </cell>
        </row>
        <row r="741">
          <cell r="A741" t="str">
            <v>C9533CB</v>
          </cell>
          <cell r="B741" t="str">
            <v xml:space="preserve">HP SureStore Tape Library 4/40,Rack,LVDS </v>
          </cell>
        </row>
        <row r="742">
          <cell r="A742" t="str">
            <v>C9533CC</v>
          </cell>
          <cell r="B742" t="str">
            <v xml:space="preserve">HP SureStore Tape Library 4/40,Rack,FC </v>
          </cell>
        </row>
        <row r="743">
          <cell r="A743" t="str">
            <v>C9534CB</v>
          </cell>
          <cell r="B743" t="str">
            <v xml:space="preserve">HP SureStore Tape Library 4/40,SA,LVDS </v>
          </cell>
        </row>
        <row r="744">
          <cell r="A744" t="str">
            <v>C9534CC</v>
          </cell>
          <cell r="B744" t="str">
            <v xml:space="preserve">HP SureStore Tape Library 4/40,SA,FC </v>
          </cell>
        </row>
        <row r="745">
          <cell r="A745" t="str">
            <v>A4682AZ</v>
          </cell>
          <cell r="B745" t="str">
            <v>HP Surestore DLT 4/40 Factry Rck LVDS</v>
          </cell>
        </row>
        <row r="746">
          <cell r="A746" t="str">
            <v>A5585AZ</v>
          </cell>
          <cell r="B746" t="str">
            <v>HP Surestore DLT 4/40 Factry Rck HVDS</v>
          </cell>
        </row>
        <row r="747">
          <cell r="A747" t="str">
            <v>A4682A</v>
          </cell>
          <cell r="B747" t="str">
            <v>HP Surestore DLT Libr 4/40 Rack LVDS</v>
          </cell>
        </row>
        <row r="748">
          <cell r="A748" t="str">
            <v>A4683A</v>
          </cell>
          <cell r="B748" t="str">
            <v>HP Surestore DLT Libr 4/40 SA LVDS</v>
          </cell>
        </row>
        <row r="749">
          <cell r="A749" t="str">
            <v>A5585A</v>
          </cell>
          <cell r="B749" t="str">
            <v>HP Surestore DLT Libr 4/40 Rack HVDS</v>
          </cell>
        </row>
        <row r="750">
          <cell r="A750" t="str">
            <v>A5586A</v>
          </cell>
          <cell r="B750" t="str">
            <v>HP Surestore DLT Libr 4/40 SA HVDS</v>
          </cell>
        </row>
        <row r="751">
          <cell r="A751" t="str">
            <v>A6314A</v>
          </cell>
          <cell r="B751" t="str">
            <v>HP Surestore Ultrium Libr 4/40 Rk HVDS</v>
          </cell>
        </row>
        <row r="752">
          <cell r="A752" t="str">
            <v>A6315A</v>
          </cell>
          <cell r="B752" t="str">
            <v>HP Surestore Ultrium Libr 4/40 Rk LVDS</v>
          </cell>
        </row>
        <row r="753">
          <cell r="A753" t="str">
            <v>A6316A</v>
          </cell>
          <cell r="B753" t="str">
            <v>HP Surestore Ultrium Libr 4/40 SA HVDS</v>
          </cell>
        </row>
        <row r="754">
          <cell r="A754" t="str">
            <v>A6317A</v>
          </cell>
          <cell r="B754" t="str">
            <v>HP Surestore Ultrium Libr 4/40 SA LVDS</v>
          </cell>
        </row>
        <row r="756">
          <cell r="A756" t="str">
            <v>C5175F</v>
          </cell>
          <cell r="B756" t="str">
            <v xml:space="preserve">HP SureStore DLT Library 4228w </v>
          </cell>
          <cell r="C756" t="str">
            <v>n/a</v>
          </cell>
          <cell r="E756" t="str">
            <v>n/a</v>
          </cell>
          <cell r="G756" t="str">
            <v>U2064PA/PE</v>
          </cell>
        </row>
        <row r="757">
          <cell r="A757" t="str">
            <v>C5577F/J</v>
          </cell>
          <cell r="B757" t="str">
            <v xml:space="preserve">HP SureStore DLT Library 4448w </v>
          </cell>
          <cell r="G757" t="str">
            <v>H2735PA/PE</v>
          </cell>
        </row>
        <row r="758">
          <cell r="A758" t="str">
            <v>C7210RA</v>
          </cell>
          <cell r="B758" t="str">
            <v xml:space="preserve">HP SureStore DLT Library 2/40,Rack,LVDS </v>
          </cell>
          <cell r="G758" t="str">
            <v>H3501PA/PE</v>
          </cell>
        </row>
        <row r="759">
          <cell r="A759" t="str">
            <v>C7211RA</v>
          </cell>
          <cell r="B759" t="str">
            <v xml:space="preserve">HP SureStore DLT Library 2/40,Dsktp,LVDS </v>
          </cell>
        </row>
        <row r="760">
          <cell r="A760" t="str">
            <v>C7214RA</v>
          </cell>
          <cell r="B760" t="str">
            <v xml:space="preserve">HP SureStore DLT Library 4/40,Rack,LVDS </v>
          </cell>
        </row>
        <row r="761">
          <cell r="A761" t="str">
            <v>C7215RA</v>
          </cell>
          <cell r="B761" t="str">
            <v xml:space="preserve">HP SureStore DLT Library 4/40,Dsktp,LVDS </v>
          </cell>
        </row>
        <row r="762">
          <cell r="A762" t="str">
            <v>C9529AA</v>
          </cell>
          <cell r="B762" t="str">
            <v xml:space="preserve">HP SureStore Tape Library 2/40,Rack,HVDS </v>
          </cell>
        </row>
        <row r="763">
          <cell r="A763" t="str">
            <v>C9530AA</v>
          </cell>
          <cell r="B763" t="str">
            <v xml:space="preserve">HP SureStore Tape Library 2/40,SA,HVDS </v>
          </cell>
        </row>
        <row r="764">
          <cell r="A764" t="str">
            <v>C9533AA</v>
          </cell>
          <cell r="B764" t="str">
            <v xml:space="preserve">HP SureStore Tape Library 4/40,Rack,HVDS </v>
          </cell>
        </row>
        <row r="765">
          <cell r="A765" t="str">
            <v>C9534AA</v>
          </cell>
          <cell r="B765" t="str">
            <v xml:space="preserve">HP SureStore Tape Library 4/40,SA,HVDS </v>
          </cell>
        </row>
        <row r="769">
          <cell r="A769" t="str">
            <v>C7222NB/RC</v>
          </cell>
          <cell r="B769" t="str">
            <v xml:space="preserve">HP SureStore DLT Library 2/60,Rack,LVDS </v>
          </cell>
          <cell r="C769" t="str">
            <v>H5534E</v>
          </cell>
          <cell r="E769" t="str">
            <v>HP CP 3Y 4H 13x5 SureStore 2200mx Opt</v>
          </cell>
          <cell r="F769">
            <v>19752000</v>
          </cell>
          <cell r="G769" t="str">
            <v>U2065PA/PE</v>
          </cell>
        </row>
        <row r="770">
          <cell r="A770" t="str">
            <v>C7223NB/RC</v>
          </cell>
          <cell r="B770" t="str">
            <v xml:space="preserve">HP SureStore DLT Library,2/60,Dsksd,LVDS </v>
          </cell>
          <cell r="C770" t="str">
            <v>H4436E</v>
          </cell>
          <cell r="E770" t="str">
            <v>HP CP 3Y 4H 24x7 SureStore 2200mx</v>
          </cell>
          <cell r="F770">
            <v>23345000</v>
          </cell>
          <cell r="G770" t="str">
            <v>H2736PA/PE</v>
          </cell>
        </row>
        <row r="771">
          <cell r="A771" t="str">
            <v>C7226NB/RC</v>
          </cell>
          <cell r="B771" t="str">
            <v xml:space="preserve">HP SureStore DLT Library 4/60,Rack,LVDS </v>
          </cell>
          <cell r="G771" t="str">
            <v>H3502PA/PE</v>
          </cell>
        </row>
        <row r="772">
          <cell r="A772" t="str">
            <v>C7227NB/RC</v>
          </cell>
          <cell r="B772" t="str">
            <v xml:space="preserve">HP SureStore DLT Library,4/60,Dsksd,LVDS </v>
          </cell>
        </row>
        <row r="773">
          <cell r="A773" t="str">
            <v>C7230NB/RC</v>
          </cell>
          <cell r="B773" t="str">
            <v xml:space="preserve">HP SureStore DLT Library 6/60,Rack,LVDS </v>
          </cell>
        </row>
        <row r="774">
          <cell r="A774" t="str">
            <v>C7231NB/RC</v>
          </cell>
          <cell r="B774" t="str">
            <v xml:space="preserve">HP SureStore DLT Library 6/60,Dsksd,LVDS </v>
          </cell>
        </row>
        <row r="775">
          <cell r="A775" t="str">
            <v>C9540CB</v>
          </cell>
          <cell r="B775" t="str">
            <v xml:space="preserve">HP SureStore Tape Library 2/60,Rack,LVDS </v>
          </cell>
        </row>
        <row r="776">
          <cell r="A776" t="str">
            <v>C9540CC</v>
          </cell>
          <cell r="B776" t="str">
            <v xml:space="preserve">HP SureStore Tape Library 2/60,Rack,FC </v>
          </cell>
        </row>
        <row r="777">
          <cell r="A777" t="str">
            <v>C9541CB</v>
          </cell>
          <cell r="B777" t="str">
            <v xml:space="preserve">HP SureStore Tape Library,2/60,SA,LVDS </v>
          </cell>
        </row>
        <row r="778">
          <cell r="A778" t="str">
            <v>C9541CC</v>
          </cell>
          <cell r="B778" t="str">
            <v xml:space="preserve">HP SureStore Tape Library 2/60,SA,FC </v>
          </cell>
        </row>
        <row r="779">
          <cell r="A779" t="str">
            <v>C9544CB</v>
          </cell>
          <cell r="B779" t="str">
            <v xml:space="preserve">HP SureStore Tape Library 4/60,Rack,LVDS </v>
          </cell>
        </row>
        <row r="780">
          <cell r="A780" t="str">
            <v>C9544CC</v>
          </cell>
          <cell r="B780" t="str">
            <v xml:space="preserve">HP SureStore Tape Library,4/60,Rack,FC </v>
          </cell>
        </row>
        <row r="781">
          <cell r="A781" t="str">
            <v>C9545CB</v>
          </cell>
          <cell r="B781" t="str">
            <v xml:space="preserve">HP SureStore Tape Library 4/60,SA,LVDS </v>
          </cell>
        </row>
        <row r="782">
          <cell r="A782" t="str">
            <v>C9545CC</v>
          </cell>
          <cell r="B782" t="str">
            <v xml:space="preserve">HP SureStore Tape Library 4/60,SA,FC </v>
          </cell>
        </row>
        <row r="783">
          <cell r="A783" t="str">
            <v>C9548AA</v>
          </cell>
          <cell r="B783" t="str">
            <v xml:space="preserve">HP SureStore Tape Library 6/60,Rack,HVDS </v>
          </cell>
        </row>
        <row r="784">
          <cell r="A784" t="str">
            <v>C9548CB</v>
          </cell>
          <cell r="B784" t="str">
            <v xml:space="preserve">HP SureStore Tape Library 6/60,Rack,LVDS </v>
          </cell>
        </row>
        <row r="785">
          <cell r="A785" t="str">
            <v>C9548CC</v>
          </cell>
          <cell r="B785" t="str">
            <v xml:space="preserve">HP SureStore Tape Library 6/60,Rack,FC </v>
          </cell>
        </row>
        <row r="786">
          <cell r="A786" t="str">
            <v>C9549CB</v>
          </cell>
          <cell r="B786" t="str">
            <v xml:space="preserve">HP SureStore Tape Library 6/60,SA,LVDS </v>
          </cell>
        </row>
        <row r="787">
          <cell r="A787" t="str">
            <v>C9549CC</v>
          </cell>
          <cell r="B787" t="str">
            <v xml:space="preserve">HP SureStore Tape Library 6/60,SA,FC </v>
          </cell>
        </row>
        <row r="788">
          <cell r="A788" t="str">
            <v>A4684A</v>
          </cell>
          <cell r="B788" t="str">
            <v>HP Surestore DLT Libr 6/60 Rack LVDS</v>
          </cell>
        </row>
        <row r="789">
          <cell r="A789" t="str">
            <v>A4685A</v>
          </cell>
          <cell r="B789" t="str">
            <v>HP Surestore DLT Libr 6/60 SA LVDS</v>
          </cell>
        </row>
        <row r="790">
          <cell r="A790" t="str">
            <v>A5587A</v>
          </cell>
          <cell r="B790" t="str">
            <v>HP Surestore DLT Libr 6/60 Rack HVDS</v>
          </cell>
        </row>
        <row r="791">
          <cell r="A791" t="str">
            <v>A5588A</v>
          </cell>
          <cell r="B791" t="str">
            <v>HP Surestore DLT Libr 6/60 SA HVDS</v>
          </cell>
        </row>
        <row r="792">
          <cell r="A792" t="str">
            <v>A6318A</v>
          </cell>
          <cell r="B792" t="str">
            <v>HP Surestore Ultrium Libr 6/60 Rk HVDS</v>
          </cell>
        </row>
        <row r="793">
          <cell r="A793" t="str">
            <v>A6319A</v>
          </cell>
          <cell r="B793" t="str">
            <v>HP Surestore Ultrium Libr 6/60 Rk LVDS</v>
          </cell>
        </row>
        <row r="794">
          <cell r="A794" t="str">
            <v>A6320A</v>
          </cell>
          <cell r="B794" t="str">
            <v>HP Surestore Ultrium Libr 6/60 HVDS SA</v>
          </cell>
        </row>
        <row r="795">
          <cell r="A795" t="str">
            <v>A6321A</v>
          </cell>
          <cell r="B795" t="str">
            <v>HP Surestore Ultrium Libr 6/60 SA LVDS</v>
          </cell>
        </row>
        <row r="797">
          <cell r="A797" t="str">
            <v>C7222RA</v>
          </cell>
          <cell r="B797" t="str">
            <v xml:space="preserve">HP SureStore DLT Library 2/60,Rack,LVDS </v>
          </cell>
          <cell r="C797" t="str">
            <v>n/a</v>
          </cell>
          <cell r="E797" t="str">
            <v>n/a</v>
          </cell>
          <cell r="G797" t="str">
            <v>U2065PA/PE</v>
          </cell>
        </row>
        <row r="798">
          <cell r="A798" t="str">
            <v>C7223RA</v>
          </cell>
          <cell r="B798" t="str">
            <v xml:space="preserve">HP SureStore DLT Library,2/60,Dsksd,LVDS </v>
          </cell>
          <cell r="G798" t="str">
            <v>H2736PA/PE</v>
          </cell>
        </row>
        <row r="799">
          <cell r="A799" t="str">
            <v>C7226RA</v>
          </cell>
          <cell r="B799" t="str">
            <v xml:space="preserve">HP SureStore DLT Library 4/60,Rack,LVDS </v>
          </cell>
          <cell r="G799" t="str">
            <v>H3502PA/PE</v>
          </cell>
        </row>
        <row r="800">
          <cell r="A800" t="str">
            <v>C7227RA</v>
          </cell>
          <cell r="B800" t="str">
            <v xml:space="preserve">HP SureStore DLT Library,4/60,Dsksd,LVDS </v>
          </cell>
        </row>
        <row r="801">
          <cell r="A801" t="str">
            <v>C7230RA</v>
          </cell>
          <cell r="B801" t="str">
            <v xml:space="preserve">HP SureStore DLT Library 6/60,Rack,LVDS </v>
          </cell>
        </row>
        <row r="802">
          <cell r="A802" t="str">
            <v>C7231RA</v>
          </cell>
          <cell r="B802" t="str">
            <v xml:space="preserve">HP SureStore DLT Library 6/60,Dsksd,LVDS </v>
          </cell>
        </row>
        <row r="803">
          <cell r="A803" t="str">
            <v>C9540AA</v>
          </cell>
          <cell r="B803" t="str">
            <v xml:space="preserve">HP SureStore Tape Library 2/60,Rack,HVDS </v>
          </cell>
        </row>
        <row r="804">
          <cell r="A804" t="str">
            <v>C9541AA</v>
          </cell>
          <cell r="B804" t="str">
            <v xml:space="preserve">HP SureStore Tape Library,2/60,SA,HVDS </v>
          </cell>
        </row>
        <row r="805">
          <cell r="A805" t="str">
            <v>C9544AA</v>
          </cell>
          <cell r="B805" t="str">
            <v xml:space="preserve">HP SureStore Tape Library 4/60,Rack,HVDS </v>
          </cell>
        </row>
        <row r="806">
          <cell r="A806" t="str">
            <v>C9545AA</v>
          </cell>
          <cell r="B806" t="str">
            <v xml:space="preserve">HP SureStore Tape Library,4/60,SA,HVDS </v>
          </cell>
        </row>
        <row r="807">
          <cell r="A807" t="str">
            <v>C9549AA</v>
          </cell>
          <cell r="B807" t="str">
            <v xml:space="preserve">HP SureStore Tape Library 6/60,SA,HVDS </v>
          </cell>
        </row>
        <row r="809">
          <cell r="A809" t="str">
            <v>A6287A</v>
          </cell>
          <cell r="B809" t="str">
            <v>HP Surestore Tape Library 8/80 DLT, HVDS</v>
          </cell>
          <cell r="C809" t="str">
            <v>n/a</v>
          </cell>
          <cell r="E809" t="str">
            <v>n/a</v>
          </cell>
          <cell r="G809" t="str">
            <v>U2066PA/PE</v>
          </cell>
        </row>
        <row r="810">
          <cell r="A810" t="str">
            <v>A6288A</v>
          </cell>
          <cell r="B810" t="str">
            <v>HP Surestore Tape Library 8/80 DLT, LVDS</v>
          </cell>
          <cell r="G810" t="str">
            <v>U2067PA/PE</v>
          </cell>
        </row>
        <row r="811">
          <cell r="A811" t="str">
            <v>A6291A</v>
          </cell>
          <cell r="B811" t="str">
            <v>HP Surestore Tape Library 8/80 ULT, HVDS</v>
          </cell>
        </row>
        <row r="812">
          <cell r="A812" t="str">
            <v>A6292A</v>
          </cell>
          <cell r="B812" t="str">
            <v>HP Surestore Tape Library 8/80 ULT, LVDS</v>
          </cell>
        </row>
        <row r="813">
          <cell r="A813" t="str">
            <v>A6289A</v>
          </cell>
          <cell r="B813" t="str">
            <v>HP Surestore Tape Library 10/100 DLT, HVDS</v>
          </cell>
        </row>
        <row r="814">
          <cell r="A814" t="str">
            <v>A6290A</v>
          </cell>
          <cell r="B814" t="str">
            <v>HP Surestore Tape Library 10/100 DLT, LVDS</v>
          </cell>
        </row>
        <row r="815">
          <cell r="A815" t="str">
            <v>A6293A</v>
          </cell>
          <cell r="B815" t="str">
            <v>HP Surestore Tape Library 10/100 ULT, HVDS</v>
          </cell>
        </row>
        <row r="816">
          <cell r="A816" t="str">
            <v>A6294A</v>
          </cell>
          <cell r="B816" t="str">
            <v>HP Surestore Tape Library 10/100 ULT, LVDS</v>
          </cell>
        </row>
        <row r="817">
          <cell r="A817" t="str">
            <v>C9564NB</v>
          </cell>
          <cell r="B817" t="str">
            <v>HP Surestore Tabe Libr 4/100DLT 8K LVD</v>
          </cell>
        </row>
        <row r="818">
          <cell r="A818" t="str">
            <v>C9568CB</v>
          </cell>
          <cell r="B818" t="str">
            <v>HP Surestore Tape Libr 4/100 LTO LVD</v>
          </cell>
        </row>
        <row r="819">
          <cell r="A819" t="str">
            <v>C9584NB</v>
          </cell>
          <cell r="B819" t="str">
            <v>HP Surestore Tape Libr 2/80 DLT8000 LVD</v>
          </cell>
        </row>
        <row r="820">
          <cell r="A820" t="str">
            <v>C9585CB</v>
          </cell>
          <cell r="B820" t="str">
            <v>HP Surestore Tape Libr 2/80 Ultrim 8000 LVD</v>
          </cell>
        </row>
        <row r="823">
          <cell r="A823" t="str">
            <v>C7237N/R</v>
          </cell>
          <cell r="B823" t="str">
            <v xml:space="preserve">DLT 8000 Single Drive Upgrade Kit, HVDS </v>
          </cell>
          <cell r="C823" t="str">
            <v>n/a</v>
          </cell>
          <cell r="E823" t="str">
            <v>n/a</v>
          </cell>
          <cell r="G823" t="str">
            <v>UA718PE</v>
          </cell>
        </row>
        <row r="824">
          <cell r="A824" t="str">
            <v>C9555A/C</v>
          </cell>
          <cell r="B824" t="str">
            <v xml:space="preserve">Ultrium Single Drive Upgrade Kit LVDS </v>
          </cell>
          <cell r="G824" t="str">
            <v>UA719PE</v>
          </cell>
        </row>
        <row r="825">
          <cell r="A825" t="str">
            <v>C9173R</v>
          </cell>
          <cell r="B825" t="str">
            <v>DLT 20 Slot capacity upgrade kit</v>
          </cell>
        </row>
        <row r="826">
          <cell r="A826" t="str">
            <v>C9262B</v>
          </cell>
          <cell r="B826" t="str">
            <v>LTO 20 Slot capacity upgrade kit</v>
          </cell>
        </row>
        <row r="827">
          <cell r="A827" t="str">
            <v>C7242J</v>
          </cell>
          <cell r="B827" t="str">
            <v>20 to 40 Slot Upgrade Kit for 1,2/20</v>
          </cell>
        </row>
        <row r="828">
          <cell r="A828" t="str">
            <v>C7243J</v>
          </cell>
          <cell r="B828" t="str">
            <v>40 to 60 Slot Upgrade Kit for 2,4/40</v>
          </cell>
        </row>
        <row r="829">
          <cell r="A829" t="str">
            <v>C9560A</v>
          </cell>
          <cell r="B829" t="str">
            <v>HP Surestore 20 to 40 slot upgrade kit</v>
          </cell>
        </row>
        <row r="830">
          <cell r="A830" t="str">
            <v>C9561A</v>
          </cell>
          <cell r="B830" t="str">
            <v>HP Surestore 40 to 60 slot upgrade kit</v>
          </cell>
        </row>
        <row r="833">
          <cell r="A833" t="str">
            <v>C9570A</v>
          </cell>
          <cell r="B833" t="str">
            <v xml:space="preserve">10/100 Library Rack, 40 slots, DLT </v>
          </cell>
          <cell r="C833" t="str">
            <v>n/a</v>
          </cell>
          <cell r="E833" t="str">
            <v>n/a</v>
          </cell>
          <cell r="G833" t="str">
            <v>UA720PE</v>
          </cell>
        </row>
        <row r="834">
          <cell r="A834" t="str">
            <v>C9571A</v>
          </cell>
          <cell r="B834" t="str">
            <v xml:space="preserve">10/100 Library Rack, 40 slots, ULT </v>
          </cell>
          <cell r="G834" t="str">
            <v>UA721PE</v>
          </cell>
        </row>
        <row r="838">
          <cell r="A838" t="str">
            <v>C1113M/R</v>
          </cell>
          <cell r="B838" t="str">
            <v> HP 9.1GB Multifunction Optical Drive</v>
          </cell>
          <cell r="C838" t="str">
            <v>U6372E</v>
          </cell>
          <cell r="E838" t="str">
            <v>HP CP 3Y NxtDay Opt Jukebox Subsystem</v>
          </cell>
          <cell r="F838">
            <v>1048000</v>
          </cell>
          <cell r="G838" t="str">
            <v>UA722PE</v>
          </cell>
        </row>
        <row r="839">
          <cell r="A839" t="str">
            <v>C1114J/M/R</v>
          </cell>
          <cell r="B839" t="str">
            <v xml:space="preserve">HP SureStore Optical 9100mx Subsystem </v>
          </cell>
          <cell r="C839" t="str">
            <v>H4438E</v>
          </cell>
          <cell r="E839" t="str">
            <v>HP CP 3Y 4H 13x5 SureStore 9100mx sub</v>
          </cell>
          <cell r="F839">
            <v>1663000</v>
          </cell>
          <cell r="G839" t="str">
            <v>UA723PE</v>
          </cell>
        </row>
        <row r="840">
          <cell r="C840" t="str">
            <v>U2852E</v>
          </cell>
          <cell r="E840" t="str">
            <v>HP CP 3Y 4H 24x7 SureStore 9100mx sub</v>
          </cell>
          <cell r="F840">
            <v>1908000</v>
          </cell>
          <cell r="G840" t="str">
            <v>UA724PE</v>
          </cell>
        </row>
        <row r="841">
          <cell r="A841" t="str">
            <v>AA961A</v>
          </cell>
          <cell r="B841" t="str">
            <v>HP StorageWorks Optical 30ux Subsystem</v>
          </cell>
          <cell r="C841" t="str">
            <v>U6373E</v>
          </cell>
          <cell r="E841" t="str">
            <v>HP CP 3Y 6H CTR Opt Jukebox Subsystem</v>
          </cell>
          <cell r="F841">
            <v>2690000</v>
          </cell>
          <cell r="G841" t="str">
            <v>UA725PE</v>
          </cell>
        </row>
        <row r="842">
          <cell r="C842" t="str">
            <v>U9430E</v>
          </cell>
          <cell r="E842" t="str">
            <v>HP CP 4Y 4H 13x5 Optical Jukebox-Subsyst</v>
          </cell>
          <cell r="F842">
            <v>2198000</v>
          </cell>
        </row>
        <row r="843">
          <cell r="C843" t="str">
            <v>U9431E</v>
          </cell>
          <cell r="E843" t="str">
            <v>HP CP 4Y 4H 24x7 Optical Jukebox-Subsyst</v>
          </cell>
          <cell r="F843">
            <v>2520000</v>
          </cell>
        </row>
        <row r="844">
          <cell r="C844" t="str">
            <v>U9432E</v>
          </cell>
          <cell r="E844" t="str">
            <v>HP CP 5Y 4H 13x5 Optical Jukebox-Subsyst</v>
          </cell>
          <cell r="F844">
            <v>2711000</v>
          </cell>
        </row>
        <row r="845">
          <cell r="C845" t="str">
            <v>U9433E</v>
          </cell>
          <cell r="E845" t="str">
            <v>HP CP 5Y 4H 24x7 Optical Jukebox-Subsyst</v>
          </cell>
          <cell r="F845">
            <v>3105000</v>
          </cell>
        </row>
        <row r="846">
          <cell r="C846" t="str">
            <v>U4823E</v>
          </cell>
          <cell r="E846" t="str">
            <v>HP CP Install Stg MSL5030/6030,Opt Libr</v>
          </cell>
          <cell r="F846">
            <v>374000</v>
          </cell>
        </row>
        <row r="848">
          <cell r="C848" t="str">
            <v>UA350E</v>
          </cell>
          <cell r="E848" t="str">
            <v>HP CPe 1Y 4H 13x5 HW Optical 9100mx</v>
          </cell>
          <cell r="F848">
            <v>526000</v>
          </cell>
        </row>
        <row r="849">
          <cell r="C849" t="str">
            <v>UA351E</v>
          </cell>
          <cell r="E849" t="str">
            <v>HP CPe 1Y 4H 24x7 HW Optical 9100mx</v>
          </cell>
          <cell r="F849">
            <v>609000</v>
          </cell>
        </row>
        <row r="850">
          <cell r="C850" t="str">
            <v>UA352E</v>
          </cell>
          <cell r="E850" t="str">
            <v>HP CPe 1Y 6H CTR HW Optical 9100mx</v>
          </cell>
          <cell r="F850">
            <v>878000</v>
          </cell>
        </row>
        <row r="853">
          <cell r="C853" t="str">
            <v>U6374E</v>
          </cell>
          <cell r="E853" t="str">
            <v>HP CP 3Y NxtDay Optical Jukebox 220mx</v>
          </cell>
          <cell r="F853">
            <v>1797000</v>
          </cell>
        </row>
        <row r="854">
          <cell r="A854" t="str">
            <v>C1118M</v>
          </cell>
          <cell r="B854" t="str">
            <v xml:space="preserve">HP SureStore 220mx MO Jukebox 1 Drive </v>
          </cell>
          <cell r="C854" t="str">
            <v>H4437E</v>
          </cell>
          <cell r="E854" t="str">
            <v>HP CP 3Y 4H 13x5 SureStore 220mx</v>
          </cell>
          <cell r="F854">
            <v>3297000</v>
          </cell>
          <cell r="G854" t="str">
            <v>H2731PA/PE</v>
          </cell>
        </row>
        <row r="855">
          <cell r="A855" t="str">
            <v>C1119M</v>
          </cell>
          <cell r="B855" t="str">
            <v xml:space="preserve">HP SureStore 220mx MO Jukebox 2 Drive </v>
          </cell>
          <cell r="C855" t="str">
            <v>U2853E</v>
          </cell>
          <cell r="E855" t="str">
            <v>HP CP 3Y 4H 24x7 SureStore 220mx Opt Jk</v>
          </cell>
          <cell r="F855">
            <v>3896000</v>
          </cell>
          <cell r="G855" t="str">
            <v>U3503PE</v>
          </cell>
        </row>
        <row r="856">
          <cell r="C856" t="str">
            <v>U6375E</v>
          </cell>
          <cell r="E856" t="str">
            <v>HP CP 3Y 6H CTR Optical Jukebox 220mx</v>
          </cell>
          <cell r="F856">
            <v>5803000</v>
          </cell>
          <cell r="G856" t="str">
            <v>UA726PE</v>
          </cell>
        </row>
        <row r="857">
          <cell r="A857" t="str">
            <v>AA962A</v>
          </cell>
          <cell r="B857" t="str">
            <v>HP StorageWorks Optical 700ux 1 Drive</v>
          </cell>
          <cell r="C857" t="str">
            <v>U9434E</v>
          </cell>
          <cell r="E857" t="str">
            <v>HP CP 4Y 4H 13x5 Optical Jukebox - 220mx</v>
          </cell>
          <cell r="F857">
            <v>4603000</v>
          </cell>
          <cell r="G857" t="str">
            <v>UA727PE</v>
          </cell>
        </row>
        <row r="858">
          <cell r="A858" t="str">
            <v>AA963A</v>
          </cell>
          <cell r="B858" t="str">
            <v>HP StorageWorks Optical 700ux 2 Drive</v>
          </cell>
          <cell r="C858" t="str">
            <v>U9435E</v>
          </cell>
          <cell r="E858" t="str">
            <v>HP CP 4Y 4H 24x7 Optical Jukebox - 220mx</v>
          </cell>
          <cell r="F858">
            <v>5389000</v>
          </cell>
        </row>
        <row r="859">
          <cell r="C859" t="str">
            <v>U9436E</v>
          </cell>
          <cell r="E859" t="str">
            <v>HP CP 5Y 4H 13x5 Optical Jukebox - 220mx</v>
          </cell>
          <cell r="F859">
            <v>5853000</v>
          </cell>
        </row>
        <row r="860">
          <cell r="C860" t="str">
            <v>U9437E</v>
          </cell>
          <cell r="E860" t="str">
            <v>HP CP 5Y 4H 24x7 Optical Jukebox - 220mx</v>
          </cell>
          <cell r="F860">
            <v>6815000</v>
          </cell>
        </row>
        <row r="861">
          <cell r="C861" t="str">
            <v>U4823E</v>
          </cell>
          <cell r="E861" t="str">
            <v>HP CP Install Stg MSL5030/6030,Opt Libr</v>
          </cell>
          <cell r="F861">
            <v>374000</v>
          </cell>
        </row>
        <row r="863">
          <cell r="C863" t="str">
            <v>UA353E</v>
          </cell>
          <cell r="E863" t="str">
            <v>HP CPe 1Y 4H 13x5 HW Optical 220mx</v>
          </cell>
          <cell r="F863">
            <v>516000</v>
          </cell>
        </row>
        <row r="864">
          <cell r="C864" t="str">
            <v>UA354E</v>
          </cell>
          <cell r="E864" t="str">
            <v>HP CPe 1Y 4H 24x7 HW Optical 220mx</v>
          </cell>
          <cell r="F864">
            <v>720000</v>
          </cell>
        </row>
        <row r="865">
          <cell r="C865" t="str">
            <v>UA355E</v>
          </cell>
          <cell r="E865" t="str">
            <v>HP CPe 1Y 6H CTR HW Optical 220mx</v>
          </cell>
          <cell r="F865">
            <v>1377000</v>
          </cell>
        </row>
        <row r="867">
          <cell r="A867" t="str">
            <v>C1118J</v>
          </cell>
          <cell r="B867" t="str">
            <v xml:space="preserve">HP SureStore 220mx MO Jukebox 1 Drive </v>
          </cell>
          <cell r="C867" t="str">
            <v>n/a</v>
          </cell>
          <cell r="E867" t="str">
            <v>n/a</v>
          </cell>
          <cell r="G867" t="str">
            <v>H2731PA/PE</v>
          </cell>
        </row>
        <row r="868">
          <cell r="A868" t="str">
            <v>C1119J</v>
          </cell>
          <cell r="B868" t="str">
            <v xml:space="preserve">HP SureStore 220mx MO Jukebox 2 Drive </v>
          </cell>
        </row>
        <row r="869">
          <cell r="A869" t="str">
            <v>C1100F/J</v>
          </cell>
          <cell r="B869" t="str">
            <v xml:space="preserve">HP SureStore 80ex Optical Jukebox 1 Dr </v>
          </cell>
        </row>
        <row r="870">
          <cell r="A870" t="str">
            <v>C1115F/J/L</v>
          </cell>
          <cell r="B870" t="str">
            <v>HP SureStore 40fx Optical Jukebox 2 Dr</v>
          </cell>
        </row>
        <row r="871">
          <cell r="A871" t="str">
            <v>C1116F</v>
          </cell>
          <cell r="B871" t="str">
            <v xml:space="preserve">HP SureStore 40fx Optical Jukebox 2 Dr </v>
          </cell>
          <cell r="G871" t="str">
            <v>U3503PE</v>
          </cell>
        </row>
        <row r="874">
          <cell r="C874" t="str">
            <v>U6376E</v>
          </cell>
          <cell r="E874" t="str">
            <v>HP CP 3Y NxtDay Opt Jukebox 3/6/700mx</v>
          </cell>
          <cell r="F874">
            <v>3896000</v>
          </cell>
        </row>
        <row r="875">
          <cell r="A875" t="str">
            <v>C1150J/M</v>
          </cell>
          <cell r="B875" t="str">
            <v xml:space="preserve">HP SureStore 300mx Optical Jukebox </v>
          </cell>
          <cell r="C875" t="str">
            <v>H5532E</v>
          </cell>
          <cell r="E875" t="str">
            <v>HP CP 3Y 4H 13x5 SureStore 300/600/700mx</v>
          </cell>
          <cell r="F875">
            <v>7144000</v>
          </cell>
          <cell r="G875" t="str">
            <v>U3507PE</v>
          </cell>
        </row>
        <row r="876">
          <cell r="A876" t="str">
            <v>C1160J/M</v>
          </cell>
          <cell r="B876" t="str">
            <v xml:space="preserve">HP SureStore 600mx Optical Jukebox </v>
          </cell>
          <cell r="C876" t="str">
            <v>U2854E</v>
          </cell>
          <cell r="E876" t="str">
            <v>HP CP 3Y 4H 24x7 SureStore 300/600/700mx</v>
          </cell>
          <cell r="F876">
            <v>8443000</v>
          </cell>
          <cell r="G876" t="str">
            <v>U3504PE</v>
          </cell>
        </row>
        <row r="877">
          <cell r="A877" t="str">
            <v>C1170J/M</v>
          </cell>
          <cell r="B877" t="str">
            <v xml:space="preserve">HP SureStore 700mx Optical Jukebox </v>
          </cell>
          <cell r="C877" t="str">
            <v>U6377E</v>
          </cell>
          <cell r="E877" t="str">
            <v>HP CP 3Y 6H CTR Opt Jukebox 3/6/700mx</v>
          </cell>
          <cell r="F877">
            <v>12576000</v>
          </cell>
          <cell r="G877" t="str">
            <v>UA728PE</v>
          </cell>
        </row>
        <row r="878">
          <cell r="C878" t="str">
            <v>U9438E</v>
          </cell>
          <cell r="E878" t="str">
            <v>HP CP 4Y 4H 13x5 Optical - 300/600/700mx</v>
          </cell>
          <cell r="F878">
            <v>9961000</v>
          </cell>
          <cell r="G878" t="str">
            <v>UA729PE</v>
          </cell>
        </row>
        <row r="879">
          <cell r="A879" t="str">
            <v>AA964A</v>
          </cell>
          <cell r="B879" t="str">
            <v>HP StorageWorks Optical 1100ux 2 Drive</v>
          </cell>
          <cell r="C879" t="str">
            <v>U9439E</v>
          </cell>
          <cell r="E879" t="str">
            <v>HP CP 4Y 4H 24x7 Optical - 300/600/700mx</v>
          </cell>
          <cell r="F879">
            <v>11660000</v>
          </cell>
        </row>
        <row r="880">
          <cell r="A880" t="str">
            <v>AA965A</v>
          </cell>
          <cell r="B880" t="str">
            <v>HP StorageWorks Optical 1000ux 2 Drive</v>
          </cell>
          <cell r="C880" t="str">
            <v>U9440E</v>
          </cell>
          <cell r="E880" t="str">
            <v>HP CP 5Y 4H 13x5 Optical - 300/600/700mx</v>
          </cell>
          <cell r="F880">
            <v>12665000</v>
          </cell>
        </row>
        <row r="881">
          <cell r="A881" t="str">
            <v>AA966A</v>
          </cell>
          <cell r="B881" t="str">
            <v>HP StorageWorks Optical 1900ux 4 Drive</v>
          </cell>
          <cell r="C881" t="str">
            <v>U9441E</v>
          </cell>
          <cell r="E881" t="str">
            <v>HP CP 5Y 4H 24x7 Optical - 300/600/700mx</v>
          </cell>
          <cell r="F881">
            <v>14748000</v>
          </cell>
        </row>
        <row r="882">
          <cell r="A882" t="str">
            <v>AA967A</v>
          </cell>
          <cell r="B882" t="str">
            <v>HP StorageWorks Optical 2300ux 2 Drive</v>
          </cell>
          <cell r="C882" t="str">
            <v>U4823E</v>
          </cell>
          <cell r="E882" t="str">
            <v>HP CP Install Stg MSL5030/6030,Opt Libr</v>
          </cell>
          <cell r="F882">
            <v>374000</v>
          </cell>
        </row>
        <row r="883">
          <cell r="A883" t="str">
            <v>AA968A</v>
          </cell>
          <cell r="B883" t="str">
            <v>HP StorageWorks Optical 1900ux 4 Drive</v>
          </cell>
        </row>
        <row r="884">
          <cell r="C884" t="str">
            <v>UA356E</v>
          </cell>
          <cell r="E884" t="str">
            <v>HP CPe 1Y 4H 13x5 HW Optical 300/600/700</v>
          </cell>
          <cell r="F884">
            <v>1115000</v>
          </cell>
        </row>
        <row r="885">
          <cell r="C885" t="str">
            <v>UA357E</v>
          </cell>
          <cell r="E885" t="str">
            <v>HP CPe 1Y 4H 24x7 HW Optical 300/600/700</v>
          </cell>
          <cell r="F885">
            <v>1560000</v>
          </cell>
        </row>
        <row r="886">
          <cell r="C886" t="str">
            <v>UA358E</v>
          </cell>
          <cell r="E886" t="str">
            <v>HP CPe 1Y 6H CTR HW Optical 300/600/700</v>
          </cell>
          <cell r="F886">
            <v>2978000</v>
          </cell>
        </row>
        <row r="888">
          <cell r="A888" t="str">
            <v>C1150F</v>
          </cell>
          <cell r="B888" t="str">
            <v xml:space="preserve">HP SureStore 80fx Optical Jukebox </v>
          </cell>
          <cell r="C888" t="str">
            <v>n/a</v>
          </cell>
          <cell r="E888" t="str">
            <v>n/a</v>
          </cell>
          <cell r="G888" t="str">
            <v>U3507PE</v>
          </cell>
        </row>
        <row r="889">
          <cell r="A889" t="str">
            <v>C1160F</v>
          </cell>
          <cell r="B889" t="str">
            <v>HP SureStore 160fx Optical Jukebox</v>
          </cell>
          <cell r="G889" t="str">
            <v>U3504PE</v>
          </cell>
        </row>
        <row r="890">
          <cell r="A890" t="str">
            <v>C1170F</v>
          </cell>
          <cell r="B890" t="str">
            <v>HP SureStore 200fx Optical Jukebox</v>
          </cell>
        </row>
        <row r="893">
          <cell r="C893" t="str">
            <v>U6378E</v>
          </cell>
          <cell r="E893" t="str">
            <v>HP CP 3Y NxtDay Optical Jukebox 1200mx</v>
          </cell>
          <cell r="F893">
            <v>5844000</v>
          </cell>
        </row>
        <row r="894">
          <cell r="A894" t="str">
            <v>C1104M</v>
          </cell>
          <cell r="B894" t="str">
            <v xml:space="preserve">HP SureStore Optical 1200mx Jukebox 4 Dr </v>
          </cell>
          <cell r="C894" t="str">
            <v>H5533E</v>
          </cell>
          <cell r="E894" t="str">
            <v>HP CP 3Y 4H 13x5 SureStore 1200mx Opt</v>
          </cell>
          <cell r="F894">
            <v>10716000</v>
          </cell>
          <cell r="G894" t="str">
            <v>H2732PA/PE</v>
          </cell>
        </row>
        <row r="895">
          <cell r="A895" t="str">
            <v>C1105M</v>
          </cell>
          <cell r="B895" t="str">
            <v xml:space="preserve">HP SureStore Optical 1200mx Jukebox 6 Dr </v>
          </cell>
          <cell r="C895" t="str">
            <v>H4435E</v>
          </cell>
          <cell r="E895" t="str">
            <v>HP CP 3Y 4H 24x7 SureStore 1200mx</v>
          </cell>
          <cell r="F895">
            <v>12665000</v>
          </cell>
          <cell r="G895" t="str">
            <v>U3505PE</v>
          </cell>
        </row>
        <row r="896">
          <cell r="C896" t="str">
            <v>U6379E</v>
          </cell>
          <cell r="E896" t="str">
            <v>HP CP 3Y 6H CTR Optical Jukebox 1200mx</v>
          </cell>
          <cell r="F896">
            <v>18864000</v>
          </cell>
          <cell r="G896" t="str">
            <v>UA730PE</v>
          </cell>
        </row>
        <row r="897">
          <cell r="A897" t="str">
            <v>AA969A</v>
          </cell>
          <cell r="B897" t="str">
            <v>HP StorageWorks Optical 3800ux 4 Drive</v>
          </cell>
          <cell r="C897" t="str">
            <v>U9442E</v>
          </cell>
          <cell r="E897" t="str">
            <v>HP CP 4Y 4H 13x5 Optical Jukebox-1200mx</v>
          </cell>
          <cell r="F897">
            <v>14942000</v>
          </cell>
          <cell r="G897" t="str">
            <v>UA731PE</v>
          </cell>
        </row>
        <row r="898">
          <cell r="A898" t="str">
            <v>AA970A</v>
          </cell>
          <cell r="B898" t="str">
            <v>HP StorageWorks Optical 3800ux 6 Drive</v>
          </cell>
          <cell r="C898" t="str">
            <v>U9443E</v>
          </cell>
          <cell r="E898" t="str">
            <v>HP CP 4Y 4H 24x7 Optical Jukebox-1200mx</v>
          </cell>
          <cell r="F898">
            <v>17490000</v>
          </cell>
        </row>
        <row r="899">
          <cell r="C899" t="str">
            <v>U9444E</v>
          </cell>
          <cell r="E899" t="str">
            <v>HP CP 5Y 4H 13x5 Optical Jukebox-1200mx</v>
          </cell>
          <cell r="F899">
            <v>18999000</v>
          </cell>
        </row>
        <row r="900">
          <cell r="C900" t="str">
            <v>U9445E</v>
          </cell>
          <cell r="E900" t="str">
            <v>HP CP 5Y 4H 24x7 Optical Jukebox-1200mx</v>
          </cell>
          <cell r="F900">
            <v>22122000</v>
          </cell>
        </row>
        <row r="901">
          <cell r="C901" t="str">
            <v>U4823E</v>
          </cell>
          <cell r="E901" t="str">
            <v>HP CP Install Stg MSL5030/6030,Opt Libr</v>
          </cell>
          <cell r="F901">
            <v>374000</v>
          </cell>
        </row>
        <row r="903">
          <cell r="C903" t="str">
            <v>UA359E</v>
          </cell>
          <cell r="E903" t="str">
            <v>HP CPe 1Y 4H 13x5 HW Optical 1200mx</v>
          </cell>
          <cell r="F903">
            <v>1672000</v>
          </cell>
        </row>
        <row r="904">
          <cell r="C904" t="str">
            <v>UA360E</v>
          </cell>
          <cell r="E904" t="str">
            <v>HP CPe 1Y 4H 24x7 HW Optical 1200mx</v>
          </cell>
          <cell r="F904">
            <v>2340000</v>
          </cell>
        </row>
        <row r="905">
          <cell r="C905" t="str">
            <v>UA361E</v>
          </cell>
          <cell r="E905" t="str">
            <v>HP CPe 1Y 6H CTR HW Optical 1200mx</v>
          </cell>
          <cell r="F905">
            <v>4467000</v>
          </cell>
        </row>
        <row r="907">
          <cell r="A907" t="str">
            <v>C1104F/J</v>
          </cell>
          <cell r="B907" t="str">
            <v>HP SureStore Optical 330fx Jukebox 4 Dr</v>
          </cell>
          <cell r="C907" t="str">
            <v>n/a</v>
          </cell>
          <cell r="E907" t="str">
            <v>n/a</v>
          </cell>
          <cell r="G907" t="str">
            <v>H2732PA/PE</v>
          </cell>
        </row>
        <row r="908">
          <cell r="A908" t="str">
            <v>C1105F/J</v>
          </cell>
          <cell r="B908" t="str">
            <v>HP SureStore Optical 330fx Jukebox 6 Dr</v>
          </cell>
          <cell r="G908" t="str">
            <v>U3505PE</v>
          </cell>
        </row>
        <row r="910">
          <cell r="C910" t="str">
            <v>U6380E</v>
          </cell>
          <cell r="E910" t="str">
            <v>HP CP 3Y NxtDay Optical Jukebox 2200mx</v>
          </cell>
          <cell r="F910">
            <v>10772000</v>
          </cell>
        </row>
        <row r="911">
          <cell r="A911" t="str">
            <v>C1107M</v>
          </cell>
          <cell r="B911" t="str">
            <v xml:space="preserve">HP SureStore Optical 2200mx Jukebox 6 Dr </v>
          </cell>
          <cell r="C911" t="str">
            <v>H5534E</v>
          </cell>
          <cell r="E911" t="str">
            <v>HP CP 3Y 4H 13x5 SureStore 2200mx Opt</v>
          </cell>
          <cell r="F911">
            <v>19752000</v>
          </cell>
          <cell r="G911" t="str">
            <v>H2733PA/PE</v>
          </cell>
        </row>
        <row r="912">
          <cell r="A912" t="str">
            <v>C1110M/R</v>
          </cell>
          <cell r="B912" t="str">
            <v xml:space="preserve">HP SureStore Optical 2200mx Jukebox 10Dr </v>
          </cell>
          <cell r="C912" t="str">
            <v>H4436E</v>
          </cell>
          <cell r="E912" t="str">
            <v>HP CP 3Y 4H 24x7 SureStore 2200mx</v>
          </cell>
          <cell r="F912">
            <v>23345000</v>
          </cell>
          <cell r="G912" t="str">
            <v>U3506PE</v>
          </cell>
        </row>
        <row r="913">
          <cell r="A913" t="str">
            <v>C1111M</v>
          </cell>
          <cell r="B913" t="str">
            <v xml:space="preserve">HP SureStore Optical 2200mx Jukebox 4 Dr </v>
          </cell>
          <cell r="C913" t="str">
            <v>U6381E</v>
          </cell>
          <cell r="E913" t="str">
            <v>HP CP 3Y 6H CTR Optical Jukebox 2200mx</v>
          </cell>
          <cell r="F913">
            <v>29552000</v>
          </cell>
          <cell r="G913" t="str">
            <v>UA732PE</v>
          </cell>
        </row>
        <row r="914">
          <cell r="C914" t="str">
            <v>U9446E</v>
          </cell>
          <cell r="E914" t="str">
            <v>HP CP 4Y 4H 13x5 Optical - 1200ex/2200mx</v>
          </cell>
          <cell r="F914">
            <v>27620000</v>
          </cell>
          <cell r="G914" t="str">
            <v>UA733PE</v>
          </cell>
        </row>
        <row r="915">
          <cell r="A915" t="str">
            <v>AA971A</v>
          </cell>
          <cell r="B915" t="str">
            <v>HP StorageWorks Optical 7100ux 6 Drive</v>
          </cell>
          <cell r="C915" t="str">
            <v>U9447E</v>
          </cell>
          <cell r="E915" t="str">
            <v>HP CP 4Y 4H 24x7 Optical - 1200ex/2200mx</v>
          </cell>
          <cell r="F915">
            <v>32329000</v>
          </cell>
        </row>
        <row r="916">
          <cell r="A916" t="str">
            <v>AA972A</v>
          </cell>
          <cell r="B916" t="str">
            <v>HP StorageWorks Optical 7100ux 10 Drive</v>
          </cell>
          <cell r="C916" t="str">
            <v>U9448E</v>
          </cell>
          <cell r="E916" t="str">
            <v>HP CP 5Y 4H 13x5 Optical - 1200ex/2200mx</v>
          </cell>
          <cell r="F916">
            <v>35118000</v>
          </cell>
        </row>
        <row r="917">
          <cell r="A917" t="str">
            <v>AA973A</v>
          </cell>
          <cell r="B917" t="str">
            <v>HP StorageWorks Optical 7100ux 4 Drive</v>
          </cell>
          <cell r="C917" t="str">
            <v>U9449E</v>
          </cell>
          <cell r="E917" t="str">
            <v>HP CP 5Y 4H 24x7 Optical - 1200ex/2200mx</v>
          </cell>
          <cell r="F917">
            <v>40892000</v>
          </cell>
        </row>
        <row r="918">
          <cell r="A918" t="str">
            <v>AA974A</v>
          </cell>
          <cell r="B918" t="str">
            <v>HP StorageWorks Optical 7100ux 10 Drive</v>
          </cell>
          <cell r="C918" t="str">
            <v>U4823E</v>
          </cell>
          <cell r="E918" t="str">
            <v>HP CP Install Stg MSL5030/6030,Opt Libr</v>
          </cell>
          <cell r="F918">
            <v>374000</v>
          </cell>
        </row>
        <row r="920">
          <cell r="C920" t="str">
            <v>UA362E</v>
          </cell>
          <cell r="E920" t="str">
            <v>HP CPe 1Y 4H 13x5 HW Optical1200ex2200mx</v>
          </cell>
          <cell r="F920">
            <v>3081000</v>
          </cell>
        </row>
        <row r="921">
          <cell r="C921" t="str">
            <v>UA363E</v>
          </cell>
          <cell r="E921" t="str">
            <v>HP CPe 1Y 4H 24x7 HW Optical1200ex2200mx</v>
          </cell>
          <cell r="F921">
            <v>4313000</v>
          </cell>
        </row>
        <row r="922">
          <cell r="C922" t="str">
            <v>UA364E</v>
          </cell>
          <cell r="E922" t="str">
            <v>HP CPe 1Y 6H CTR HW Optical1200ex2200mx</v>
          </cell>
          <cell r="F922">
            <v>8235000</v>
          </cell>
        </row>
        <row r="924">
          <cell r="A924" t="str">
            <v>C1107F/J</v>
          </cell>
          <cell r="B924" t="str">
            <v xml:space="preserve">HP SureStore Optical 600fx Jukebox 6 Dr </v>
          </cell>
          <cell r="C924" t="str">
            <v>n/a</v>
          </cell>
          <cell r="E924" t="str">
            <v>n/a</v>
          </cell>
          <cell r="G924" t="str">
            <v>H2733PA/PE</v>
          </cell>
        </row>
        <row r="925">
          <cell r="A925" t="str">
            <v>C1108F</v>
          </cell>
          <cell r="B925" t="str">
            <v>HP SureStore 600fx Optical Jukebox 8 Dr</v>
          </cell>
          <cell r="G925" t="str">
            <v>U3506PE</v>
          </cell>
        </row>
        <row r="926">
          <cell r="A926" t="str">
            <v>C1110F/J</v>
          </cell>
          <cell r="B926" t="str">
            <v>HP SureStore Optical 600fx Jukebox 10 D</v>
          </cell>
        </row>
        <row r="927">
          <cell r="A927" t="str">
            <v>C1111J </v>
          </cell>
          <cell r="B927" t="str">
            <v> HP SureStore Optical 1200ex Jukebox 4 Dr</v>
          </cell>
        </row>
        <row r="928">
          <cell r="A928" t="str">
            <v>C1112F</v>
          </cell>
          <cell r="B928" t="str">
            <v>HP SureStore Optical 600fx Jukebox 12 Dr</v>
          </cell>
        </row>
        <row r="930">
          <cell r="A930" t="str">
            <v>AA991A</v>
          </cell>
          <cell r="B930" t="str">
            <v>HP StorageWorks 1200mx/660ex MO to UDO Conversion</v>
          </cell>
          <cell r="C930" t="str">
            <v>U9539E</v>
          </cell>
          <cell r="E930" t="str">
            <v>HP CP 1Y Installation MO-UDO conversion</v>
          </cell>
          <cell r="F930">
            <v>1958000</v>
          </cell>
        </row>
        <row r="931">
          <cell r="A931" t="str">
            <v>AA992A</v>
          </cell>
          <cell r="B931" t="str">
            <v>HP StorageWorks 2200mx/1200ex Conv/3800us Capacity</v>
          </cell>
        </row>
        <row r="932">
          <cell r="A932" t="str">
            <v>AA994A</v>
          </cell>
          <cell r="B932" t="str">
            <v>HP StorageWorks 300mx/160ex MO to UDO Conversion</v>
          </cell>
        </row>
        <row r="933">
          <cell r="A933" t="str">
            <v>AA995A</v>
          </cell>
          <cell r="B933" t="str">
            <v>HP StorageWorks 600mx Mixed Drive Conversion</v>
          </cell>
        </row>
        <row r="937">
          <cell r="A937" t="str">
            <v>AA993A</v>
          </cell>
          <cell r="B937" t="str">
            <v xml:space="preserve">HP StorageWorks 3800ux or 7100ux Drive Upgrade </v>
          </cell>
          <cell r="C937" t="str">
            <v>U4823E</v>
          </cell>
          <cell r="E937" t="str">
            <v>HP CP Install Stg MSL5030/6030,Opt Libr</v>
          </cell>
          <cell r="F937">
            <v>374000</v>
          </cell>
        </row>
        <row r="938">
          <cell r="A938" t="str">
            <v>AA996A</v>
          </cell>
          <cell r="B938" t="str">
            <v>HP StorageWorks 1000ux Drive Upgrade</v>
          </cell>
        </row>
        <row r="939">
          <cell r="A939" t="str">
            <v>AA997A</v>
          </cell>
          <cell r="B939" t="str">
            <v>HP StorageWorks 1000ux Capacity Upgrade</v>
          </cell>
        </row>
        <row r="940">
          <cell r="A940" t="str">
            <v>AA998A</v>
          </cell>
          <cell r="B940" t="str">
            <v>HP StorageWorks 700ux Drive Upgrade Kit</v>
          </cell>
        </row>
        <row r="941">
          <cell r="A941" t="str">
            <v>AD500A</v>
          </cell>
          <cell r="B941" t="str">
            <v>HP StorageWorks 700ux to 1100ux Capacity Upgrade</v>
          </cell>
        </row>
        <row r="942">
          <cell r="A942" t="str">
            <v>AD505A</v>
          </cell>
          <cell r="B942" t="str">
            <v>HP StorageWorks Rackmount Shelf for 700 or 1100ux</v>
          </cell>
        </row>
        <row r="944">
          <cell r="A944" t="str">
            <v>A6261A/AE/AZ</v>
          </cell>
          <cell r="B944" t="str">
            <v>HP Virtual Array 7100 w/ Dual Controller 256-MB Cache</v>
          </cell>
          <cell r="C944" t="str">
            <v>H7555E</v>
          </cell>
          <cell r="E944" t="str">
            <v>HP CP 3Y 4H 13x5 StgWrks VA7100 Series</v>
          </cell>
          <cell r="F944">
            <v>4808000</v>
          </cell>
          <cell r="G944" t="str">
            <v>UA734PE</v>
          </cell>
        </row>
        <row r="945">
          <cell r="A945" t="str">
            <v>A6262A/AE/AZ</v>
          </cell>
          <cell r="B945" t="str">
            <v>HP Virtual Array 7100 w/ Dual Controller 512-MB Cache</v>
          </cell>
          <cell r="C945" t="str">
            <v>H7559E</v>
          </cell>
          <cell r="E945" t="str">
            <v>HP CP 3Y 24x7 StgWrks VA7100 Series</v>
          </cell>
          <cell r="F945">
            <v>8421000</v>
          </cell>
          <cell r="G945" t="str">
            <v>UA735PE</v>
          </cell>
        </row>
        <row r="946">
          <cell r="A946" t="str">
            <v>A6263A/AE/AZ</v>
          </cell>
          <cell r="B946" t="str">
            <v>HP Virtual Array 7100 w/ Dual Controller 1024-MB Cache</v>
          </cell>
          <cell r="C946" t="str">
            <v>U3377E</v>
          </cell>
          <cell r="E946" t="str">
            <v>HP CP 3Y 6H CTR VA 7100 Series</v>
          </cell>
          <cell r="F946">
            <v>11359000</v>
          </cell>
        </row>
        <row r="947">
          <cell r="A947" t="str">
            <v>A7294A/AE/AZ</v>
          </cell>
          <cell r="B947" t="str">
            <v>HP Virtual Array 7110 w/ Dual Controller 512-MB Cache</v>
          </cell>
          <cell r="C947" t="str">
            <v>U9478E</v>
          </cell>
          <cell r="E947" t="str">
            <v>HP CP 4Y 4H 13x5  HP VA 7100 Series</v>
          </cell>
          <cell r="F947">
            <v>9416000</v>
          </cell>
        </row>
        <row r="948">
          <cell r="A948" t="str">
            <v>A7295A/AE/AZ</v>
          </cell>
          <cell r="B948" t="str">
            <v>HP Virtual Array 7110 w/ Dual Controller 1024-MB Cache</v>
          </cell>
          <cell r="C948" t="str">
            <v>U9479E</v>
          </cell>
          <cell r="E948" t="str">
            <v>HP CP 4Y 4H 24x7 HP VA 7100 Series</v>
          </cell>
          <cell r="F948">
            <v>14149000</v>
          </cell>
        </row>
        <row r="949">
          <cell r="A949" t="str">
            <v>A7296A/AE/AZ</v>
          </cell>
          <cell r="B949" t="str">
            <v>HP Virtual Array 7110 w/ Dual Controller 2048-MB Cache</v>
          </cell>
          <cell r="C949" t="str">
            <v>U9480E</v>
          </cell>
          <cell r="E949" t="str">
            <v>HP CP 5Y 4H 13x5 HP VA 7100 Series</v>
          </cell>
          <cell r="F949">
            <v>13828000</v>
          </cell>
        </row>
        <row r="950">
          <cell r="C950" t="str">
            <v>U9481E</v>
          </cell>
          <cell r="E950" t="str">
            <v>HP CP 5Y 4H 24x7 HP VA 7100 Series</v>
          </cell>
          <cell r="F950">
            <v>19629000</v>
          </cell>
        </row>
        <row r="951">
          <cell r="C951" t="str">
            <v>U4374E</v>
          </cell>
          <cell r="E951" t="str">
            <v>HP CP Install&amp;Startup Storage VA7100</v>
          </cell>
          <cell r="F951">
            <v>4698000</v>
          </cell>
        </row>
        <row r="956">
          <cell r="A956" t="str">
            <v>A6264A/AE/AZ</v>
          </cell>
          <cell r="B956" t="str">
            <v>HP Virtual Array 7400 wi/ Dual Controller 512-MB Cache</v>
          </cell>
          <cell r="C956" t="str">
            <v>H7561E</v>
          </cell>
          <cell r="E956" t="str">
            <v>HP CP 3Y 4H 13x5 StgWrks VA7400 Series</v>
          </cell>
          <cell r="F956">
            <v>6304000</v>
          </cell>
          <cell r="G956" t="str">
            <v>UA736PE</v>
          </cell>
        </row>
        <row r="957">
          <cell r="A957" t="str">
            <v>A6265A/AE/AZ</v>
          </cell>
          <cell r="B957" t="str">
            <v>HP Virtual Array 7400 wi/ Dual Controller 1024-MB Cache</v>
          </cell>
          <cell r="C957" t="str">
            <v>H7565E</v>
          </cell>
          <cell r="E957" t="str">
            <v>HP CP 3Y 24x7 StgWrks VA7400 Series</v>
          </cell>
          <cell r="F957">
            <v>11043000</v>
          </cell>
          <cell r="G957" t="str">
            <v>UA737PE</v>
          </cell>
        </row>
        <row r="958">
          <cell r="A958" t="str">
            <v>A6267A/AE/AZ</v>
          </cell>
          <cell r="B958" t="str">
            <v>HP Virtual Array 7410 w/ Dual Controller 1024-MB Cache</v>
          </cell>
          <cell r="C958" t="str">
            <v>U3378E</v>
          </cell>
          <cell r="E958" t="str">
            <v>HP CP 3Y 6H CTR VA 7400 Series</v>
          </cell>
          <cell r="F958">
            <v>18018000</v>
          </cell>
        </row>
        <row r="959">
          <cell r="A959" t="str">
            <v>A6268A/AE/AZ</v>
          </cell>
          <cell r="B959" t="str">
            <v>HP Virtual Array 7410 w/ Dual Controller 2048-MB Cache</v>
          </cell>
          <cell r="C959" t="str">
            <v>U9334E</v>
          </cell>
          <cell r="E959" t="str">
            <v>HP CP 4Y 4H 13x5 HP VA 7400 Series</v>
          </cell>
          <cell r="F959">
            <v>12349000</v>
          </cell>
        </row>
        <row r="960">
          <cell r="C960" t="str">
            <v>U9335E</v>
          </cell>
          <cell r="E960" t="str">
            <v>HP CP 4Y 4H 24x7 HP VA 7400 Series</v>
          </cell>
          <cell r="F960">
            <v>18554000</v>
          </cell>
        </row>
        <row r="961">
          <cell r="C961" t="str">
            <v>U9336E</v>
          </cell>
          <cell r="E961" t="str">
            <v>HP CP 5Y 4H 13x5 HP VA 7400 Series</v>
          </cell>
          <cell r="F961">
            <v>18133000</v>
          </cell>
        </row>
        <row r="962">
          <cell r="C962" t="str">
            <v>U9337E</v>
          </cell>
          <cell r="E962" t="str">
            <v>HP CP 5Y 4H 24x7 HP VA 7400 Series</v>
          </cell>
          <cell r="F962">
            <v>25741000</v>
          </cell>
        </row>
        <row r="963">
          <cell r="C963" t="str">
            <v>U4373A.E</v>
          </cell>
          <cell r="E963" t="str">
            <v>HP CP Install&amp;Startup Storage VA7400</v>
          </cell>
          <cell r="F963">
            <v>7048000</v>
          </cell>
        </row>
        <row r="966">
          <cell r="A966" t="str">
            <v>A6214AE</v>
          </cell>
          <cell r="B966" t="str">
            <v>HP DS2400 Disk Enclosure</v>
          </cell>
          <cell r="C966" t="str">
            <v>H7563E</v>
          </cell>
          <cell r="E966" t="str">
            <v>HP CP 3Y 4H 13x5 StgWrks VA Enclosure</v>
          </cell>
          <cell r="F966">
            <v>2414000</v>
          </cell>
          <cell r="G966" t="str">
            <v>UA738PE</v>
          </cell>
        </row>
        <row r="967">
          <cell r="A967" t="str">
            <v>A6183AE</v>
          </cell>
          <cell r="B967" t="str">
            <v>HP Virtual Array Disk Enclosure</v>
          </cell>
          <cell r="C967" t="str">
            <v>H7564E</v>
          </cell>
          <cell r="E967" t="str">
            <v>HP CP 3Y 24x7 StgWrks VA Enclosure</v>
          </cell>
          <cell r="F967">
            <v>4230000</v>
          </cell>
          <cell r="G967" t="str">
            <v>UA739PE</v>
          </cell>
        </row>
        <row r="968">
          <cell r="A968" t="str">
            <v>A6250A/AE/AZ</v>
          </cell>
          <cell r="B968" t="str">
            <v>HP DS2405 Disk Enclosure</v>
          </cell>
          <cell r="C968" t="str">
            <v>U3379E</v>
          </cell>
          <cell r="E968" t="str">
            <v>HP CP 3Y 6H CTR VA Enclosures</v>
          </cell>
          <cell r="F968">
            <v>5875000</v>
          </cell>
        </row>
        <row r="969">
          <cell r="C969" t="str">
            <v>U9330E</v>
          </cell>
          <cell r="E969" t="str">
            <v>HP CP 4Y 4H 13x5 HP VA Enclosures</v>
          </cell>
          <cell r="F969">
            <v>4730000</v>
          </cell>
        </row>
        <row r="970">
          <cell r="C970" t="str">
            <v>U9331E</v>
          </cell>
          <cell r="E970" t="str">
            <v>HP CP 4Y 4H 24x7 HP VA Enclosures</v>
          </cell>
          <cell r="F970">
            <v>7106000</v>
          </cell>
        </row>
        <row r="971">
          <cell r="C971" t="str">
            <v>U9332E</v>
          </cell>
          <cell r="E971" t="str">
            <v>HP CP 5Y 4H 13x5 HP VA Enclosures</v>
          </cell>
          <cell r="F971">
            <v>6946000</v>
          </cell>
        </row>
        <row r="972">
          <cell r="C972" t="str">
            <v>U9333E</v>
          </cell>
          <cell r="E972" t="str">
            <v>HP CP 5Y 4H 24x7 HP VA Enclosures</v>
          </cell>
          <cell r="F972">
            <v>9859000</v>
          </cell>
        </row>
        <row r="973">
          <cell r="C973" t="str">
            <v>U4372E</v>
          </cell>
          <cell r="E973" t="str">
            <v>HP CP Install&amp;Startup Storage VA Encl.</v>
          </cell>
          <cell r="F973">
            <v>1827000</v>
          </cell>
        </row>
        <row r="974">
          <cell r="A974" t="str">
            <v>A7566A</v>
          </cell>
          <cell r="B974" t="str">
            <v>Scaleable File Share 20 Enclosure</v>
          </cell>
          <cell r="C974" t="str">
            <v>UC678E</v>
          </cell>
          <cell r="E974" t="str">
            <v>HP 3Y NBD 9x5 SFS20</v>
          </cell>
          <cell r="F974">
            <v>895000</v>
          </cell>
          <cell r="G974" t="str">
            <v>UC682E</v>
          </cell>
        </row>
        <row r="975">
          <cell r="C975" t="str">
            <v>UC679E</v>
          </cell>
          <cell r="E975" t="str">
            <v>HP 3Y 4H 13x5 SFS20</v>
          </cell>
          <cell r="F975">
            <v>1495000</v>
          </cell>
          <cell r="G975" t="str">
            <v>UC683E</v>
          </cell>
        </row>
        <row r="976">
          <cell r="C976" t="str">
            <v>UC680E</v>
          </cell>
          <cell r="E976" t="str">
            <v>HP 3Y 4H 24x7 SFS20</v>
          </cell>
          <cell r="F976">
            <v>1736000</v>
          </cell>
          <cell r="G976" t="str">
            <v>UC684E</v>
          </cell>
        </row>
        <row r="977">
          <cell r="C977" t="str">
            <v>UC681E</v>
          </cell>
          <cell r="E977" t="str">
            <v>HP 3Y 6H CTR SFS20</v>
          </cell>
          <cell r="F977">
            <v>2499000</v>
          </cell>
          <cell r="G977" t="str">
            <v>UC685E</v>
          </cell>
        </row>
        <row r="978">
          <cell r="C978" t="str">
            <v>UC674E</v>
          </cell>
          <cell r="E978" t="str">
            <v>HP 1Y NBD 9x5 SFS20</v>
          </cell>
          <cell r="F978">
            <v>313000</v>
          </cell>
        </row>
        <row r="979">
          <cell r="C979" t="str">
            <v>UC675E</v>
          </cell>
          <cell r="E979" t="str">
            <v>HP 1Y 4H 13x5 SFS20</v>
          </cell>
          <cell r="F979">
            <v>523000</v>
          </cell>
        </row>
        <row r="980">
          <cell r="C980" t="str">
            <v>UC676E</v>
          </cell>
          <cell r="E980" t="str">
            <v>HP 1Y 4H 24x7 SFS20</v>
          </cell>
          <cell r="F980">
            <v>607000</v>
          </cell>
        </row>
        <row r="981">
          <cell r="C981" t="str">
            <v>UC677E</v>
          </cell>
          <cell r="E981" t="str">
            <v>HP 1Y 6H CTR SFS20</v>
          </cell>
          <cell r="F981">
            <v>875000</v>
          </cell>
        </row>
        <row r="982">
          <cell r="C982" t="str">
            <v>UC686E</v>
          </cell>
          <cell r="E982" t="str">
            <v>HP Installation SFS20</v>
          </cell>
          <cell r="F982">
            <v>427000</v>
          </cell>
        </row>
        <row r="984">
          <cell r="C984" t="str">
            <v>UC674A</v>
          </cell>
          <cell r="E984" t="str">
            <v>HP 1y NBD 9x5 SFS20 Support</v>
          </cell>
          <cell r="F984">
            <v>313000</v>
          </cell>
        </row>
        <row r="985">
          <cell r="C985" t="str">
            <v>UC675A</v>
          </cell>
          <cell r="E985" t="str">
            <v>HP 1y 4H 13x5 SFS20 Support</v>
          </cell>
          <cell r="F985">
            <v>523000</v>
          </cell>
        </row>
        <row r="986">
          <cell r="C986" t="str">
            <v>UC676A</v>
          </cell>
          <cell r="E986" t="str">
            <v>HP 1y 4H 24x7 SFS20 Support</v>
          </cell>
          <cell r="F986">
            <v>607000</v>
          </cell>
        </row>
        <row r="987">
          <cell r="C987" t="str">
            <v>UC677A</v>
          </cell>
          <cell r="E987" t="str">
            <v>HP 1y 6H CTR SFS20 Support</v>
          </cell>
          <cell r="F987">
            <v>875000</v>
          </cell>
        </row>
        <row r="988">
          <cell r="C988" t="str">
            <v>UC678A</v>
          </cell>
          <cell r="E988" t="str">
            <v>HP 3y NBD 9x5 SFS20 Support</v>
          </cell>
          <cell r="F988">
            <v>895000</v>
          </cell>
        </row>
        <row r="989">
          <cell r="C989" t="str">
            <v>UC679A</v>
          </cell>
          <cell r="E989" t="str">
            <v>HP 3y 4H 13x5 SFS20 Support</v>
          </cell>
          <cell r="F989">
            <v>1495000</v>
          </cell>
        </row>
        <row r="990">
          <cell r="C990" t="str">
            <v>UC680A</v>
          </cell>
          <cell r="E990" t="str">
            <v>HP 3y 4H 24x7 SFS20 Support</v>
          </cell>
          <cell r="F990">
            <v>1736000</v>
          </cell>
        </row>
        <row r="991">
          <cell r="C991" t="str">
            <v>UC681A</v>
          </cell>
          <cell r="E991" t="str">
            <v>HP 3y 6H CTR SFS20 Support</v>
          </cell>
          <cell r="F991">
            <v>2499000</v>
          </cell>
        </row>
        <row r="992">
          <cell r="C992" t="str">
            <v>UC686A</v>
          </cell>
          <cell r="E992" t="str">
            <v>HP Installation SFS20 Service</v>
          </cell>
          <cell r="F992">
            <v>427000</v>
          </cell>
        </row>
        <row r="995">
          <cell r="A995" t="str">
            <v>T1002A</v>
          </cell>
          <cell r="B995" t="str">
            <v>Entrprise Mgmt Smart Plug-Ins for Commd Vw 1 Host LTU; SW Media Kit</v>
          </cell>
          <cell r="C995" t="str">
            <v>U5885A</v>
          </cell>
          <cell r="E995" t="str">
            <v xml:space="preserve">HP CP 3Y SWsptM-F Strg Low $901-1000 </v>
          </cell>
          <cell r="F995">
            <v>837000</v>
          </cell>
        </row>
        <row r="996">
          <cell r="C996" t="str">
            <v>U5886A</v>
          </cell>
          <cell r="E996" t="str">
            <v xml:space="preserve">HP CP 3Y SWspt24x7 Strg Low $901-1000 </v>
          </cell>
          <cell r="F996">
            <v>1045000</v>
          </cell>
        </row>
        <row r="998">
          <cell r="A998" t="str">
            <v>T1004A</v>
          </cell>
          <cell r="B998" t="str">
            <v xml:space="preserve">Secure Manager VA SW Media Kit for 500 GB LTU </v>
          </cell>
          <cell r="C998" t="str">
            <v>U5889A</v>
          </cell>
          <cell r="E998" t="str">
            <v xml:space="preserve">HP CP 3Y SWsptM-F Strg Low $2001-2400 </v>
          </cell>
          <cell r="F998">
            <v>1937000</v>
          </cell>
        </row>
        <row r="999">
          <cell r="A999" t="str">
            <v>T1011A</v>
          </cell>
          <cell r="B999" t="str">
            <v>Auto Path VA for Win 2000 1 Host LTU w/SW Media Kit</v>
          </cell>
          <cell r="C999" t="str">
            <v>U5890A</v>
          </cell>
          <cell r="E999" t="str">
            <v xml:space="preserve">HP CP 3Y SWspt24x7 Strg Low $2001-2400 </v>
          </cell>
          <cell r="F999">
            <v>2420000</v>
          </cell>
        </row>
        <row r="1000">
          <cell r="A1000" t="str">
            <v>T1012A</v>
          </cell>
          <cell r="B1000" t="str">
            <v>Auto Path VA for Win 2000 1 Host LTU</v>
          </cell>
        </row>
        <row r="1001">
          <cell r="A1001" t="str">
            <v>T1039A</v>
          </cell>
          <cell r="B1001" t="str">
            <v>Auto Path VA for Win NT 4.0 1 Host LTU w/SW Media Kit</v>
          </cell>
        </row>
        <row r="1002">
          <cell r="A1002" t="str">
            <v>T1040A</v>
          </cell>
          <cell r="B1002" t="str">
            <v xml:space="preserve">Auto Path VA for Win NT 4.0 1 Host LTU </v>
          </cell>
        </row>
        <row r="1003">
          <cell r="A1003" t="str">
            <v>T1044A</v>
          </cell>
          <cell r="B1003" t="str">
            <v>Auto Path VA for Linux Red Hat 6.2/7.1 1 Host LTU w/SW Media Kit</v>
          </cell>
        </row>
        <row r="1004">
          <cell r="A1004" t="str">
            <v>T1045A</v>
          </cell>
          <cell r="B1004" t="str">
            <v xml:space="preserve">Auto Path VA for Linux Red Hat 6.2/7.1 1 Host LTU </v>
          </cell>
        </row>
        <row r="1005">
          <cell r="A1005" t="str">
            <v>T1070A</v>
          </cell>
          <cell r="B1005" t="str">
            <v>Auto Path VA for Win Server 2003 1 Host LTU &amp; SW Kit</v>
          </cell>
        </row>
        <row r="1006">
          <cell r="A1006" t="str">
            <v>T1071A</v>
          </cell>
          <cell r="B1006" t="str">
            <v>AutoPathVA for Win Server 2003 1 Host LTU</v>
          </cell>
        </row>
        <row r="1008">
          <cell r="A1008" t="str">
            <v>T1005A</v>
          </cell>
          <cell r="B1008" t="str">
            <v xml:space="preserve">Secure Manager VA SW Media Kit for 1 TB LTU </v>
          </cell>
          <cell r="C1008" t="str">
            <v>U9924A</v>
          </cell>
          <cell r="E1008" t="str">
            <v xml:space="preserve">HP CP 3Y SWsptM-F Strg Low $3201-3600 </v>
          </cell>
          <cell r="F1008">
            <v>2993000</v>
          </cell>
        </row>
        <row r="1009">
          <cell r="A1009" t="str">
            <v>T1060A</v>
          </cell>
          <cell r="B1009" t="str">
            <v>Auto Path VA for HP-UX 1 Host LTU w/SW Media Kit</v>
          </cell>
          <cell r="C1009" t="str">
            <v>U9925A</v>
          </cell>
          <cell r="E1009" t="str">
            <v xml:space="preserve">HP CP 3Y SWspt24x7 Strg Low $3201-3600 </v>
          </cell>
          <cell r="F1009">
            <v>3741000</v>
          </cell>
        </row>
        <row r="1010">
          <cell r="A1010" t="str">
            <v>T1061A</v>
          </cell>
          <cell r="B1010" t="str">
            <v xml:space="preserve">Auto Path VA for HP-UX 1 Host LTU </v>
          </cell>
        </row>
        <row r="1012">
          <cell r="A1012" t="str">
            <v>T1001A</v>
          </cell>
          <cell r="B1012" t="str">
            <v>Command View SDM, 1 Host LTU w/ SW Media Kit</v>
          </cell>
          <cell r="C1012" t="str">
            <v>U5897A</v>
          </cell>
          <cell r="E1012" t="str">
            <v xml:space="preserve">HP CP 3Y SWsptM-F Strg Low $3601-4000 </v>
          </cell>
          <cell r="F1012">
            <v>3345000</v>
          </cell>
        </row>
        <row r="1013">
          <cell r="A1013" t="str">
            <v>T1086A</v>
          </cell>
          <cell r="B1013" t="str">
            <v>StorageWorks Command View SDM LTU</v>
          </cell>
          <cell r="C1013" t="str">
            <v>U5898A</v>
          </cell>
          <cell r="E1013" t="str">
            <v xml:space="preserve">HP CP 3Y SWspt24x7 Strg Low $3601-4000 </v>
          </cell>
          <cell r="F1013">
            <v>4181000</v>
          </cell>
        </row>
        <row r="1015">
          <cell r="A1015" t="str">
            <v>T1008A</v>
          </cell>
          <cell r="B1015" t="str">
            <v>Business Copy Virtual Array 500 GB LTU</v>
          </cell>
          <cell r="C1015" t="str">
            <v>U5909A</v>
          </cell>
          <cell r="E1015" t="str">
            <v xml:space="preserve">HP CP 3Y SWsptM-F Strg Low $5001-5500 </v>
          </cell>
          <cell r="F1015">
            <v>4621000</v>
          </cell>
        </row>
        <row r="1016">
          <cell r="C1016" t="str">
            <v>U5910A</v>
          </cell>
          <cell r="E1016" t="str">
            <v xml:space="preserve">HP CP 3Y SWspt24x7 Strg Low $5001-5500 </v>
          </cell>
          <cell r="F1016">
            <v>5777000</v>
          </cell>
        </row>
        <row r="1017">
          <cell r="A1017" t="str">
            <v xml:space="preserve"> </v>
          </cell>
        </row>
        <row r="1018">
          <cell r="A1018" t="str">
            <v>T1009A</v>
          </cell>
          <cell r="B1018" t="str">
            <v>Business Copy Virtual Array 1 TB LTU</v>
          </cell>
          <cell r="C1018" t="str">
            <v>U5917A</v>
          </cell>
          <cell r="E1018" t="str">
            <v xml:space="preserve">HP CP 3Y SWsptM-F Strg Low $7501-8500 </v>
          </cell>
          <cell r="F1018">
            <v>7043000</v>
          </cell>
        </row>
        <row r="1019">
          <cell r="A1019" t="str">
            <v>T1013A</v>
          </cell>
          <cell r="B1019" t="str">
            <v>Auto Path VA for Win2K 5 Host LTU</v>
          </cell>
          <cell r="C1019" t="str">
            <v>U5918A</v>
          </cell>
          <cell r="E1019" t="str">
            <v xml:space="preserve">HP CP 3Y SWspt24x7 Strg Low $7501-8500 </v>
          </cell>
          <cell r="F1019">
            <v>8802000</v>
          </cell>
        </row>
        <row r="1020">
          <cell r="A1020" t="str">
            <v>T1041A</v>
          </cell>
          <cell r="B1020" t="str">
            <v>Auto Path VA for WinNT 5 Host LTU</v>
          </cell>
        </row>
        <row r="1021">
          <cell r="A1021" t="str">
            <v>T1046A</v>
          </cell>
          <cell r="B1021" t="str">
            <v>Auto Path VA for RedHat 5 host LTU</v>
          </cell>
        </row>
        <row r="1022">
          <cell r="A1022" t="str">
            <v>T1072A</v>
          </cell>
          <cell r="B1022" t="str">
            <v>AutoPathVA-Win Server 2003 5 Host LTU</v>
          </cell>
        </row>
        <row r="1024">
          <cell r="A1024" t="str">
            <v>T1006A</v>
          </cell>
          <cell r="B1024" t="str">
            <v>Secure Manager Virtual Array 5 TB LTU</v>
          </cell>
          <cell r="C1024" t="str">
            <v>U9928A</v>
          </cell>
          <cell r="E1024" t="str">
            <v xml:space="preserve">HP CP 3Y SWsptM-F Strg Low $11501-12500 </v>
          </cell>
          <cell r="F1024">
            <v>10563000</v>
          </cell>
        </row>
        <row r="1025">
          <cell r="A1025" t="str">
            <v>T1062A</v>
          </cell>
          <cell r="B1025" t="str">
            <v>Auto Path VA for HP UX 11.0 5 Host LTU</v>
          </cell>
          <cell r="C1025" t="str">
            <v>U9929A</v>
          </cell>
          <cell r="E1025" t="str">
            <v xml:space="preserve">HP CP 3Y SWsptM-F Strg Low $11501-12500 </v>
          </cell>
          <cell r="F1025">
            <v>13204000</v>
          </cell>
        </row>
        <row r="1027">
          <cell r="A1027" t="str">
            <v>T1010A</v>
          </cell>
          <cell r="B1027" t="str">
            <v>Business Copy Virtual Array 5 TB LTU</v>
          </cell>
          <cell r="C1027" t="str">
            <v>U9932A</v>
          </cell>
          <cell r="E1027" t="str">
            <v xml:space="preserve">HP CP 3Y SWsptM-F Strg Low $21501-23500 </v>
          </cell>
          <cell r="F1027">
            <v>19806000</v>
          </cell>
        </row>
        <row r="1028">
          <cell r="C1028" t="str">
            <v>U9933A</v>
          </cell>
          <cell r="E1028" t="str">
            <v xml:space="preserve">HP CP 3Y SWspt24x7 Stg Lw $21501-23500 </v>
          </cell>
          <cell r="F1028">
            <v>24758000</v>
          </cell>
        </row>
        <row r="1030">
          <cell r="C1030" t="str">
            <v>U6355E</v>
          </cell>
          <cell r="E1030" t="str">
            <v>HP CP 3Y NxtDay MSA 1000</v>
          </cell>
          <cell r="F1030">
            <v>1263000</v>
          </cell>
        </row>
        <row r="1031">
          <cell r="A1031" t="str">
            <v>201723-B22</v>
          </cell>
          <cell r="B1031" t="str">
            <v> Modular SAN Array 1000 </v>
          </cell>
          <cell r="C1031" t="str">
            <v>U6356E</v>
          </cell>
          <cell r="E1031" t="str">
            <v>HP CP 3Y 4H 13x5 MSA 1000</v>
          </cell>
          <cell r="F1031">
            <v>2548000</v>
          </cell>
          <cell r="G1031" t="str">
            <v>UA740PE</v>
          </cell>
        </row>
        <row r="1032">
          <cell r="A1032" t="str">
            <v>353803-B22</v>
          </cell>
          <cell r="B1032" t="str">
            <v> Modular SAN Array 1000 Starter Kit</v>
          </cell>
          <cell r="C1032" t="str">
            <v>U6357E</v>
          </cell>
          <cell r="E1032" t="str">
            <v>HP CP 3Y 4H 24x7 MSA 1000</v>
          </cell>
          <cell r="F1032">
            <v>3061000</v>
          </cell>
          <cell r="G1032" t="str">
            <v>UA741PE</v>
          </cell>
        </row>
        <row r="1033">
          <cell r="A1033" t="str">
            <v>201723-B21</v>
          </cell>
          <cell r="B1033" t="str">
            <v> Modular SAN Array 1000 </v>
          </cell>
          <cell r="C1033" t="str">
            <v>U9398E</v>
          </cell>
          <cell r="E1033" t="str">
            <v>HP CP 4Y 4H 13x5 MSA1000</v>
          </cell>
          <cell r="F1033">
            <v>3597000</v>
          </cell>
          <cell r="G1033" t="str">
            <v>UA742PE</v>
          </cell>
        </row>
        <row r="1034">
          <cell r="C1034" t="str">
            <v>U9399E</v>
          </cell>
          <cell r="E1034" t="str">
            <v>HP CP 4Y 4H 24x7 MSA1000</v>
          </cell>
          <cell r="F1034">
            <v>4257000</v>
          </cell>
          <cell r="G1034" t="str">
            <v>UA743PE</v>
          </cell>
        </row>
        <row r="1035">
          <cell r="C1035" t="str">
            <v>U9400E</v>
          </cell>
          <cell r="E1035" t="str">
            <v>HP CP 5Y 4H 13x5 MSA1000</v>
          </cell>
          <cell r="F1035">
            <v>4750000</v>
          </cell>
        </row>
        <row r="1036">
          <cell r="C1036" t="str">
            <v>U9401E</v>
          </cell>
          <cell r="E1036" t="str">
            <v>HP CP 5Y 4H 24x7 MSA1000</v>
          </cell>
          <cell r="F1036">
            <v>5574000</v>
          </cell>
        </row>
        <row r="1037">
          <cell r="C1037" t="str">
            <v>U9934E </v>
          </cell>
          <cell r="E1037" t="str">
            <v>HP CP 3Y 6H CTR MSA1000</v>
          </cell>
          <cell r="F1037">
            <v>4696000</v>
          </cell>
        </row>
        <row r="1038">
          <cell r="C1038" t="str">
            <v>U4368E</v>
          </cell>
          <cell r="E1038" t="str">
            <v>HP CP Instln SW JBOD,DSxx,MSA1k</v>
          </cell>
          <cell r="F1038">
            <v>653000</v>
          </cell>
        </row>
        <row r="1039">
          <cell r="C1039" t="str">
            <v>U6441E</v>
          </cell>
          <cell r="E1039" t="str">
            <v xml:space="preserve">HP CP 3Y 2H 13x5 Strg MSA 1000 </v>
          </cell>
          <cell r="F1039">
            <v>3955000</v>
          </cell>
        </row>
        <row r="1040">
          <cell r="C1040" t="str">
            <v>U6442E</v>
          </cell>
          <cell r="E1040" t="str">
            <v xml:space="preserve">HP CP 3Y 2H 24x7 Strg MSA 1000 </v>
          </cell>
          <cell r="F1040">
            <v>4673000</v>
          </cell>
        </row>
        <row r="1041">
          <cell r="C1041" t="str">
            <v>U6443E</v>
          </cell>
          <cell r="E1041" t="str">
            <v>HP CP 3Y 6H CTR Strg MSA 1000</v>
          </cell>
          <cell r="F1041">
            <v>6008000</v>
          </cell>
        </row>
        <row r="1042">
          <cell r="C1042" t="str">
            <v>U6444E</v>
          </cell>
          <cell r="E1042" t="str">
            <v xml:space="preserve">HP CP 1Y 6H CTR Strg MSA 1000 </v>
          </cell>
          <cell r="F1042">
            <v>2403000</v>
          </cell>
        </row>
        <row r="1043">
          <cell r="C1043" t="str">
            <v>UA867E</v>
          </cell>
          <cell r="E1043" t="str">
            <v>HP Startup Vdisk/LUN Impl MSA/VA SVC</v>
          </cell>
          <cell r="F1043">
            <v>4568000</v>
          </cell>
        </row>
        <row r="1044">
          <cell r="C1044" t="str">
            <v>UA868E</v>
          </cell>
          <cell r="E1044" t="str">
            <v>HP Startup MSA1000/1500 SVC</v>
          </cell>
          <cell r="F1044">
            <v>4568000</v>
          </cell>
        </row>
        <row r="1045">
          <cell r="C1045" t="str">
            <v>UC718E</v>
          </cell>
          <cell r="E1045" t="str">
            <v>HP Installation MSA Add-on SVC</v>
          </cell>
        </row>
        <row r="1047">
          <cell r="A1047" t="str">
            <v>353804-B21</v>
          </cell>
          <cell r="B1047" t="str">
            <v>MSA1000 HA Starter Upgrade Kit f/Windows</v>
          </cell>
          <cell r="C1047" t="str">
            <v>U9611E</v>
          </cell>
          <cell r="E1047" t="str">
            <v>HP CP 3Y Support Plus MSA1K HA Kit</v>
          </cell>
          <cell r="F1047">
            <v>1536000</v>
          </cell>
          <cell r="G1047" t="str">
            <v>UA744PE</v>
          </cell>
        </row>
        <row r="1048">
          <cell r="A1048" t="str">
            <v>353805-B21</v>
          </cell>
          <cell r="B1048" t="str">
            <v>MSA1000 HA Starter Upgrade Kit f/Linux</v>
          </cell>
          <cell r="C1048" t="str">
            <v>U9612E</v>
          </cell>
          <cell r="E1048" t="str">
            <v>HP CP 3Y Support Pl 24 MSA1K HA Kit</v>
          </cell>
          <cell r="F1048">
            <v>1666000</v>
          </cell>
          <cell r="G1048" t="str">
            <v>UA745PE</v>
          </cell>
        </row>
        <row r="1049">
          <cell r="C1049" t="str">
            <v>U9990E</v>
          </cell>
          <cell r="E1049" t="str">
            <v>HP CP Install Stg MSA HA Kits</v>
          </cell>
          <cell r="F1049">
            <v>332000</v>
          </cell>
        </row>
        <row r="1050">
          <cell r="C1050" t="str">
            <v>UC717E</v>
          </cell>
          <cell r="E1050" t="str">
            <v>HP Installation MSA HA Kits/Add-on SVC</v>
          </cell>
        </row>
        <row r="1052">
          <cell r="A1052" t="str">
            <v>AA986A</v>
          </cell>
          <cell r="B1052" t="str">
            <v>MSA1500</v>
          </cell>
          <cell r="C1052" t="str">
            <v>UB950E</v>
          </cell>
          <cell r="E1052" t="str">
            <v>HP CP 3Y NxtDay MSA 1500</v>
          </cell>
          <cell r="F1052">
            <v>853000</v>
          </cell>
          <cell r="G1052" t="str">
            <v>UB954PE</v>
          </cell>
        </row>
        <row r="1053">
          <cell r="C1053" t="str">
            <v>UB951E</v>
          </cell>
          <cell r="E1053" t="str">
            <v>HP CP 3Y 4H 13x5 MSA 1500</v>
          </cell>
          <cell r="F1053">
            <v>1720000</v>
          </cell>
          <cell r="G1053" t="str">
            <v>UB955PE</v>
          </cell>
        </row>
        <row r="1054">
          <cell r="C1054" t="str">
            <v>UB952E</v>
          </cell>
          <cell r="E1054" t="str">
            <v>HP CP 3Y 4H 24x7 MSA 1500</v>
          </cell>
          <cell r="F1054">
            <v>2068000</v>
          </cell>
          <cell r="G1054" t="str">
            <v>UB956PE</v>
          </cell>
        </row>
        <row r="1055">
          <cell r="C1055" t="str">
            <v>UB953E</v>
          </cell>
          <cell r="E1055" t="str">
            <v>HP CP 3Y 6H CTR MSA1500</v>
          </cell>
          <cell r="F1055">
            <v>3172000</v>
          </cell>
          <cell r="G1055" t="str">
            <v>UB957PE</v>
          </cell>
        </row>
        <row r="1056">
          <cell r="C1056" t="str">
            <v>U4368E</v>
          </cell>
          <cell r="E1056" t="str">
            <v>HP CP Instln SW JBOD,DSxx,MSA1k</v>
          </cell>
          <cell r="F1056">
            <v>653000</v>
          </cell>
        </row>
        <row r="1057">
          <cell r="C1057" t="str">
            <v>UC718E</v>
          </cell>
          <cell r="E1057" t="str">
            <v>HP Installation MSA Add-on SVC</v>
          </cell>
        </row>
        <row r="1059">
          <cell r="A1059" t="str">
            <v>AD509A</v>
          </cell>
          <cell r="B1059" t="str">
            <v>MSA1500 bundle w/MSA20</v>
          </cell>
          <cell r="C1059" t="str">
            <v>UB153E</v>
          </cell>
          <cell r="E1059" t="str">
            <v>HP CP 3Y NxtDay MSA1500 bundle</v>
          </cell>
          <cell r="F1059">
            <v>1486000</v>
          </cell>
          <cell r="G1059" t="str">
            <v>UB157PE</v>
          </cell>
        </row>
        <row r="1060">
          <cell r="A1060" t="str">
            <v>AD510A</v>
          </cell>
          <cell r="B1060" t="str">
            <v>MSA1500 bundle w/MSA30</v>
          </cell>
          <cell r="C1060" t="str">
            <v>UB154E</v>
          </cell>
          <cell r="E1060" t="str">
            <v>HP CP 3Y 4H 13x5 MSA1500 bundle</v>
          </cell>
          <cell r="F1060">
            <v>2734000</v>
          </cell>
          <cell r="G1060" t="str">
            <v>UB162PE</v>
          </cell>
        </row>
        <row r="1061">
          <cell r="A1061" t="str">
            <v>A7536A</v>
          </cell>
          <cell r="B1061" t="str">
            <v>MSA1500 SAN Starter SATA Kit</v>
          </cell>
          <cell r="C1061" t="str">
            <v>UB155E</v>
          </cell>
          <cell r="E1061" t="str">
            <v>HP CP 3Y 4H 24x7 MSA1500 bundle</v>
          </cell>
          <cell r="F1061">
            <v>3233000</v>
          </cell>
          <cell r="G1061" t="str">
            <v>UB163PE</v>
          </cell>
        </row>
        <row r="1062">
          <cell r="A1062" t="str">
            <v>A7564A</v>
          </cell>
          <cell r="B1062" t="str">
            <v>MSA1500 SAN Starter SCSI Kit</v>
          </cell>
          <cell r="C1062" t="str">
            <v>UB156E</v>
          </cell>
          <cell r="E1062" t="str">
            <v>HP CP 3Y 6H CTR MSA1500 bundle</v>
          </cell>
          <cell r="F1062">
            <v>4820000</v>
          </cell>
          <cell r="G1062" t="str">
            <v>UB164PE</v>
          </cell>
        </row>
        <row r="1063">
          <cell r="C1063" t="str">
            <v>UB958E</v>
          </cell>
          <cell r="E1063" t="str">
            <v>HP Installation MSA1500 SVC</v>
          </cell>
          <cell r="F1063">
            <v>950000</v>
          </cell>
        </row>
        <row r="1064">
          <cell r="C1064" t="str">
            <v>UC718E</v>
          </cell>
          <cell r="E1064" t="str">
            <v>HP Installation MSA Add-on SVC</v>
          </cell>
        </row>
        <row r="1067">
          <cell r="A1067" t="str">
            <v>A5675A</v>
          </cell>
          <cell r="B1067" t="str">
            <v>DS2100 Disk Enclosure, field rack (with disks)</v>
          </cell>
          <cell r="C1067" t="str">
            <v>H7546E</v>
          </cell>
          <cell r="E1067" t="str">
            <v>HP CP 3Y Nxt Day StgWrks DS2100 Series</v>
          </cell>
          <cell r="F1067">
            <v>796000</v>
          </cell>
          <cell r="G1067" t="str">
            <v>UA746PE</v>
          </cell>
        </row>
        <row r="1068">
          <cell r="A1068" t="str">
            <v>A5675AZ</v>
          </cell>
          <cell r="B1068" t="str">
            <v>DS2100 Disk Enclosure, factory rack  (with disks)</v>
          </cell>
          <cell r="C1068" t="str">
            <v>H2865E</v>
          </cell>
          <cell r="E1068" t="str">
            <v>HP CP 3Y 4H 13x5 StgWrks DS2100 Series</v>
          </cell>
          <cell r="F1068">
            <v>1009000</v>
          </cell>
          <cell r="G1068" t="str">
            <v>UA747PE</v>
          </cell>
        </row>
        <row r="1069">
          <cell r="A1069" t="str">
            <v>A5675AD</v>
          </cell>
          <cell r="B1069" t="str">
            <v>DS2100 Disk Enclosure, desktop  (with disks)</v>
          </cell>
          <cell r="C1069" t="str">
            <v>H2866E</v>
          </cell>
          <cell r="E1069" t="str">
            <v>HP CP 3Y 24x7 StgWrks DS2100 Series</v>
          </cell>
          <cell r="F1069">
            <v>1272000</v>
          </cell>
        </row>
        <row r="1070">
          <cell r="A1070" t="str">
            <v>A5675AE</v>
          </cell>
          <cell r="B1070" t="str">
            <v>DS2100 Disk enclosure, field rack (NO DISKS)</v>
          </cell>
          <cell r="C1070" t="str">
            <v>H2867E</v>
          </cell>
          <cell r="E1070" t="str">
            <v>HP CP 3Y CTR StgWrks DS2100 Series</v>
          </cell>
          <cell r="F1070">
            <v>2392000</v>
          </cell>
        </row>
        <row r="1071">
          <cell r="A1071" t="str">
            <v>A5675ED</v>
          </cell>
          <cell r="B1071" t="str">
            <v>DS2100 Disk enclosure, desktop (NO DISKS)</v>
          </cell>
          <cell r="C1071" t="str">
            <v>U9382E</v>
          </cell>
          <cell r="E1071" t="str">
            <v>HP CP 4Y 4H 13x5 HP Disk System 2100</v>
          </cell>
          <cell r="F1071">
            <v>1338000</v>
          </cell>
        </row>
        <row r="1072">
          <cell r="A1072" t="str">
            <v>Y1770A</v>
          </cell>
          <cell r="B1072" t="str">
            <v>DS2105 DC NEBS Enclosure  (with disks)</v>
          </cell>
          <cell r="C1072" t="str">
            <v>U9383E</v>
          </cell>
          <cell r="E1072" t="str">
            <v>HP CP 4Y 4H 24x7 HP Disk System 2100</v>
          </cell>
          <cell r="F1072">
            <v>1681000</v>
          </cell>
        </row>
        <row r="1073">
          <cell r="C1073" t="str">
            <v>U9384E</v>
          </cell>
          <cell r="E1073" t="str">
            <v>HP CP 5Y 4H 13x5 HP Disk System 2100</v>
          </cell>
          <cell r="F1073">
            <v>1651000</v>
          </cell>
        </row>
        <row r="1074">
          <cell r="C1074" t="str">
            <v>U9385E</v>
          </cell>
          <cell r="E1074" t="str">
            <v>HP CP 5Y 4H 24x7 HP Disk System 2100</v>
          </cell>
          <cell r="F1074">
            <v>2074000</v>
          </cell>
        </row>
        <row r="1075">
          <cell r="C1075" t="str">
            <v>U4368E</v>
          </cell>
          <cell r="E1075" t="str">
            <v>HP CP Instln SW JBOD,DSxx,MSA1k</v>
          </cell>
          <cell r="F1075">
            <v>653000</v>
          </cell>
        </row>
        <row r="1078">
          <cell r="A1078" t="str">
            <v>A6490A</v>
          </cell>
          <cell r="B1078" t="str">
            <v xml:space="preserve">HP Disk System 2300 Integrated </v>
          </cell>
          <cell r="C1078" t="str">
            <v>U2075E</v>
          </cell>
          <cell r="E1078" t="str">
            <v>HP CP 3Y 4H 13x5 StgWrks DS 2300</v>
          </cell>
          <cell r="F1078">
            <v>1017000</v>
          </cell>
          <cell r="G1078" t="str">
            <v>UA748PE</v>
          </cell>
        </row>
        <row r="1079">
          <cell r="A1079" t="str">
            <v>A6490AE</v>
          </cell>
          <cell r="B1079" t="str">
            <v xml:space="preserve">HP Disk System 2300 </v>
          </cell>
          <cell r="C1079" t="str">
            <v>U2076E</v>
          </cell>
          <cell r="E1079" t="str">
            <v>HP CP 3Y 24x7 StgWrks DS 2300</v>
          </cell>
          <cell r="F1079">
            <v>2276000</v>
          </cell>
          <cell r="G1079" t="str">
            <v>UA749PE</v>
          </cell>
        </row>
        <row r="1080">
          <cell r="A1080" t="str">
            <v>A6490AZ</v>
          </cell>
          <cell r="B1080" t="str">
            <v xml:space="preserve">HP Disk System 2300 Factory Rack </v>
          </cell>
          <cell r="C1080" t="str">
            <v>U2077E</v>
          </cell>
          <cell r="E1080" t="str">
            <v>HP CP 3Y CTR StgWrks DS 2300</v>
          </cell>
          <cell r="F1080">
            <v>7641000</v>
          </cell>
        </row>
        <row r="1081">
          <cell r="A1081" t="str">
            <v>A6490AV</v>
          </cell>
          <cell r="B1081" t="str">
            <v xml:space="preserve">HP Disk System 2300 SEP </v>
          </cell>
          <cell r="C1081" t="str">
            <v>U9386E</v>
          </cell>
          <cell r="E1081" t="str">
            <v>HP CP 4Y 4H 13x5 HP Disk System 2300</v>
          </cell>
          <cell r="F1081">
            <v>2644000</v>
          </cell>
        </row>
        <row r="1082">
          <cell r="A1082" t="str">
            <v>A6490AD</v>
          </cell>
          <cell r="B1082" t="str">
            <v xml:space="preserve">HP Disk System 2300 Deskside Integrated </v>
          </cell>
          <cell r="C1082" t="str">
            <v>U9387E</v>
          </cell>
          <cell r="E1082" t="str">
            <v>HP CP 4Y 4H 24x7 HP Disk System 2300</v>
          </cell>
          <cell r="F1082">
            <v>4294000</v>
          </cell>
        </row>
        <row r="1083">
          <cell r="A1083" t="str">
            <v>A6490ED</v>
          </cell>
          <cell r="B1083" t="str">
            <v xml:space="preserve">HP Disk System 2300 Deskside </v>
          </cell>
          <cell r="C1083" t="str">
            <v>U9388E</v>
          </cell>
          <cell r="E1083" t="str">
            <v>HP CP 5Y 4H 13x5 HP Disk System 2300</v>
          </cell>
          <cell r="F1083">
            <v>4202000</v>
          </cell>
        </row>
        <row r="1084">
          <cell r="C1084" t="str">
            <v>U9389E</v>
          </cell>
          <cell r="E1084" t="str">
            <v>HP CP 5Y 4H 24x7 HP Disk System 2300</v>
          </cell>
          <cell r="F1084">
            <v>6225000</v>
          </cell>
        </row>
        <row r="1085">
          <cell r="C1085" t="str">
            <v>U4368E</v>
          </cell>
          <cell r="E1085" t="str">
            <v>HP CP Instln SW JBOD,DSxx,MSA1k</v>
          </cell>
          <cell r="F1085">
            <v>653000</v>
          </cell>
        </row>
        <row r="1089">
          <cell r="A1089" t="str">
            <v>190209-001 </v>
          </cell>
          <cell r="B1089" t="str">
            <v> SW4314 Rack US</v>
          </cell>
          <cell r="C1089" t="str">
            <v>U6341E</v>
          </cell>
          <cell r="E1089" t="str">
            <v>HP CP 3Y NxtDay SW 43xx JBODs</v>
          </cell>
          <cell r="F1089">
            <v>1430000</v>
          </cell>
          <cell r="G1089" t="str">
            <v>UA750PE</v>
          </cell>
        </row>
        <row r="1090">
          <cell r="A1090" t="str">
            <v>190209-B31 </v>
          </cell>
          <cell r="B1090" t="str">
            <v> StorageWorks 4314 Rack INTL</v>
          </cell>
          <cell r="C1090" t="str">
            <v>U6342E</v>
          </cell>
          <cell r="E1090" t="str">
            <v>HP CP 3Y 4H 13x5 SW 43xx JBODs</v>
          </cell>
          <cell r="F1090">
            <v>1866000</v>
          </cell>
          <cell r="G1090" t="str">
            <v>UA751PE</v>
          </cell>
        </row>
        <row r="1091">
          <cell r="A1091" t="str">
            <v>190210-B31 </v>
          </cell>
          <cell r="B1091" t="str">
            <v> SW4314 Tower INTL</v>
          </cell>
          <cell r="C1091" t="str">
            <v>U6343E</v>
          </cell>
          <cell r="E1091" t="str">
            <v>HP CP 3Y 4H 24x7 SW 43xx JBODs</v>
          </cell>
          <cell r="F1091">
            <v>2408000</v>
          </cell>
          <cell r="G1091" t="str">
            <v>UA752PE</v>
          </cell>
        </row>
        <row r="1092">
          <cell r="A1092" t="str">
            <v>190211-001 </v>
          </cell>
          <cell r="B1092" t="str">
            <v> SW4354 US </v>
          </cell>
          <cell r="C1092" t="str">
            <v>U9540E</v>
          </cell>
          <cell r="E1092" t="str">
            <v xml:space="preserve">HP CP 3Y 6H CTR SW 43xx JBODs </v>
          </cell>
          <cell r="F1092">
            <v>4710000</v>
          </cell>
          <cell r="G1092" t="str">
            <v>UA753PE</v>
          </cell>
        </row>
        <row r="1093">
          <cell r="A1093" t="str">
            <v>190211-291 </v>
          </cell>
          <cell r="B1093" t="str">
            <v> SW4354 JPN2</v>
          </cell>
          <cell r="C1093" t="str">
            <v>U9314E</v>
          </cell>
          <cell r="E1093" t="str">
            <v>HP CP 4Y 4H 13x5 SW 43xx JBODs</v>
          </cell>
          <cell r="F1093">
            <v>2592000</v>
          </cell>
        </row>
        <row r="1094">
          <cell r="A1094" t="str">
            <v>190211-B31 </v>
          </cell>
          <cell r="B1094" t="str">
            <v> SW4354 INTL</v>
          </cell>
          <cell r="C1094" t="str">
            <v>U9315E</v>
          </cell>
          <cell r="E1094" t="str">
            <v>HP CP 4Y 4H 24x7 SW 43xx JBODs</v>
          </cell>
          <cell r="F1094">
            <v>3311000</v>
          </cell>
        </row>
        <row r="1095">
          <cell r="C1095" t="str">
            <v>U9316E</v>
          </cell>
          <cell r="E1095" t="str">
            <v>HP CP 5Y 4H 13x5 SW 43xx JBODs</v>
          </cell>
          <cell r="F1095">
            <v>3285000</v>
          </cell>
        </row>
        <row r="1096">
          <cell r="C1096" t="str">
            <v>U9317E</v>
          </cell>
          <cell r="E1096" t="str">
            <v>HP CP 5Y 4H 24x7 SW 43xx JBODs</v>
          </cell>
          <cell r="F1096">
            <v>4175000</v>
          </cell>
        </row>
        <row r="1098">
          <cell r="C1098" t="str">
            <v>U4368E</v>
          </cell>
          <cell r="E1098" t="str">
            <v>HP CP Instln SW JBOD,DSxx,MSA1k</v>
          </cell>
          <cell r="F1098">
            <v>653000</v>
          </cell>
        </row>
        <row r="1100">
          <cell r="A1100" t="str">
            <v>367984-161</v>
          </cell>
          <cell r="B1100" t="str">
            <v>NAS 500s WSS 2003 Tower S-ATA 320GB</v>
          </cell>
          <cell r="C1100" t="str">
            <v>U7986E</v>
          </cell>
          <cell r="E1100" t="str">
            <v>HP CP Installation NAS</v>
          </cell>
          <cell r="F1100">
            <v>950000</v>
          </cell>
        </row>
        <row r="1101">
          <cell r="A1101" t="str">
            <v>367984-291</v>
          </cell>
          <cell r="B1101" t="str">
            <v>NAS 500s WSS 2003 Tower S-ATA 320GB</v>
          </cell>
          <cell r="C1101" t="str">
            <v>UB938E</v>
          </cell>
          <cell r="E1101" t="str">
            <v>HP Support Plus 1y NAS 500S SVC</v>
          </cell>
          <cell r="F1101">
            <v>188000</v>
          </cell>
          <cell r="G1101" t="str">
            <v>UA293PE</v>
          </cell>
        </row>
        <row r="1102">
          <cell r="A1102" t="str">
            <v>367984-371</v>
          </cell>
          <cell r="B1102" t="str">
            <v>NAS 500s WSS 2003 Tower S-ATA 320GB</v>
          </cell>
          <cell r="C1102" t="str">
            <v>UB939E</v>
          </cell>
          <cell r="E1102" t="str">
            <v>HP Support Plus 24 1y NAS 500S SVC</v>
          </cell>
          <cell r="F1102">
            <v>262000</v>
          </cell>
          <cell r="G1102" t="str">
            <v>UB942PE</v>
          </cell>
        </row>
        <row r="1103">
          <cell r="A1103" t="str">
            <v>367985-161</v>
          </cell>
          <cell r="B1103" t="str">
            <v>NAS 500s WSS 2003 Tower S-ATA 640GB</v>
          </cell>
          <cell r="C1103" t="str">
            <v>UB940E</v>
          </cell>
          <cell r="E1103" t="str">
            <v>HP Support Plus 3y NAS 500S SVC</v>
          </cell>
          <cell r="F1103">
            <v>784000</v>
          </cell>
        </row>
        <row r="1104">
          <cell r="A1104" t="str">
            <v>367985-291</v>
          </cell>
          <cell r="B1104" t="str">
            <v>NAS 500s WSS 2003 Tower S-ATA 640GB</v>
          </cell>
          <cell r="C1104" t="str">
            <v>UB941E</v>
          </cell>
          <cell r="E1104" t="str">
            <v>HP Support Plus 24 3y NAS 500S SVC</v>
          </cell>
          <cell r="F1104">
            <v>999000</v>
          </cell>
        </row>
        <row r="1105">
          <cell r="A1105" t="str">
            <v>367985-371</v>
          </cell>
          <cell r="B1105" t="str">
            <v>NAS 500s WSS 2003 Tower S-ATA 640GB</v>
          </cell>
        </row>
        <row r="1106">
          <cell r="A1106" t="str">
            <v>367986-161</v>
          </cell>
          <cell r="B1106" t="str">
            <v>NAS 500s WSS 2003 Tower S-ATA 1TB</v>
          </cell>
        </row>
        <row r="1107">
          <cell r="A1107" t="str">
            <v>367986-291</v>
          </cell>
          <cell r="B1107" t="str">
            <v>NAS 500s WSS 2003 Tower S-ATA 1TB</v>
          </cell>
        </row>
        <row r="1108">
          <cell r="A1108" t="str">
            <v>367986-371</v>
          </cell>
          <cell r="B1108" t="str">
            <v>NAS 500s WSS 2003 Tower S-ATA 1TB</v>
          </cell>
        </row>
        <row r="1110">
          <cell r="A1110" t="str">
            <v>367987-b21</v>
          </cell>
          <cell r="B1110" t="str">
            <v xml:space="preserve">StorageWorks NAS 1500s WSS (320GB) </v>
          </cell>
          <cell r="C1110" t="str">
            <v>U6383E</v>
          </cell>
          <cell r="E1110" t="str">
            <v>HP CP 1Y SupportPlus Storage NAS 1000's</v>
          </cell>
          <cell r="F1110">
            <v>231000</v>
          </cell>
          <cell r="G1110" t="str">
            <v>UA754PE</v>
          </cell>
        </row>
        <row r="1111">
          <cell r="A1111" t="str">
            <v>367988-b21</v>
          </cell>
          <cell r="B1111" t="str">
            <v xml:space="preserve">StorageWorks NAS 1500s WSS (640GB) </v>
          </cell>
          <cell r="C1111" t="str">
            <v>U6384E</v>
          </cell>
          <cell r="E1111" t="str">
            <v>HP CP 1Y SupportPlus24 Strg NAS 1000's</v>
          </cell>
          <cell r="F1111">
            <v>322000</v>
          </cell>
          <cell r="G1111" t="str">
            <v>UA755PE</v>
          </cell>
        </row>
        <row r="1112">
          <cell r="A1112" t="str">
            <v>367989-b21</v>
          </cell>
          <cell r="B1112" t="str">
            <v xml:space="preserve">StorageWorks NAS 1500s WSS (1TB) </v>
          </cell>
          <cell r="C1112" t="str">
            <v>U6385E</v>
          </cell>
          <cell r="E1112" t="str">
            <v>HP CP 3Y SupportPlus Strg NAS 1000's</v>
          </cell>
          <cell r="F1112">
            <v>990000</v>
          </cell>
        </row>
        <row r="1113">
          <cell r="C1113" t="str">
            <v>U6386E</v>
          </cell>
          <cell r="E1113" t="str">
            <v>HP CP 3Y SupportPlus24 Strg NAS 1000's</v>
          </cell>
          <cell r="F1113">
            <v>1255000</v>
          </cell>
        </row>
        <row r="1115">
          <cell r="C1115" t="str">
            <v>U7986E</v>
          </cell>
          <cell r="E1115" t="str">
            <v>HP CP Installation NAS</v>
          </cell>
          <cell r="F1115">
            <v>950000</v>
          </cell>
        </row>
        <row r="1117">
          <cell r="C1117" t="str">
            <v>U9450E</v>
          </cell>
          <cell r="E1117" t="str">
            <v>HP CP 4Y 4H 13x5 NAS 1000's</v>
          </cell>
          <cell r="F1117">
            <v>1943000</v>
          </cell>
        </row>
        <row r="1118">
          <cell r="C1118" t="str">
            <v>U9451E</v>
          </cell>
          <cell r="E1118" t="str">
            <v>HP CP 4Y 4H 24x7 NAS 1000's</v>
          </cell>
          <cell r="F1118">
            <v>2300000</v>
          </cell>
        </row>
        <row r="1119">
          <cell r="C1119" t="str">
            <v>U9452E</v>
          </cell>
          <cell r="E1119" t="str">
            <v>HP CP 5Y 4H 13x5 NAS 1000's</v>
          </cell>
          <cell r="F1119">
            <v>2513000</v>
          </cell>
        </row>
        <row r="1120">
          <cell r="C1120" t="str">
            <v>U9453E</v>
          </cell>
          <cell r="E1120" t="str">
            <v>HP CP 5Y 4H 24x7 NAS 1000's</v>
          </cell>
          <cell r="F1120">
            <v>2949000</v>
          </cell>
        </row>
        <row r="1122">
          <cell r="A1122" t="str">
            <v>305016-B21</v>
          </cell>
          <cell r="B1122" t="str">
            <v xml:space="preserve">StorageWorks NAS 1000S 320GB All </v>
          </cell>
          <cell r="C1122" t="str">
            <v>U6383E</v>
          </cell>
          <cell r="E1122" t="str">
            <v>HP CP 1Y SupportPlus Storage NAS 1000's</v>
          </cell>
          <cell r="F1122">
            <v>231000</v>
          </cell>
          <cell r="G1122" t="str">
            <v>UA754PE</v>
          </cell>
        </row>
        <row r="1123">
          <cell r="A1123" t="str">
            <v>305017-B21</v>
          </cell>
          <cell r="B1123" t="str">
            <v xml:space="preserve">StorageWorks NAS 1000S 640GB All </v>
          </cell>
          <cell r="C1123" t="str">
            <v>U6384E</v>
          </cell>
          <cell r="E1123" t="str">
            <v>HP CP 1Y SupportPlus24 Strg NAS 1000's</v>
          </cell>
          <cell r="F1123">
            <v>322000</v>
          </cell>
          <cell r="G1123" t="str">
            <v>UA755PE</v>
          </cell>
        </row>
        <row r="1124">
          <cell r="A1124" t="str">
            <v xml:space="preserve">334196-B21 </v>
          </cell>
          <cell r="B1124" t="str">
            <v xml:space="preserve">StorageWorks NAS 1000S 1 TB All </v>
          </cell>
          <cell r="C1124" t="str">
            <v>U6385E</v>
          </cell>
          <cell r="E1124" t="str">
            <v>HP CP 3Y SupportPlus Strg NAS 1000's</v>
          </cell>
          <cell r="F1124">
            <v>990000</v>
          </cell>
        </row>
        <row r="1125">
          <cell r="C1125" t="str">
            <v>U6386E</v>
          </cell>
          <cell r="E1125" t="str">
            <v>HP CP 3Y SupportPlus24 Strg NAS 1000's</v>
          </cell>
          <cell r="F1125">
            <v>1255000</v>
          </cell>
        </row>
        <row r="1126">
          <cell r="A1126" t="str">
            <v xml:space="preserve">349037-B21          </v>
          </cell>
          <cell r="B1126" t="str">
            <v xml:space="preserve">StorageWorks NAS 1200s 320GB           </v>
          </cell>
        </row>
        <row r="1127">
          <cell r="A1127" t="str">
            <v xml:space="preserve">349038-B21    </v>
          </cell>
          <cell r="B1127" t="str">
            <v xml:space="preserve">StorageWorks NAS 1200s 640GB           </v>
          </cell>
          <cell r="C1127" t="str">
            <v>U7986E</v>
          </cell>
          <cell r="E1127" t="str">
            <v>HP CP Installation NAS</v>
          </cell>
          <cell r="F1127">
            <v>950000</v>
          </cell>
        </row>
        <row r="1128">
          <cell r="A1128" t="str">
            <v>349039-B21</v>
          </cell>
          <cell r="B1128" t="str">
            <v xml:space="preserve">StorageWorks NAS 1200s 1TB </v>
          </cell>
        </row>
        <row r="1129">
          <cell r="C1129" t="str">
            <v>U9450E</v>
          </cell>
          <cell r="E1129" t="str">
            <v>HP CP 4Y 4H 13x5 NAS 1000's</v>
          </cell>
          <cell r="F1129">
            <v>1943000</v>
          </cell>
        </row>
        <row r="1130">
          <cell r="C1130" t="str">
            <v>U9451E</v>
          </cell>
          <cell r="E1130" t="str">
            <v>HP CP 4Y 4H 24x7 NAS 1000's</v>
          </cell>
          <cell r="F1130">
            <v>2300000</v>
          </cell>
        </row>
        <row r="1131">
          <cell r="C1131" t="str">
            <v>U9452E</v>
          </cell>
          <cell r="E1131" t="str">
            <v>HP CP 5Y 4H 13x5 NAS 1000's</v>
          </cell>
          <cell r="F1131">
            <v>2513000</v>
          </cell>
        </row>
        <row r="1132">
          <cell r="C1132" t="str">
            <v>U9453E</v>
          </cell>
          <cell r="E1132" t="str">
            <v>HP CP 5Y 4H 24x7 NAS 1000's</v>
          </cell>
          <cell r="F1132">
            <v>2949000</v>
          </cell>
        </row>
        <row r="1134">
          <cell r="A1134" t="str">
            <v> 322311-001 </v>
          </cell>
          <cell r="B1134" t="str">
            <v> NAS B2000 v2 Server only EURO</v>
          </cell>
          <cell r="C1134" t="str">
            <v>U6347E</v>
          </cell>
          <cell r="E1134" t="str">
            <v>HP CP 3Y SupportPlus Strg NAS B2000</v>
          </cell>
          <cell r="F1134">
            <v>2832000</v>
          </cell>
          <cell r="G1134" t="str">
            <v>UA756PE</v>
          </cell>
        </row>
        <row r="1135">
          <cell r="A1135" t="str">
            <v> 322311-421 </v>
          </cell>
          <cell r="C1135" t="str">
            <v>U6348E</v>
          </cell>
          <cell r="E1135" t="str">
            <v>HP CP 3Y SupportPlus24 Strg NAS B2000</v>
          </cell>
          <cell r="F1135">
            <v>3947000</v>
          </cell>
          <cell r="G1135" t="str">
            <v>UA757PE</v>
          </cell>
        </row>
        <row r="1136">
          <cell r="C1136" t="str">
            <v>U7986E</v>
          </cell>
          <cell r="E1136" t="str">
            <v>HP CP Installation NAS</v>
          </cell>
          <cell r="F1136">
            <v>950000</v>
          </cell>
        </row>
        <row r="1137">
          <cell r="C1137" t="str">
            <v>U9454E</v>
          </cell>
          <cell r="E1137" t="str">
            <v>HP CP 4Y 4H 13x5 NAS B2000</v>
          </cell>
          <cell r="F1137">
            <v>2374000</v>
          </cell>
        </row>
        <row r="1138">
          <cell r="C1138" t="str">
            <v>U9455E</v>
          </cell>
          <cell r="E1138" t="str">
            <v>HP CP 4Y 4H 24x7 NAS B2000</v>
          </cell>
          <cell r="F1138">
            <v>3030000</v>
          </cell>
        </row>
        <row r="1139">
          <cell r="C1139" t="str">
            <v>U9456E</v>
          </cell>
          <cell r="E1139" t="str">
            <v>HP CP 5Y 4H 13x5 NAS B2000</v>
          </cell>
          <cell r="F1139">
            <v>3449000</v>
          </cell>
        </row>
        <row r="1140">
          <cell r="C1140" t="str">
            <v>U9457E</v>
          </cell>
          <cell r="E1140" t="str">
            <v>HP CP 5Y 4H 24x7 NAS B2000</v>
          </cell>
          <cell r="F1140">
            <v>4253000</v>
          </cell>
        </row>
        <row r="1142">
          <cell r="A1142" t="str">
            <v>345645-001</v>
          </cell>
          <cell r="C1142" t="str">
            <v>U9535E</v>
          </cell>
          <cell r="E1142" t="str">
            <v xml:space="preserve">HP CP 3Y SupportPlus NAS 2ks </v>
          </cell>
          <cell r="F1142">
            <v>2120000</v>
          </cell>
          <cell r="G1142" t="str">
            <v>UA758PE</v>
          </cell>
        </row>
        <row r="1143">
          <cell r="A1143" t="str">
            <v>345645-421</v>
          </cell>
          <cell r="C1143" t="str">
            <v>U9536E</v>
          </cell>
          <cell r="E1143" t="str">
            <v>HP CP 3Y SupportPlus24 NAS 2kS</v>
          </cell>
          <cell r="F1143">
            <v>2699000</v>
          </cell>
          <cell r="G1143" t="str">
            <v>UA759PE</v>
          </cell>
        </row>
        <row r="1144">
          <cell r="A1144" t="str">
            <v>364971-b21</v>
          </cell>
          <cell r="C1144" t="str">
            <v>U9912E</v>
          </cell>
          <cell r="E1144" t="str">
            <v>HP CP 1Y SupportPlus NAS 2k 4k</v>
          </cell>
          <cell r="F1144">
            <v>504000</v>
          </cell>
        </row>
        <row r="1145">
          <cell r="C1145" t="str">
            <v>U9913E</v>
          </cell>
          <cell r="E1145" t="str">
            <v>HP CP 1Y SupportPlus24 NAS 2k 4k</v>
          </cell>
          <cell r="F1145">
            <v>704000</v>
          </cell>
        </row>
        <row r="1146">
          <cell r="C1146" t="str">
            <v>U9916E</v>
          </cell>
          <cell r="E1146" t="str">
            <v>HP CP 1Y 6H CTR HW NAS 2k 4k</v>
          </cell>
          <cell r="F1146">
            <v>608000</v>
          </cell>
        </row>
        <row r="1147">
          <cell r="C1147" t="str">
            <v>U9917E</v>
          </cell>
          <cell r="E1147" t="str">
            <v>HP CP 3Y 6H CTR HW NAS 2k 4k</v>
          </cell>
          <cell r="F1147">
            <v>2419000</v>
          </cell>
        </row>
        <row r="1150">
          <cell r="A1150" t="str">
            <v>322312-001</v>
          </cell>
          <cell r="B1150" t="str">
            <v> NAS B2000 v2 Server w/Storage EURO</v>
          </cell>
          <cell r="C1150" t="str">
            <v>U6349E</v>
          </cell>
          <cell r="E1150" t="str">
            <v>HP CP 3Y SupportPlus Strg NAS B2K+Strg</v>
          </cell>
          <cell r="F1150">
            <v>4065000</v>
          </cell>
          <cell r="G1150" t="str">
            <v>UA760PE</v>
          </cell>
        </row>
        <row r="1151">
          <cell r="A1151" t="str">
            <v>322312-421 </v>
          </cell>
          <cell r="C1151" t="str">
            <v>U6350E</v>
          </cell>
          <cell r="E1151" t="str">
            <v>HP CP 3Y SupportPlus24 Strg NAS B2K+Strg</v>
          </cell>
          <cell r="F1151">
            <v>5674000</v>
          </cell>
          <cell r="G1151" t="str">
            <v>UA761PE</v>
          </cell>
        </row>
        <row r="1152">
          <cell r="C1152" t="str">
            <v>U7986E</v>
          </cell>
          <cell r="E1152" t="str">
            <v>HP CP Installation NAS</v>
          </cell>
          <cell r="F1152">
            <v>950000</v>
          </cell>
        </row>
        <row r="1153">
          <cell r="C1153" t="str">
            <v>U9458E</v>
          </cell>
          <cell r="E1153" t="str">
            <v>HP CP 4Y 4H 13x5 NAS B2000 with Storage</v>
          </cell>
          <cell r="F1153">
            <v>4714000</v>
          </cell>
        </row>
        <row r="1154">
          <cell r="C1154" t="str">
            <v>U9459E</v>
          </cell>
          <cell r="E1154" t="str">
            <v>HP CP 4Y 4H 24x7 NAS B2000 with Storage</v>
          </cell>
          <cell r="F1154">
            <v>6017000</v>
          </cell>
        </row>
        <row r="1155">
          <cell r="C1155" t="str">
            <v>U9460E</v>
          </cell>
          <cell r="E1155" t="str">
            <v>HP CP 5Y 4H 13x5 NAS B2000 with Storage</v>
          </cell>
          <cell r="F1155">
            <v>6849000</v>
          </cell>
        </row>
        <row r="1156">
          <cell r="C1156" t="str">
            <v>U9461E</v>
          </cell>
          <cell r="E1156" t="str">
            <v>HP CP 5Y 4H 24x7 NAS B2000 with Storage</v>
          </cell>
          <cell r="F1156">
            <v>8445000</v>
          </cell>
        </row>
        <row r="1158">
          <cell r="A1158" t="str">
            <v>345646-001</v>
          </cell>
          <cell r="C1158" t="str">
            <v>U9537E</v>
          </cell>
          <cell r="E1158" t="str">
            <v>HP CP 3Y SupportPlus NAS 2ks with strg</v>
          </cell>
          <cell r="F1158">
            <v>2120000</v>
          </cell>
          <cell r="G1158" t="str">
            <v>UA762PE</v>
          </cell>
        </row>
        <row r="1159">
          <cell r="A1159" t="str">
            <v>345646-421</v>
          </cell>
          <cell r="C1159" t="str">
            <v>U9538E</v>
          </cell>
          <cell r="E1159" t="str">
            <v>HP CP 3Y SupportPlus24 NAS 2ks with strg</v>
          </cell>
          <cell r="F1159">
            <v>2699000</v>
          </cell>
          <cell r="G1159" t="str">
            <v>UA763PE</v>
          </cell>
        </row>
        <row r="1160">
          <cell r="C1160" t="str">
            <v>U9912E</v>
          </cell>
          <cell r="E1160" t="str">
            <v>HP CP 1Y SupportPlus NAS 2k 4k</v>
          </cell>
          <cell r="F1160">
            <v>504000</v>
          </cell>
        </row>
        <row r="1161">
          <cell r="C1161" t="str">
            <v>U9913E</v>
          </cell>
          <cell r="E1161" t="str">
            <v>HP CP 1Y SupportPlus24 NAS 2k 4k</v>
          </cell>
          <cell r="F1161">
            <v>704000</v>
          </cell>
        </row>
        <row r="1162">
          <cell r="C1162" t="str">
            <v>U9916E</v>
          </cell>
          <cell r="E1162" t="str">
            <v>HP CP 1Y 6H CTR HW NAS 2k 4k</v>
          </cell>
          <cell r="F1162">
            <v>608000</v>
          </cell>
        </row>
        <row r="1163">
          <cell r="C1163" t="str">
            <v>U9917E</v>
          </cell>
          <cell r="E1163" t="str">
            <v>HP CP 3Y 6H CTR HW NAS 2k 4k</v>
          </cell>
          <cell r="F1163">
            <v>2419000</v>
          </cell>
        </row>
        <row r="1166">
          <cell r="A1166" t="str">
            <v> 322313-421 </v>
          </cell>
          <cell r="B1166" t="str">
            <v> NAS B3000 v2 Server only EURO</v>
          </cell>
          <cell r="C1166" t="str">
            <v>U6351E</v>
          </cell>
          <cell r="E1166" t="str">
            <v>HP CP 3Y SupportPlus Strg NAS B3000</v>
          </cell>
          <cell r="F1166">
            <v>3350000</v>
          </cell>
          <cell r="G1166" t="str">
            <v>UA764PE</v>
          </cell>
        </row>
        <row r="1167">
          <cell r="C1167" t="str">
            <v>U6352E</v>
          </cell>
          <cell r="E1167" t="str">
            <v>HP CP 3Y SupportPlus24 Strg NAS B3000</v>
          </cell>
          <cell r="F1167">
            <v>4673000</v>
          </cell>
          <cell r="G1167" t="str">
            <v>UA765PE</v>
          </cell>
        </row>
        <row r="1168">
          <cell r="C1168" t="str">
            <v>U9462E</v>
          </cell>
          <cell r="E1168" t="str">
            <v>HP CP 4Y 4H 13x5 NAS B3000</v>
          </cell>
          <cell r="F1168">
            <v>3358000</v>
          </cell>
        </row>
        <row r="1169">
          <cell r="C1169" t="str">
            <v>U9463E</v>
          </cell>
          <cell r="E1169" t="str">
            <v>HP CP 4Y 4H 24x7 NAS B3000</v>
          </cell>
          <cell r="F1169">
            <v>4285000</v>
          </cell>
        </row>
        <row r="1170">
          <cell r="C1170" t="str">
            <v>U9464E</v>
          </cell>
          <cell r="E1170" t="str">
            <v>HP CP 5Y 4H 13x5 NAS B3000</v>
          </cell>
          <cell r="F1170">
            <v>4878000</v>
          </cell>
        </row>
        <row r="1171">
          <cell r="C1171" t="str">
            <v>U9465E</v>
          </cell>
          <cell r="E1171" t="str">
            <v>HP CP 5Y 4H 24x7 NAS B3000</v>
          </cell>
          <cell r="F1171">
            <v>6015000</v>
          </cell>
        </row>
        <row r="1174">
          <cell r="A1174" t="str">
            <v>322314-421 </v>
          </cell>
          <cell r="B1174" t="str">
            <v> NAS B3000 v2 Server w/Storage EURO</v>
          </cell>
          <cell r="C1174" t="str">
            <v>U6353E</v>
          </cell>
          <cell r="E1174" t="str">
            <v>HP CP 3Y SupportPlus Strg NAS B3K+Strg</v>
          </cell>
          <cell r="F1174">
            <v>4748000</v>
          </cell>
          <cell r="G1174" t="str">
            <v>UA766PE</v>
          </cell>
        </row>
        <row r="1175">
          <cell r="C1175" t="str">
            <v>U6354E</v>
          </cell>
          <cell r="E1175" t="str">
            <v>HP CP 3Y SupportPlus24 Strg NAS B3K+Stg</v>
          </cell>
          <cell r="F1175">
            <v>6632000</v>
          </cell>
          <cell r="G1175" t="str">
            <v>UA767PE</v>
          </cell>
        </row>
        <row r="1176">
          <cell r="C1176" t="str">
            <v>U9390E</v>
          </cell>
          <cell r="E1176" t="str">
            <v>HP CP 4Y 4H 13x5 NAS B3000 with Storage</v>
          </cell>
          <cell r="F1176">
            <v>6728000</v>
          </cell>
        </row>
        <row r="1177">
          <cell r="C1177" t="str">
            <v>U9391E</v>
          </cell>
          <cell r="E1177" t="str">
            <v>HP CP 4Y 4H 24x7 NAS B3000 with Storage</v>
          </cell>
          <cell r="F1177">
            <v>8585000</v>
          </cell>
        </row>
        <row r="1178">
          <cell r="C1178" t="str">
            <v>U9392E</v>
          </cell>
          <cell r="E1178" t="str">
            <v>HP CP 5Y 4H 13x5 NAS B3000 with Storage</v>
          </cell>
          <cell r="F1178">
            <v>9774000</v>
          </cell>
        </row>
        <row r="1179">
          <cell r="C1179" t="str">
            <v>U9393E</v>
          </cell>
          <cell r="E1179" t="str">
            <v>HP CP 5Y 4H 24x7 NAS B3000 with Storage</v>
          </cell>
          <cell r="F1179">
            <v>12050000</v>
          </cell>
        </row>
        <row r="1182">
          <cell r="A1182" t="str">
            <v>322310-001</v>
          </cell>
          <cell r="B1182" t="str">
            <v xml:space="preserve">NAS E7000 v2 server US </v>
          </cell>
          <cell r="C1182" t="str">
            <v>U8264E</v>
          </cell>
          <cell r="E1182" t="str">
            <v>HP CP 3Y SupportPlus Strg NAS E7000</v>
          </cell>
          <cell r="F1182">
            <v>3797000</v>
          </cell>
          <cell r="G1182" t="str">
            <v>UA768PE</v>
          </cell>
        </row>
        <row r="1183">
          <cell r="A1183" t="str">
            <v>322310-421</v>
          </cell>
          <cell r="B1183" t="str">
            <v xml:space="preserve">NAS E7000 v2 EURO </v>
          </cell>
          <cell r="C1183" t="str">
            <v>U8265E</v>
          </cell>
          <cell r="E1183" t="str">
            <v>HP CP 3Y SupportPlus24 Strg NAS E7000</v>
          </cell>
          <cell r="F1183">
            <v>5298000</v>
          </cell>
          <cell r="G1183" t="str">
            <v>UA769PE</v>
          </cell>
        </row>
        <row r="1184">
          <cell r="C1184" t="str">
            <v>U9466E</v>
          </cell>
          <cell r="E1184" t="str">
            <v>HP CP 4Y 4H 13x5 NAS E7000</v>
          </cell>
          <cell r="F1184">
            <v>4206000</v>
          </cell>
        </row>
        <row r="1185">
          <cell r="C1185" t="str">
            <v>U9467E</v>
          </cell>
          <cell r="E1185" t="str">
            <v>HP CP 4Y 4H 24x7 NAS E7000</v>
          </cell>
          <cell r="F1185">
            <v>5367000</v>
          </cell>
        </row>
        <row r="1186">
          <cell r="C1186" t="str">
            <v>U9468E</v>
          </cell>
          <cell r="E1186" t="str">
            <v>HP CP 5Y 4H 13x5 NAS E7000</v>
          </cell>
          <cell r="F1186">
            <v>6110000</v>
          </cell>
        </row>
        <row r="1187">
          <cell r="C1187" t="str">
            <v>U9469E</v>
          </cell>
          <cell r="E1187" t="str">
            <v>HP CP 5Y 4H 24x7 NAS E7000</v>
          </cell>
          <cell r="F1187">
            <v>7533000</v>
          </cell>
        </row>
        <row r="1188">
          <cell r="G1188" t="str">
            <v>UA770PE</v>
          </cell>
        </row>
        <row r="1189">
          <cell r="A1189" t="str">
            <v>348936-B21</v>
          </cell>
          <cell r="B1189" t="str">
            <v>NAS 4000S</v>
          </cell>
          <cell r="C1189" t="str">
            <v>U9531E</v>
          </cell>
          <cell r="E1189" t="str">
            <v xml:space="preserve">HP CP 3Y SupportPlus NAS 4ks </v>
          </cell>
          <cell r="F1189">
            <v>2120000</v>
          </cell>
          <cell r="G1189" t="str">
            <v>UA771PE</v>
          </cell>
        </row>
        <row r="1190">
          <cell r="C1190" t="str">
            <v>U9532E</v>
          </cell>
          <cell r="E1190" t="str">
            <v>HP CP 3Y SupportPlus24 NAS 4kS</v>
          </cell>
          <cell r="F1190">
            <v>2699000</v>
          </cell>
        </row>
        <row r="1191">
          <cell r="C1191" t="str">
            <v>U9912E</v>
          </cell>
          <cell r="E1191" t="str">
            <v>HP CP 1Y SupportPlus NAS 2k 4k</v>
          </cell>
          <cell r="F1191">
            <v>504000</v>
          </cell>
        </row>
        <row r="1192">
          <cell r="C1192" t="str">
            <v>U9913E</v>
          </cell>
          <cell r="E1192" t="str">
            <v>HP CP 1Y SupportPlus24 NAS 2k 4k</v>
          </cell>
          <cell r="F1192">
            <v>704000</v>
          </cell>
        </row>
        <row r="1193">
          <cell r="C1193" t="str">
            <v>U9916E</v>
          </cell>
          <cell r="E1193" t="str">
            <v>HP CP 1Y 6H CTR HW NAS 2k 4k</v>
          </cell>
          <cell r="F1193">
            <v>608000</v>
          </cell>
        </row>
        <row r="1194">
          <cell r="C1194" t="str">
            <v>U9917E</v>
          </cell>
          <cell r="E1194" t="str">
            <v>HP CP 3Y 6H CTR HW NAS 2k 4k</v>
          </cell>
          <cell r="F1194">
            <v>2419000</v>
          </cell>
        </row>
        <row r="1196">
          <cell r="A1196" t="str">
            <v>348937-B21</v>
          </cell>
          <cell r="B1196" t="str">
            <v>NAS 9000S</v>
          </cell>
          <cell r="C1196" t="str">
            <v>U9533E</v>
          </cell>
          <cell r="E1196" t="str">
            <v>HP CP 3Y SupportPlus NAS 9ks</v>
          </cell>
          <cell r="F1196">
            <v>3096000</v>
          </cell>
          <cell r="G1196" t="str">
            <v>UA772PE</v>
          </cell>
        </row>
        <row r="1197">
          <cell r="C1197" t="str">
            <v>U9534E</v>
          </cell>
          <cell r="E1197" t="str">
            <v>HP CP 3Y SupportPlus24 NAS 9ks</v>
          </cell>
          <cell r="F1197">
            <v>4269000</v>
          </cell>
          <cell r="G1197" t="str">
            <v>UA773PE</v>
          </cell>
        </row>
        <row r="1198">
          <cell r="C1198" t="str">
            <v>U9914E</v>
          </cell>
          <cell r="E1198" t="str">
            <v>HP CP 1Y SupportPlus NAS 9k</v>
          </cell>
          <cell r="F1198">
            <v>650000</v>
          </cell>
        </row>
        <row r="1199">
          <cell r="C1199" t="str">
            <v>U9915E</v>
          </cell>
          <cell r="E1199" t="str">
            <v>HP CP 1Y SupportPlus24 NAS 9k</v>
          </cell>
          <cell r="F1199">
            <v>1132000</v>
          </cell>
        </row>
        <row r="1200">
          <cell r="C1200" t="str">
            <v>UA280E</v>
          </cell>
          <cell r="E1200" t="str">
            <v>HP CP 1Y 6H CTR HW NAS 9k</v>
          </cell>
          <cell r="F1200">
            <v>2020000</v>
          </cell>
        </row>
        <row r="1201">
          <cell r="C1201" t="str">
            <v>UA281E</v>
          </cell>
          <cell r="E1201" t="str">
            <v>HP CP 3Y 6H CTR HW NAS 9k</v>
          </cell>
          <cell r="F1201">
            <v>8840000</v>
          </cell>
        </row>
        <row r="1204">
          <cell r="A1204" t="str">
            <v>349040-B21</v>
          </cell>
          <cell r="B1204" t="str">
            <v>StorageWorks NAS 1200S WSS Upgd ALL</v>
          </cell>
          <cell r="C1204" t="str">
            <v>U9530E</v>
          </cell>
          <cell r="E1204" t="str">
            <v xml:space="preserve">HP CP NAS Upgrade to Windows SS 2003 </v>
          </cell>
          <cell r="F1204">
            <v>2660000</v>
          </cell>
          <cell r="G1204" t="str">
            <v>n/a</v>
          </cell>
        </row>
        <row r="1205">
          <cell r="A1205" t="str">
            <v>350330-B21</v>
          </cell>
          <cell r="B1205" t="str">
            <v>Kit Upgrd WIN Srv 2K/NAS WSS 2K 3/NAS</v>
          </cell>
        </row>
        <row r="1206">
          <cell r="A1206" t="str">
            <v>351784-B21</v>
          </cell>
          <cell r="B1206" t="str">
            <v>Upgrd Kit NAS 4000s/9000s WSS ALL</v>
          </cell>
        </row>
        <row r="1210">
          <cell r="A1210" t="str">
            <v>331474-B21</v>
          </cell>
          <cell r="B1210" t="str">
            <v xml:space="preserve">StorageWorks NAS Cluster Kit ALL </v>
          </cell>
          <cell r="C1210" t="str">
            <v>U9523E</v>
          </cell>
          <cell r="E1210" t="str">
            <v>Installation and Start up for NAS Cluster Option</v>
          </cell>
          <cell r="F1210">
            <v>1827000</v>
          </cell>
        </row>
        <row r="1211">
          <cell r="C1211" t="str">
            <v>UA282E</v>
          </cell>
          <cell r="E1211" t="str">
            <v>HP 1y Support Plus NAS Clusterkit SVC</v>
          </cell>
          <cell r="F1211">
            <v>593000</v>
          </cell>
        </row>
        <row r="1212">
          <cell r="C1212" t="str">
            <v>UA283E</v>
          </cell>
          <cell r="E1212" t="str">
            <v>HP 1y Support Plus 24 NAS Clusterkit SVC</v>
          </cell>
          <cell r="F1212">
            <v>824000</v>
          </cell>
        </row>
        <row r="1213">
          <cell r="C1213" t="str">
            <v>UA284E</v>
          </cell>
          <cell r="E1213" t="str">
            <v>HP 3y Support Plus NAS Clusterkit SVC</v>
          </cell>
          <cell r="F1213">
            <v>1984000</v>
          </cell>
        </row>
        <row r="1214">
          <cell r="C1214" t="str">
            <v>UA285E</v>
          </cell>
          <cell r="E1214" t="str">
            <v>HP 3y Support Plus 24 NAS Clusterkit SVC</v>
          </cell>
          <cell r="F1214">
            <v>2755000</v>
          </cell>
        </row>
        <row r="1219">
          <cell r="A1219" t="str">
            <v>280823-B21</v>
          </cell>
          <cell r="B1219" t="str">
            <v xml:space="preserve">NSR 1x2 LVD SCSI Serverless </v>
          </cell>
          <cell r="C1219" t="str">
            <v>U6326E</v>
          </cell>
          <cell r="E1219" t="str">
            <v>HP CP 3Y NxtDay 1x2 LVD SCSI</v>
          </cell>
          <cell r="F1219">
            <v>842000</v>
          </cell>
          <cell r="G1219" t="str">
            <v>UA774PE</v>
          </cell>
        </row>
        <row r="1220">
          <cell r="C1220" t="str">
            <v>U6327E</v>
          </cell>
          <cell r="E1220" t="str">
            <v>HP CP 3Y 4H 13x5 1x2 LVD SCSI</v>
          </cell>
          <cell r="F1220">
            <v>1099000</v>
          </cell>
          <cell r="G1220" t="str">
            <v>UA775PE</v>
          </cell>
        </row>
        <row r="1221">
          <cell r="C1221" t="str">
            <v>U6328E</v>
          </cell>
          <cell r="E1221" t="str">
            <v>HP CP 3Y 4H 24x7 1x2 LVD SCSI</v>
          </cell>
          <cell r="F1221">
            <v>1417000</v>
          </cell>
        </row>
        <row r="1222">
          <cell r="C1222" t="str">
            <v>U9366E</v>
          </cell>
          <cell r="E1222" t="str">
            <v>HP CP 4Y 4H 13x5 1x2 LVD SCSI</v>
          </cell>
          <cell r="F1222">
            <v>1500000</v>
          </cell>
        </row>
        <row r="1223">
          <cell r="C1223" t="str">
            <v>U9367E</v>
          </cell>
          <cell r="E1223" t="str">
            <v>HP CP 4Y 4H 24x7 1x2 LVD SCSI</v>
          </cell>
          <cell r="F1223">
            <v>1916000</v>
          </cell>
        </row>
        <row r="1224">
          <cell r="C1224" t="str">
            <v>U9368E</v>
          </cell>
          <cell r="E1224" t="str">
            <v>HP CP 5Y 4H 13x5 1x2 LVD SCSI</v>
          </cell>
          <cell r="F1224">
            <v>1882000</v>
          </cell>
        </row>
        <row r="1225">
          <cell r="C1225" t="str">
            <v>U9369E</v>
          </cell>
          <cell r="E1225" t="str">
            <v>HP CP 5Y 4H 24x7 1x2 LVD SCSI</v>
          </cell>
          <cell r="F1225">
            <v>2392000</v>
          </cell>
        </row>
        <row r="1228">
          <cell r="A1228" t="str">
            <v>262653-b21</v>
          </cell>
          <cell r="B1228" t="str">
            <v>M2402 2x4 LVD FC to SCSI Router</v>
          </cell>
          <cell r="C1228" t="str">
            <v>U9903E</v>
          </cell>
          <cell r="E1228" t="str">
            <v>HP CP 3Y Nxt day HW MSL FC Routers</v>
          </cell>
          <cell r="F1228">
            <v>1300000</v>
          </cell>
          <cell r="G1228" t="str">
            <v>UA776PE</v>
          </cell>
        </row>
        <row r="1229">
          <cell r="A1229" t="str">
            <v>262654-b21</v>
          </cell>
          <cell r="B1229" t="str">
            <v>M2402 2x4 HVD FC to SCSI Router</v>
          </cell>
          <cell r="C1229" t="str">
            <v>U9904E</v>
          </cell>
          <cell r="E1229" t="str">
            <v>HP CP 1Y 4H 13x5 HW MSL FC Routers</v>
          </cell>
          <cell r="F1229">
            <v>531000</v>
          </cell>
          <cell r="G1229" t="str">
            <v>UA777PE</v>
          </cell>
        </row>
        <row r="1230">
          <cell r="C1230" t="str">
            <v>U9905E</v>
          </cell>
          <cell r="E1230" t="str">
            <v>HP CP 3Y 4H 13x5 HW MSL FC Routers</v>
          </cell>
          <cell r="F1230">
            <v>2541000</v>
          </cell>
        </row>
        <row r="1231">
          <cell r="C1231" t="str">
            <v>U9906E</v>
          </cell>
          <cell r="E1231" t="str">
            <v>HP CP 1Y 4H 24x7 HW MSL FC Routers</v>
          </cell>
          <cell r="F1231">
            <v>744000</v>
          </cell>
        </row>
        <row r="1232">
          <cell r="C1232" t="str">
            <v>U9907E</v>
          </cell>
          <cell r="E1232" t="str">
            <v>HP CP 3Y 4H 24x7 HW MSL FC Routers</v>
          </cell>
          <cell r="F1232">
            <v>3037000</v>
          </cell>
        </row>
        <row r="1233">
          <cell r="C1233" t="str">
            <v>U9908E</v>
          </cell>
          <cell r="E1233" t="str">
            <v>HP CP 1Y Support Plus MSL FC Routers</v>
          </cell>
          <cell r="F1233">
            <v>531000</v>
          </cell>
        </row>
        <row r="1234">
          <cell r="C1234" t="str">
            <v>U9909E</v>
          </cell>
          <cell r="E1234" t="str">
            <v>HP CP 3Y Support Plus MSL FC Routers</v>
          </cell>
          <cell r="F1234">
            <v>2541000</v>
          </cell>
        </row>
        <row r="1235">
          <cell r="C1235" t="str">
            <v>U9910E</v>
          </cell>
          <cell r="E1235" t="str">
            <v>HP CPe 1Y Support Plus 24 MSL FC Routers</v>
          </cell>
          <cell r="F1235">
            <v>744000</v>
          </cell>
        </row>
        <row r="1236">
          <cell r="C1236" t="str">
            <v>U9911E</v>
          </cell>
          <cell r="E1236" t="str">
            <v>HP CP 3Y Support Plus 24 MSL FC Routers</v>
          </cell>
          <cell r="F1236">
            <v>3037000</v>
          </cell>
        </row>
        <row r="1238">
          <cell r="C1238" t="str">
            <v>U7986A</v>
          </cell>
          <cell r="E1238" t="str">
            <v>HP Installation NAS SVC</v>
          </cell>
          <cell r="F1238">
            <v>950000</v>
          </cell>
          <cell r="G1238" t="str">
            <v>UC545PE</v>
          </cell>
        </row>
        <row r="1239">
          <cell r="A1239" t="str">
            <v>375637-161</v>
          </cell>
          <cell r="B1239" t="str">
            <v>ML350 Storage Server</v>
          </cell>
          <cell r="C1239" t="str">
            <v>UB993E</v>
          </cell>
          <cell r="E1239" t="str">
            <v>HP 1y SupportPlus PL ML350 StorSvr SVC</v>
          </cell>
          <cell r="F1239">
            <v>394000</v>
          </cell>
          <cell r="G1239" t="str">
            <v>UC546PE</v>
          </cell>
        </row>
        <row r="1240">
          <cell r="A1240" t="str">
            <v>375637-291</v>
          </cell>
          <cell r="B1240" t="str">
            <v>ML350 Storage Server</v>
          </cell>
          <cell r="C1240" t="str">
            <v>UB994E</v>
          </cell>
          <cell r="E1240" t="str">
            <v>HP 1y SupportPlus24 PL ML350 StorSvr SVC</v>
          </cell>
          <cell r="F1240">
            <v>549000</v>
          </cell>
        </row>
        <row r="1241">
          <cell r="A1241" t="str">
            <v>375637-371</v>
          </cell>
          <cell r="B1241" t="str">
            <v>ML350 Storage Server</v>
          </cell>
          <cell r="C1241" t="str">
            <v>UB995E</v>
          </cell>
          <cell r="E1241" t="str">
            <v>HP 3y SupportPlus PL ML350 StorSvr SVC</v>
          </cell>
          <cell r="F1241">
            <v>1148000</v>
          </cell>
        </row>
        <row r="1242">
          <cell r="A1242" t="str">
            <v>375638-161</v>
          </cell>
          <cell r="B1242" t="str">
            <v>ML350 Storage Server w/internal storage</v>
          </cell>
          <cell r="C1242" t="str">
            <v>UC544E</v>
          </cell>
          <cell r="E1242" t="str">
            <v>HP 3y SupportPlus24 PL ML350 StorSvr SVC</v>
          </cell>
          <cell r="F1242">
            <v>1597000</v>
          </cell>
        </row>
        <row r="1243">
          <cell r="A1243" t="str">
            <v>375638-291</v>
          </cell>
          <cell r="B1243" t="str">
            <v>ML350 Storage Server w/internal storage</v>
          </cell>
          <cell r="C1243" t="str">
            <v>UC567E</v>
          </cell>
          <cell r="E1243" t="str">
            <v>HP 1y 6h 24x7 CTR PL ML350 SS HWSupp</v>
          </cell>
          <cell r="F1243">
            <v>312000</v>
          </cell>
        </row>
        <row r="1244">
          <cell r="A1244" t="str">
            <v>375638-371</v>
          </cell>
          <cell r="B1244" t="str">
            <v>ML350 Storage Server w/internal storage</v>
          </cell>
          <cell r="C1244" t="str">
            <v>UC568E</v>
          </cell>
          <cell r="E1244" t="str">
            <v>HP 3y 6h 24x7 CTR PL ML350 SS HWSupp</v>
          </cell>
          <cell r="F1244">
            <v>908000</v>
          </cell>
        </row>
        <row r="1247">
          <cell r="C1247" t="str">
            <v>U7986A</v>
          </cell>
          <cell r="E1247" t="str">
            <v>HP Installation NAS SVC</v>
          </cell>
          <cell r="F1247">
            <v>950000</v>
          </cell>
          <cell r="G1247" t="str">
            <v>UC551PE</v>
          </cell>
        </row>
        <row r="1248">
          <cell r="A1248" t="str">
            <v>375639-161</v>
          </cell>
          <cell r="B1248" t="str">
            <v>ML370 Storage Server</v>
          </cell>
          <cell r="C1248" t="str">
            <v>UC547E</v>
          </cell>
          <cell r="E1248" t="str">
            <v>HP 1y SupportPlus PL ML370 StorSvr SVC</v>
          </cell>
          <cell r="F1248">
            <v>504000</v>
          </cell>
          <cell r="G1248" t="str">
            <v>UC552PE</v>
          </cell>
        </row>
        <row r="1249">
          <cell r="A1249" t="str">
            <v>375639-291</v>
          </cell>
          <cell r="B1249" t="str">
            <v>ML370 Storage Server</v>
          </cell>
          <cell r="C1249" t="str">
            <v>UC548E</v>
          </cell>
          <cell r="E1249" t="str">
            <v>HP 1y SupportPlus24 PL ML370 StorSvr SVC</v>
          </cell>
          <cell r="F1249">
            <v>704000</v>
          </cell>
        </row>
        <row r="1250">
          <cell r="A1250" t="str">
            <v>375639-371</v>
          </cell>
          <cell r="B1250" t="str">
            <v>ML370 Storage Server</v>
          </cell>
          <cell r="C1250" t="str">
            <v>UC549E</v>
          </cell>
          <cell r="E1250" t="str">
            <v>HP 3y SupportPlus PL ML370 StorSvr SVC</v>
          </cell>
          <cell r="F1250">
            <v>1469000</v>
          </cell>
        </row>
        <row r="1251">
          <cell r="A1251" t="str">
            <v>375640-161</v>
          </cell>
          <cell r="B1251" t="str">
            <v>ML370 Storage Server w/internal storage</v>
          </cell>
          <cell r="C1251" t="str">
            <v>UC550E</v>
          </cell>
          <cell r="E1251" t="str">
            <v>HP 3y SupportPlus24 PL ML370 StorSvr SVC</v>
          </cell>
          <cell r="F1251">
            <v>2048000</v>
          </cell>
        </row>
        <row r="1252">
          <cell r="A1252" t="str">
            <v>375640-291</v>
          </cell>
          <cell r="B1252" t="str">
            <v>ML370 Storage Server w/internal storage</v>
          </cell>
          <cell r="C1252" t="str">
            <v>UC569E</v>
          </cell>
          <cell r="E1252" t="str">
            <v>HP 1y 6h 24x7 CTR PL ML370 SS HWSupp</v>
          </cell>
          <cell r="F1252">
            <v>608000</v>
          </cell>
        </row>
        <row r="1253">
          <cell r="A1253" t="str">
            <v>375640-371</v>
          </cell>
          <cell r="B1253" t="str">
            <v>ML370 Storage Server w/internal storage</v>
          </cell>
          <cell r="C1253" t="str">
            <v>UC570E</v>
          </cell>
          <cell r="E1253" t="str">
            <v>HP 3y 6h 24x7 CTR PL ML370 SS HWSupp</v>
          </cell>
          <cell r="F1253">
            <v>1768000</v>
          </cell>
        </row>
        <row r="1256">
          <cell r="C1256" t="str">
            <v>U7986A</v>
          </cell>
          <cell r="E1256" t="str">
            <v>HP Installation NAS SVC</v>
          </cell>
          <cell r="F1256">
            <v>950000</v>
          </cell>
          <cell r="G1256" t="str">
            <v>UC557PE</v>
          </cell>
        </row>
        <row r="1257">
          <cell r="A1257" t="str">
            <v>375987-B21</v>
          </cell>
          <cell r="B1257" t="str">
            <v xml:space="preserve">DL100 Storage Server (320GB) </v>
          </cell>
          <cell r="C1257" t="str">
            <v>UC553E</v>
          </cell>
          <cell r="E1257" t="str">
            <v>HP 1y SupportPlus PL DL100 StorSvr SVC</v>
          </cell>
          <cell r="F1257">
            <v>231000</v>
          </cell>
          <cell r="G1257" t="str">
            <v>UC558PE</v>
          </cell>
        </row>
        <row r="1258">
          <cell r="A1258" t="str">
            <v xml:space="preserve">375988-B21 </v>
          </cell>
          <cell r="B1258" t="str">
            <v xml:space="preserve">DL100 Storage Server (640GB) </v>
          </cell>
          <cell r="C1258" t="str">
            <v>UC554E</v>
          </cell>
          <cell r="E1258" t="str">
            <v>HP 1y SupportPlus24 PL DL100 StorSvr SVC</v>
          </cell>
          <cell r="F1258">
            <v>322000</v>
          </cell>
        </row>
        <row r="1259">
          <cell r="A1259" t="str">
            <v>375989-B21</v>
          </cell>
          <cell r="B1259" t="str">
            <v xml:space="preserve">DL100 Storage Server (1TB) </v>
          </cell>
          <cell r="C1259" t="str">
            <v>UC555E</v>
          </cell>
          <cell r="E1259" t="str">
            <v>HP 3y SupportPlus PL DL100 StorSvr SVC</v>
          </cell>
          <cell r="F1259">
            <v>990000</v>
          </cell>
        </row>
        <row r="1260">
          <cell r="C1260" t="str">
            <v>UC556E</v>
          </cell>
          <cell r="E1260" t="str">
            <v>HP 3y SupportPlus24 PL DL100 StorSvr SVC</v>
          </cell>
          <cell r="F1260">
            <v>1255000</v>
          </cell>
        </row>
        <row r="1263">
          <cell r="C1263" t="str">
            <v>U7986A</v>
          </cell>
          <cell r="E1263" t="str">
            <v>HP Installation NAS SVC</v>
          </cell>
          <cell r="F1263">
            <v>950000</v>
          </cell>
        </row>
        <row r="1264">
          <cell r="C1264" t="str">
            <v>UC559E</v>
          </cell>
          <cell r="E1264" t="str">
            <v>HP 1y SupportPlus PL DL380 StorSvr SVC</v>
          </cell>
          <cell r="F1264">
            <v>504000</v>
          </cell>
          <cell r="G1264" t="str">
            <v>UC563PE</v>
          </cell>
        </row>
        <row r="1265">
          <cell r="A1265" t="str">
            <v>371224-B21 </v>
          </cell>
          <cell r="B1265" t="str">
            <v xml:space="preserve">HP ProLiant DL380 Storage Server (Base, Standard O/S) </v>
          </cell>
          <cell r="C1265" t="str">
            <v>UC560E</v>
          </cell>
          <cell r="E1265" t="str">
            <v>HP 1y SupportPlus24 PL DL380 StorSvr SVC</v>
          </cell>
          <cell r="F1265">
            <v>704000</v>
          </cell>
          <cell r="G1265" t="str">
            <v>UC564PE</v>
          </cell>
        </row>
        <row r="1266">
          <cell r="C1266" t="str">
            <v>UC561E</v>
          </cell>
          <cell r="E1266" t="str">
            <v>HP 3y SupportPlus PL DL380 StorSvr SVC</v>
          </cell>
          <cell r="F1266">
            <v>1469000</v>
          </cell>
        </row>
        <row r="1267">
          <cell r="C1267" t="str">
            <v>UC562E</v>
          </cell>
          <cell r="E1267" t="str">
            <v>HP 3y SupportPlus24 PL DL380 StorSvr SVC</v>
          </cell>
          <cell r="F1267">
            <v>2048000</v>
          </cell>
        </row>
        <row r="1268">
          <cell r="C1268" t="str">
            <v>UC565E</v>
          </cell>
          <cell r="E1268" t="str">
            <v>HP 1y 6h 24x7 CTR PL DL380 SS HW Support</v>
          </cell>
          <cell r="F1268">
            <v>608000</v>
          </cell>
        </row>
        <row r="1269">
          <cell r="C1269" t="str">
            <v>UC566E</v>
          </cell>
          <cell r="E1269" t="str">
            <v>HP 3y 6h 24x7 CTR PL DL380 SS HW Support</v>
          </cell>
          <cell r="F1269">
            <v>1768000</v>
          </cell>
        </row>
        <row r="1272">
          <cell r="C1272" t="str">
            <v>UC559E</v>
          </cell>
          <cell r="E1272" t="str">
            <v>HP 1y SupportPlus PL DL380 StorSvr SVC</v>
          </cell>
          <cell r="F1272">
            <v>504000</v>
          </cell>
          <cell r="G1272" t="str">
            <v>UC563PE</v>
          </cell>
        </row>
        <row r="1273">
          <cell r="A1273" t="str">
            <v>371227-B21 </v>
          </cell>
          <cell r="B1273" t="str">
            <v xml:space="preserve">HP ProLiant DL380 Storage Server (SAN Attach, Enterprise O/S) </v>
          </cell>
          <cell r="C1273" t="str">
            <v>UC560E</v>
          </cell>
          <cell r="E1273" t="str">
            <v>HP 1y SupportPlus24 PL DL380 StorSvr SVC</v>
          </cell>
          <cell r="F1273">
            <v>704000</v>
          </cell>
          <cell r="G1273" t="str">
            <v>UC564PE</v>
          </cell>
        </row>
        <row r="1274">
          <cell r="C1274" t="str">
            <v>UC561E</v>
          </cell>
          <cell r="E1274" t="str">
            <v>HP 3y SupportPlus PL DL380 StorSvr SVC</v>
          </cell>
          <cell r="F1274">
            <v>1469000</v>
          </cell>
        </row>
        <row r="1275">
          <cell r="C1275" t="str">
            <v>UC562E</v>
          </cell>
          <cell r="E1275" t="str">
            <v>HP 3y SupportPlus24 PL DL380 StorSvr SVC</v>
          </cell>
          <cell r="F1275">
            <v>2048000</v>
          </cell>
        </row>
        <row r="1276">
          <cell r="C1276" t="str">
            <v>UC565E</v>
          </cell>
          <cell r="E1276" t="str">
            <v>HP 1y 6h 24x7 CTR PL DL380 SS HW Support</v>
          </cell>
          <cell r="F1276">
            <v>608000</v>
          </cell>
        </row>
        <row r="1277">
          <cell r="C1277" t="str">
            <v>UC566E</v>
          </cell>
          <cell r="E1277" t="str">
            <v>HP 3y 6h 24x7 CTR PL DL380 SS HW Support</v>
          </cell>
          <cell r="F1277">
            <v>1768000</v>
          </cell>
        </row>
        <row r="1280">
          <cell r="C1280" t="str">
            <v>U7986A</v>
          </cell>
          <cell r="E1280" t="str">
            <v>HP Installation NAS SVC</v>
          </cell>
          <cell r="F1280">
            <v>950000</v>
          </cell>
          <cell r="G1280" t="str">
            <v>UC575PE</v>
          </cell>
        </row>
        <row r="1281">
          <cell r="A1281" t="str">
            <v>371225-B21 </v>
          </cell>
          <cell r="B1281" t="str">
            <v xml:space="preserve">HP ProLiant DL380 Storage Server (External SCSI, Standard O/S) </v>
          </cell>
          <cell r="C1281" t="str">
            <v>UC571E</v>
          </cell>
          <cell r="E1281" t="str">
            <v>HP 1y SupportPlus PL DL380 SS w/Stor SVC</v>
          </cell>
          <cell r="F1281">
            <v>646000</v>
          </cell>
          <cell r="G1281" t="str">
            <v>UC576PE</v>
          </cell>
        </row>
        <row r="1282">
          <cell r="A1282" t="str">
            <v>371226-B21 </v>
          </cell>
          <cell r="B1282" t="str">
            <v>HP ProLiant DL380 Storage Server (External SATA, Standard O/S)</v>
          </cell>
          <cell r="C1282" t="str">
            <v>UC572E</v>
          </cell>
          <cell r="E1282" t="str">
            <v>HP 1y SupportPlus24 PLDL380 SSw/Stor SVC</v>
          </cell>
          <cell r="F1282">
            <v>901000</v>
          </cell>
        </row>
        <row r="1283">
          <cell r="C1283" t="str">
            <v>UC573E</v>
          </cell>
          <cell r="E1283" t="str">
            <v>HP 3y SupportPlus PL DL380 SS w/Stor SVC</v>
          </cell>
          <cell r="F1283">
            <v>1880000</v>
          </cell>
        </row>
        <row r="1284">
          <cell r="C1284" t="str">
            <v>UC574E</v>
          </cell>
          <cell r="E1284" t="str">
            <v>HP 3y SupportPlus24 PLDL380 SSw/Stor SVC</v>
          </cell>
          <cell r="F1284">
            <v>2624000</v>
          </cell>
        </row>
        <row r="1285">
          <cell r="C1285" t="str">
            <v>UC577E</v>
          </cell>
          <cell r="E1285" t="str">
            <v>HP 1y 6h 24x7 CTR PLDL380 SSw/Str HWSupp</v>
          </cell>
          <cell r="F1285">
            <v>985000</v>
          </cell>
        </row>
        <row r="1286">
          <cell r="C1286" t="str">
            <v>UC578E</v>
          </cell>
          <cell r="E1286" t="str">
            <v>HP 3y 6h 24x7 CTR PLDL380 SSw/Str HWSupp</v>
          </cell>
          <cell r="F1286">
            <v>2867000</v>
          </cell>
        </row>
        <row r="1289">
          <cell r="C1289" t="str">
            <v>UC579E</v>
          </cell>
          <cell r="E1289" t="str">
            <v>HP 1y SupportPlus PL DL580 StorSvr SVC</v>
          </cell>
          <cell r="F1289">
            <v>708000</v>
          </cell>
          <cell r="G1289" t="str">
            <v>UC583PE</v>
          </cell>
        </row>
        <row r="1290">
          <cell r="A1290" t="str">
            <v>348937-B22</v>
          </cell>
          <cell r="B1290" t="str">
            <v xml:space="preserve">HP Proliant DL580 Storage Server </v>
          </cell>
          <cell r="C1290" t="str">
            <v>UC580E</v>
          </cell>
          <cell r="E1290" t="str">
            <v>HP 1y SupportPlus24 PL DL580 StorSvr SVC</v>
          </cell>
          <cell r="F1290">
            <v>988000</v>
          </cell>
          <cell r="G1290" t="str">
            <v>UC626PE</v>
          </cell>
        </row>
        <row r="1291">
          <cell r="C1291" t="str">
            <v>UC581E</v>
          </cell>
          <cell r="E1291" t="str">
            <v>HP 3y SupportPlus PL DL580 StorSvr SVC</v>
          </cell>
          <cell r="F1291">
            <v>2059000</v>
          </cell>
        </row>
        <row r="1292">
          <cell r="C1292" t="str">
            <v>UC582E</v>
          </cell>
          <cell r="E1292" t="str">
            <v>HP 3y SupportPlus24 PL DL580 StorSvr SVC</v>
          </cell>
          <cell r="F1292">
            <v>2874000</v>
          </cell>
        </row>
        <row r="1293">
          <cell r="C1293" t="str">
            <v>UC627E</v>
          </cell>
          <cell r="E1293" t="str">
            <v>HP 1y 6h24x7 CTR PL DL580 SS HW Support</v>
          </cell>
          <cell r="F1293">
            <v>1149000</v>
          </cell>
        </row>
        <row r="1294">
          <cell r="C1294" t="str">
            <v>UC628E</v>
          </cell>
          <cell r="E1294" t="str">
            <v>HP 3y 6h24x7 CTR PL DL580 SS HW Support</v>
          </cell>
          <cell r="F1294">
            <v>3345000</v>
          </cell>
        </row>
        <row r="1301">
          <cell r="A1301" t="str">
            <v>NSS Fixed Care Pack Quick Reference Card (2005.1월)</v>
          </cell>
        </row>
        <row r="1305">
          <cell r="A1305" t="str">
            <v>Product Number</v>
          </cell>
          <cell r="B1305" t="str">
            <v>Description</v>
          </cell>
          <cell r="C1305" t="str">
            <v>PURPLE Care Packs</v>
          </cell>
          <cell r="E1305" t="str">
            <v>Service Level</v>
          </cell>
          <cell r="F1305" t="str">
            <v>가격(원)</v>
          </cell>
        </row>
        <row r="1306">
          <cell r="A1306" t="str">
            <v>250193-B22</v>
          </cell>
          <cell r="B1306" t="str">
            <v xml:space="preserve">OS solution kit - Tru64 </v>
          </cell>
          <cell r="C1306" t="str">
            <v>U5734E</v>
          </cell>
          <cell r="E1306" t="str">
            <v>HP CP 1Y SWsptM-F Storage High $1-$200</v>
          </cell>
          <cell r="F1306">
            <v>31000</v>
          </cell>
        </row>
        <row r="1307">
          <cell r="A1307" t="str">
            <v>250194-B22</v>
          </cell>
          <cell r="B1307" t="str">
            <v xml:space="preserve">OS solution kit - OVMS </v>
          </cell>
          <cell r="C1307" t="str">
            <v>U5735E</v>
          </cell>
          <cell r="E1307" t="str">
            <v>HP CP 1Y SWspt24x7 Storage High $1-$200</v>
          </cell>
          <cell r="F1307">
            <v>37000</v>
          </cell>
        </row>
        <row r="1308">
          <cell r="A1308" t="str">
            <v>250194-B22</v>
          </cell>
          <cell r="B1308" t="str">
            <v xml:space="preserve">OS solution kit - OVMS </v>
          </cell>
          <cell r="C1308" t="str">
            <v>U5736E</v>
          </cell>
          <cell r="E1308" t="str">
            <v>HP CP 3Y SWsptM-F Storage High $1-$200</v>
          </cell>
          <cell r="F1308">
            <v>100000</v>
          </cell>
        </row>
        <row r="1309">
          <cell r="A1309" t="str">
            <v>250195-B22</v>
          </cell>
          <cell r="B1309" t="str">
            <v xml:space="preserve">OS solution kit - WNT, W2K or WinDC </v>
          </cell>
          <cell r="C1309" t="str">
            <v>U5737E</v>
          </cell>
          <cell r="E1309" t="str">
            <v>HP CP 3Y SWspt24x7 Storage High $1-$200</v>
          </cell>
          <cell r="F1309">
            <v>127000</v>
          </cell>
        </row>
        <row r="1310">
          <cell r="A1310" t="str">
            <v>250197-B22</v>
          </cell>
          <cell r="B1310" t="str">
            <v xml:space="preserve">OS solution kit - Solaris </v>
          </cell>
        </row>
        <row r="1311">
          <cell r="A1311" t="str">
            <v>263668-291</v>
          </cell>
          <cell r="B1311" t="str">
            <v xml:space="preserve">Entrprs Vol JA MUL V2.0 Media/CD JPN 2 </v>
          </cell>
        </row>
        <row r="1312">
          <cell r="A1312" t="str">
            <v>263668-292</v>
          </cell>
          <cell r="B1312" t="str">
            <v xml:space="preserve">ENT VOL-ja MUL V2.0D DOC/CD JPN2 </v>
          </cell>
        </row>
        <row r="1313">
          <cell r="A1313" t="str">
            <v>263668-B22</v>
          </cell>
          <cell r="B1313" t="str">
            <v xml:space="preserve">EVM MUL v2.0D DOC/ ALL </v>
          </cell>
        </row>
        <row r="1314">
          <cell r="A1314" t="str">
            <v>282447-B21</v>
          </cell>
          <cell r="B1314" t="str">
            <v xml:space="preserve">OS solution kit - IBM AIX </v>
          </cell>
        </row>
        <row r="1315">
          <cell r="A1315" t="str">
            <v>282448-B21</v>
          </cell>
          <cell r="B1315" t="str">
            <v xml:space="preserve">OS solution kit - HP-UX </v>
          </cell>
        </row>
        <row r="1316">
          <cell r="A1316" t="str">
            <v>309621-B21</v>
          </cell>
          <cell r="B1316" t="str">
            <v xml:space="preserve">OS Solution kit - Netware </v>
          </cell>
        </row>
        <row r="1317">
          <cell r="A1317" t="str">
            <v>309622-B21</v>
          </cell>
          <cell r="B1317" t="str">
            <v xml:space="preserve">OS solution kit - LINUX </v>
          </cell>
        </row>
        <row r="1318">
          <cell r="A1318" t="str">
            <v>312930-B21</v>
          </cell>
          <cell r="B1318" t="str">
            <v xml:space="preserve">OS Solution Kit v2.0 for DataCenter </v>
          </cell>
        </row>
        <row r="1319">
          <cell r="A1319" t="str">
            <v xml:space="preserve">250195-B23  </v>
          </cell>
          <cell r="B1319" t="str">
            <v>WIN KIT ENT VA 2.0A  LTU ALL</v>
          </cell>
        </row>
        <row r="1320">
          <cell r="A1320" t="str">
            <v xml:space="preserve">250197-B23  </v>
          </cell>
          <cell r="B1320" t="str">
            <v>SUN Solution Kit</v>
          </cell>
        </row>
        <row r="1323">
          <cell r="C1323" t="str">
            <v>U5738E</v>
          </cell>
          <cell r="E1323" t="str">
            <v>HP CP 1Y SWsptM-F Storage High $401-600</v>
          </cell>
          <cell r="F1323">
            <v>151000</v>
          </cell>
        </row>
        <row r="1324">
          <cell r="C1324" t="str">
            <v>U5739E</v>
          </cell>
          <cell r="E1324" t="str">
            <v>HP CP 1Y SWspt24x7 Storage High $401-600</v>
          </cell>
          <cell r="F1324">
            <v>188000</v>
          </cell>
        </row>
        <row r="1325">
          <cell r="A1325" t="str">
            <v>222354-B23</v>
          </cell>
          <cell r="B1325" t="str">
            <v xml:space="preserve">MA6000 SW X86NT UP KT ALL LTU </v>
          </cell>
          <cell r="C1325" t="str">
            <v>U5740E</v>
          </cell>
          <cell r="E1325" t="str">
            <v>HP CP 3Y SWsptM-F Storage High $401-600</v>
          </cell>
          <cell r="F1325">
            <v>506000</v>
          </cell>
        </row>
        <row r="1326">
          <cell r="A1326" t="str">
            <v>222361-B23</v>
          </cell>
          <cell r="B1326" t="str">
            <v xml:space="preserve">MA6000 SW LNX UPD KIT ALL LTU </v>
          </cell>
          <cell r="C1326" t="str">
            <v>U5741E</v>
          </cell>
          <cell r="E1326" t="str">
            <v>HP CP 3Y SWspt24x7 Storage High $401-600</v>
          </cell>
          <cell r="F1326">
            <v>633000</v>
          </cell>
        </row>
        <row r="1327">
          <cell r="A1327" t="str">
            <v>279811-B22</v>
          </cell>
          <cell r="B1327" t="str">
            <v xml:space="preserve">G80 SW X86NT LC/MCD ALL LTU </v>
          </cell>
        </row>
        <row r="1328">
          <cell r="A1328" t="str">
            <v>279831-B22</v>
          </cell>
          <cell r="B1328" t="str">
            <v xml:space="preserve">G80 SW LNX LIC/MCD ALL LTU </v>
          </cell>
        </row>
        <row r="1329">
          <cell r="A1329" t="str">
            <v>279832-B21</v>
          </cell>
          <cell r="B1329" t="str">
            <v xml:space="preserve">G80 LNX UPG/LIC V8.7 ALL </v>
          </cell>
        </row>
        <row r="1330">
          <cell r="A1330" t="str">
            <v>279832-B22</v>
          </cell>
          <cell r="B1330" t="str">
            <v xml:space="preserve">G80 SW LNX UPG KIT ALL LTU </v>
          </cell>
        </row>
        <row r="1331">
          <cell r="A1331" t="str">
            <v xml:space="preserve">279803-B21  </v>
          </cell>
          <cell r="B1331" t="str">
            <v>G80 U/A LIC/DOC V8.7 ALL</v>
          </cell>
        </row>
        <row r="1332">
          <cell r="A1332" t="str">
            <v xml:space="preserve">279807-B21  </v>
          </cell>
          <cell r="B1332" t="str">
            <v>G80 VMS LIC/DOC V8.7 ALL</v>
          </cell>
        </row>
        <row r="1333">
          <cell r="A1333" t="str">
            <v xml:space="preserve">279815-B21  </v>
          </cell>
          <cell r="B1333" t="str">
            <v>G80 NVL LIC/DOC V8.7 ALL</v>
          </cell>
        </row>
        <row r="1334">
          <cell r="A1334" t="str">
            <v xml:space="preserve">279819-B21  </v>
          </cell>
          <cell r="B1334" t="str">
            <v>G80 SOL LIC/DOC V8.7 ALL</v>
          </cell>
        </row>
        <row r="1335">
          <cell r="A1335" t="str">
            <v xml:space="preserve">279823-B21  </v>
          </cell>
          <cell r="B1335" t="str">
            <v>G80 UX LIC/DOC V8.7 ALL</v>
          </cell>
        </row>
        <row r="1336">
          <cell r="A1336" t="str">
            <v xml:space="preserve">279827-B21  </v>
          </cell>
          <cell r="B1336" t="str">
            <v>G80 AXR LIC/DOC V8.7 ALL</v>
          </cell>
        </row>
        <row r="1347">
          <cell r="A1347" t="str">
            <v xml:space="preserve">222311-B24  </v>
          </cell>
          <cell r="B1347" t="str">
            <v>ACS ALL 8.xL-8.7-2G LIC/PCM</v>
          </cell>
          <cell r="C1347" t="str">
            <v>U5742E</v>
          </cell>
          <cell r="E1347" t="str">
            <v>HP CP 1Y SWsptM-F Storage High $701-800</v>
          </cell>
          <cell r="F1347">
            <v>227000</v>
          </cell>
        </row>
        <row r="1348">
          <cell r="C1348" t="str">
            <v>U5743E</v>
          </cell>
          <cell r="E1348" t="str">
            <v>HP CP 1Y SWspt24x7 Storage High $701-800</v>
          </cell>
          <cell r="F1348">
            <v>284000</v>
          </cell>
        </row>
        <row r="1349">
          <cell r="C1349" t="str">
            <v>U5744E</v>
          </cell>
          <cell r="E1349" t="str">
            <v>HP CP 3Y SWsptM-F Storage High $701-800</v>
          </cell>
          <cell r="F1349">
            <v>759000</v>
          </cell>
        </row>
        <row r="1350">
          <cell r="C1350" t="str">
            <v>U5745E</v>
          </cell>
          <cell r="E1350" t="str">
            <v>HP CP 3Y SWspt24x7 Storage High $701-800</v>
          </cell>
          <cell r="F1350">
            <v>949000</v>
          </cell>
        </row>
        <row r="1353">
          <cell r="A1353" t="str">
            <v>257652-B21</v>
          </cell>
          <cell r="B1353" t="str">
            <v xml:space="preserve">Fabric Watch 1G ALL </v>
          </cell>
          <cell r="C1353" t="str">
            <v>U6256E</v>
          </cell>
          <cell r="E1353" t="str">
            <v>HP CP 1Y SWspt24x7 Storage High $900-1K</v>
          </cell>
          <cell r="F1353">
            <v>360000</v>
          </cell>
        </row>
        <row r="1354">
          <cell r="A1354" t="str">
            <v>262864-B21</v>
          </cell>
          <cell r="B1354" t="str">
            <v>Fabric Watch for SAN</v>
          </cell>
          <cell r="C1354" t="str">
            <v>U6257E</v>
          </cell>
          <cell r="E1354" t="str">
            <v>HP CP 3Y SWsptM-F Storage High $900-1K</v>
          </cell>
          <cell r="F1354">
            <v>962000</v>
          </cell>
        </row>
        <row r="1355">
          <cell r="A1355" t="str">
            <v>235095-B24</v>
          </cell>
          <cell r="B1355" t="str">
            <v xml:space="preserve">ACS ALL 8.xG-8.7-2G UPG/PCM </v>
          </cell>
          <cell r="C1355" t="str">
            <v>U6258E</v>
          </cell>
          <cell r="E1355" t="str">
            <v>HP CP 1Y SWsptM-F Storage High $900-1K</v>
          </cell>
          <cell r="F1355">
            <v>287000</v>
          </cell>
        </row>
        <row r="1356">
          <cell r="C1356" t="str">
            <v>U6259E</v>
          </cell>
          <cell r="E1356" t="str">
            <v>HP CP 3Y SWspt24x7 Storage High $900-1K</v>
          </cell>
          <cell r="F1356">
            <v>1202000</v>
          </cell>
        </row>
        <row r="1359">
          <cell r="C1359" t="str">
            <v>U6260E</v>
          </cell>
          <cell r="E1359" t="str">
            <v>HP CP 1Y SWsptM-F Storage High $1001-1200</v>
          </cell>
          <cell r="F1359">
            <v>333000</v>
          </cell>
        </row>
        <row r="1360">
          <cell r="C1360" t="str">
            <v>U6261E</v>
          </cell>
          <cell r="E1360" t="str">
            <v>HP CP 1Y SWspt24x7 Strg High $1001-1200</v>
          </cell>
          <cell r="F1360">
            <v>415000</v>
          </cell>
        </row>
        <row r="1361">
          <cell r="C1361" t="str">
            <v>U6262E</v>
          </cell>
          <cell r="E1361" t="str">
            <v>HP CP 3Y SWsptM-F Strg High $1001-1200</v>
          </cell>
          <cell r="F1361">
            <v>1113000</v>
          </cell>
        </row>
        <row r="1362">
          <cell r="C1362" t="str">
            <v>U6263E</v>
          </cell>
          <cell r="E1362" t="str">
            <v>HP CP 3Y SWspt24x7 Strg High $1001-1200</v>
          </cell>
          <cell r="F1362">
            <v>1392000</v>
          </cell>
        </row>
        <row r="1365">
          <cell r="A1365" t="str">
            <v xml:space="preserve">222362-B24  </v>
          </cell>
          <cell r="B1365" t="str">
            <v>ACS V8.7-1L for AL/SW HSG60 only</v>
          </cell>
          <cell r="C1365" t="str">
            <v>U5746E</v>
          </cell>
          <cell r="E1365" t="str">
            <v>HP CP 1Y SWsptM-F StorageHigh $1201-1400</v>
          </cell>
          <cell r="F1365">
            <v>394000</v>
          </cell>
        </row>
        <row r="1366">
          <cell r="C1366" t="str">
            <v>U5747E</v>
          </cell>
          <cell r="E1366" t="str">
            <v>HP CP 1Y SWspt24x7 Strg High $1201-1400</v>
          </cell>
          <cell r="F1366">
            <v>491000</v>
          </cell>
        </row>
        <row r="1367">
          <cell r="C1367" t="str">
            <v>U5748E</v>
          </cell>
          <cell r="E1367" t="str">
            <v>HP CP 3Y SWsptM-F Strg High $1201-1400</v>
          </cell>
          <cell r="F1367">
            <v>1317000</v>
          </cell>
        </row>
        <row r="1368">
          <cell r="C1368" t="str">
            <v>U5749E</v>
          </cell>
          <cell r="E1368" t="str">
            <v>HP CP 3Y SWspt24x7 Strg High $1201-1400</v>
          </cell>
          <cell r="F1368">
            <v>1645000</v>
          </cell>
        </row>
        <row r="1371">
          <cell r="A1371" t="str">
            <v>262866-B21</v>
          </cell>
          <cell r="B1371" t="str">
            <v xml:space="preserve">QuickLoop ALL </v>
          </cell>
          <cell r="C1371" t="str">
            <v>U6264E</v>
          </cell>
          <cell r="E1371" t="str">
            <v>HP CP 1Y SWsptM-F Strg High $1401-1600</v>
          </cell>
          <cell r="F1371">
            <v>454000</v>
          </cell>
        </row>
        <row r="1372">
          <cell r="A1372" t="str">
            <v>222319-B24</v>
          </cell>
          <cell r="B1372" t="str">
            <v xml:space="preserve">ACSsf ALL 8.xF-8.7-2F UP/PC </v>
          </cell>
          <cell r="C1372" t="str">
            <v>U6265E</v>
          </cell>
          <cell r="E1372" t="str">
            <v>HP CP 1Y SWspt24x7 Strg High $1401-1600</v>
          </cell>
          <cell r="F1372">
            <v>566000</v>
          </cell>
        </row>
        <row r="1373">
          <cell r="C1373" t="str">
            <v>U6266E</v>
          </cell>
          <cell r="E1373" t="str">
            <v>HP CP 3Y SWsptM-F Strg High $1401-1600</v>
          </cell>
          <cell r="F1373">
            <v>1519000</v>
          </cell>
        </row>
        <row r="1374">
          <cell r="C1374" t="str">
            <v>U6267E</v>
          </cell>
          <cell r="E1374" t="str">
            <v>HP CP 3Y SWspt24x7 Strg High $1401-1600</v>
          </cell>
          <cell r="F1374">
            <v>1898000</v>
          </cell>
        </row>
        <row r="1377">
          <cell r="C1377" t="str">
            <v>U5750E</v>
          </cell>
          <cell r="E1377" t="str">
            <v>HP CP 1Y SWsptM-F Strg High $1801-2000</v>
          </cell>
          <cell r="F1377">
            <v>574000</v>
          </cell>
        </row>
        <row r="1378">
          <cell r="C1378" t="str">
            <v>U5751E</v>
          </cell>
          <cell r="E1378" t="str">
            <v>HP CP 1Y SWspt24x7 Strg High $1801-2000</v>
          </cell>
          <cell r="F1378">
            <v>718000</v>
          </cell>
        </row>
        <row r="1379">
          <cell r="C1379" t="str">
            <v>U5752E</v>
          </cell>
          <cell r="E1379" t="str">
            <v>HP CP 3Y SWsptM-F Strg High $1801-2000</v>
          </cell>
          <cell r="F1379">
            <v>1923000</v>
          </cell>
        </row>
        <row r="1380">
          <cell r="C1380" t="str">
            <v>U5753E</v>
          </cell>
          <cell r="E1380" t="str">
            <v>HP CP 3Y SWspt24x7 Strg High $1801-2000</v>
          </cell>
          <cell r="F1380">
            <v>2405000</v>
          </cell>
        </row>
        <row r="1383">
          <cell r="A1383" t="str">
            <v>222315-B24</v>
          </cell>
          <cell r="B1383" t="str">
            <v xml:space="preserve">ACS ALL 8.xG-8.7-2F LIC/PCM </v>
          </cell>
          <cell r="C1383" t="str">
            <v>U6268E</v>
          </cell>
          <cell r="E1383" t="str">
            <v>HP CP 1Y SWsptM-F Strg High $2001-2400</v>
          </cell>
          <cell r="F1383">
            <v>665000</v>
          </cell>
        </row>
        <row r="1384">
          <cell r="A1384" t="str">
            <v xml:space="preserve">222314-B24  </v>
          </cell>
          <cell r="B1384" t="str">
            <v>ACS ALL 8.xL-8.7-2F LIC/PCM</v>
          </cell>
          <cell r="C1384" t="str">
            <v>U6269E</v>
          </cell>
          <cell r="E1384" t="str">
            <v>HP CP 1Y SWspt24x7 Strg High $2001-2400</v>
          </cell>
          <cell r="F1384">
            <v>832000</v>
          </cell>
        </row>
        <row r="1385">
          <cell r="A1385" t="str">
            <v xml:space="preserve">324507-B21  </v>
          </cell>
          <cell r="B1385" t="str">
            <v>Advanced Perf Monitor 2/8 SAN SW LTU</v>
          </cell>
          <cell r="C1385" t="str">
            <v>U6270E</v>
          </cell>
          <cell r="E1385" t="str">
            <v>HP CP 3Y SWsptM-F Strg High $2001-2400</v>
          </cell>
          <cell r="F1385">
            <v>2227000</v>
          </cell>
        </row>
        <row r="1386">
          <cell r="C1386" t="str">
            <v>U6271E</v>
          </cell>
          <cell r="E1386" t="str">
            <v>HP CP 3Y SWspt24x7 Strg High $2001-2400</v>
          </cell>
          <cell r="F1386">
            <v>2784000</v>
          </cell>
        </row>
        <row r="1389">
          <cell r="C1389" t="str">
            <v>U5754E</v>
          </cell>
          <cell r="E1389" t="str">
            <v>HP CP 1Y SWsptM-F Strg High $2401-2800</v>
          </cell>
          <cell r="F1389">
            <v>787000</v>
          </cell>
        </row>
        <row r="1390">
          <cell r="C1390" t="str">
            <v>U5755E</v>
          </cell>
          <cell r="E1390" t="str">
            <v>HP CP 1Y SWspt24x7 Strg High $2401-2800</v>
          </cell>
          <cell r="F1390">
            <v>983000</v>
          </cell>
        </row>
        <row r="1391">
          <cell r="C1391" t="str">
            <v>U5756E</v>
          </cell>
          <cell r="E1391" t="str">
            <v>HP CP 3Y SWsptM-F Strg High $2401-2800</v>
          </cell>
          <cell r="F1391">
            <v>2633000</v>
          </cell>
        </row>
        <row r="1392">
          <cell r="C1392" t="str">
            <v>U5757E</v>
          </cell>
          <cell r="E1392" t="str">
            <v>HP CP 3Y SWspt24x7 Strg High $2401-2800</v>
          </cell>
          <cell r="F1392">
            <v>3291000</v>
          </cell>
        </row>
        <row r="1395">
          <cell r="A1395" t="str">
            <v>235094-B24</v>
          </cell>
          <cell r="B1395" t="str">
            <v xml:space="preserve">ACS ALL 8.7-2G LIC/PCM PK </v>
          </cell>
          <cell r="C1395" t="str">
            <v>U6272E</v>
          </cell>
          <cell r="E1395" t="str">
            <v>HP CP 1Y SWsptM-F Strg High $2801-3200</v>
          </cell>
          <cell r="F1395">
            <v>908000</v>
          </cell>
        </row>
        <row r="1396">
          <cell r="A1396" t="str">
            <v>222365-B24</v>
          </cell>
          <cell r="B1396" t="str">
            <v xml:space="preserve">ACS SNP 8.xS-8.7-2S UPG/PCM </v>
          </cell>
          <cell r="C1396" t="str">
            <v>U6273E</v>
          </cell>
          <cell r="E1396" t="str">
            <v>HP CP 1Y SWspt24x7 Strg High $2801-3200</v>
          </cell>
          <cell r="F1396">
            <v>1134000</v>
          </cell>
        </row>
        <row r="1397">
          <cell r="A1397" t="str">
            <v xml:space="preserve">317071-B21  </v>
          </cell>
          <cell r="B1397" t="str">
            <v>2/32 Santegrity BD LC LTU</v>
          </cell>
          <cell r="C1397" t="str">
            <v>U6274E</v>
          </cell>
          <cell r="E1397" t="str">
            <v>HP CP 3Y SWsptM-F Strg High $2801-3200</v>
          </cell>
          <cell r="F1397">
            <v>3037000</v>
          </cell>
        </row>
        <row r="1398">
          <cell r="A1398" t="str">
            <v xml:space="preserve">325888-B21  </v>
          </cell>
          <cell r="B1398" t="str">
            <v>San Switch 2/8-EL Upgrade</v>
          </cell>
          <cell r="C1398" t="str">
            <v>U6275E</v>
          </cell>
          <cell r="E1398" t="str">
            <v>HP CP 3Y SWspt24x7 Strg High $2801-3200</v>
          </cell>
          <cell r="F1398">
            <v>3797000</v>
          </cell>
        </row>
        <row r="1399">
          <cell r="A1399" t="str">
            <v xml:space="preserve">325891-B21  </v>
          </cell>
          <cell r="B1399" t="str">
            <v>Remote Switch 2/8, 2/16 SAN SW LTU</v>
          </cell>
        </row>
        <row r="1402">
          <cell r="A1402" t="str">
            <v>262870-B21</v>
          </cell>
          <cell r="B1402" t="str">
            <v xml:space="preserve">Advncd Prfrmnc Mntr ALL </v>
          </cell>
          <cell r="C1402" t="str">
            <v>U6276E</v>
          </cell>
          <cell r="E1402" t="str">
            <v>HP CP 1Y SWsptM-F Strg High $3201-3600</v>
          </cell>
          <cell r="F1402">
            <v>1028000</v>
          </cell>
        </row>
        <row r="1403">
          <cell r="C1403" t="str">
            <v>U6277E</v>
          </cell>
          <cell r="E1403" t="str">
            <v>HP CP 1Y SWspt24x7 Strg High $3201-3600</v>
          </cell>
          <cell r="F1403">
            <v>1286000</v>
          </cell>
        </row>
        <row r="1404">
          <cell r="C1404" t="str">
            <v>U6278E</v>
          </cell>
          <cell r="E1404" t="str">
            <v>HP CP 3Y SWsptM-F Strg High $3201-3600</v>
          </cell>
          <cell r="F1404">
            <v>3443000</v>
          </cell>
        </row>
        <row r="1405">
          <cell r="C1405" t="str">
            <v>U6279E</v>
          </cell>
          <cell r="E1405" t="str">
            <v>HP CP 3Y SWspt24x7 Strg High $3201-3600</v>
          </cell>
          <cell r="F1405">
            <v>4303000</v>
          </cell>
        </row>
        <row r="1408">
          <cell r="C1408" t="str">
            <v>U6280E</v>
          </cell>
          <cell r="E1408" t="str">
            <v>HP CP 1Y SWsptM-F Strg High $3601-4000</v>
          </cell>
          <cell r="F1408">
            <v>1150000</v>
          </cell>
        </row>
        <row r="1409">
          <cell r="A1409" t="str">
            <v xml:space="preserve">313454-B21  </v>
          </cell>
          <cell r="B1409" t="str">
            <v>2/32 Fabric Watch LTU ALL</v>
          </cell>
          <cell r="C1409" t="str">
            <v>U6281E</v>
          </cell>
          <cell r="E1409" t="str">
            <v>HP CP 1Y SWspt24x7 Strg High $3601-4000</v>
          </cell>
          <cell r="F1409">
            <v>1437000</v>
          </cell>
        </row>
        <row r="1410">
          <cell r="A1410" t="str">
            <v xml:space="preserve">324505-B21  </v>
          </cell>
          <cell r="B1410" t="str">
            <v>Extended Fabric 2/8, 2/16 SAN SW LTU</v>
          </cell>
          <cell r="C1410" t="str">
            <v>U6282E</v>
          </cell>
          <cell r="E1410" t="str">
            <v>HP CP 3Y SWsptM-F Strg High $3601-4000</v>
          </cell>
          <cell r="F1410">
            <v>3848000</v>
          </cell>
        </row>
        <row r="1411">
          <cell r="A1411" t="str">
            <v xml:space="preserve">324506-B21  </v>
          </cell>
          <cell r="B1411" t="str">
            <v>ISL Trunking 2/8, 2/16 SAN SW LTU</v>
          </cell>
          <cell r="C1411" t="str">
            <v>U6283E</v>
          </cell>
          <cell r="E1411" t="str">
            <v>HP CP 3Y SWspt24x7 Strg High $3601-4000</v>
          </cell>
          <cell r="F1411">
            <v>4811000</v>
          </cell>
        </row>
        <row r="1414">
          <cell r="C1414" t="str">
            <v>U5758E</v>
          </cell>
          <cell r="E1414" t="str">
            <v>HP CP 1Y SWsptM-F Strg High $4001-4500</v>
          </cell>
          <cell r="F1414">
            <v>1286000</v>
          </cell>
        </row>
        <row r="1415">
          <cell r="A1415" t="str">
            <v>262868-B21</v>
          </cell>
          <cell r="B1415" t="str">
            <v xml:space="preserve">Extended Fabric ALL </v>
          </cell>
          <cell r="C1415" t="str">
            <v>U5759E</v>
          </cell>
          <cell r="E1415" t="str">
            <v>HP CP 1Y SWspt24x7 Strg High $4001-4500</v>
          </cell>
          <cell r="F1415">
            <v>1607000</v>
          </cell>
        </row>
        <row r="1416">
          <cell r="A1416" t="str">
            <v>203693-B21</v>
          </cell>
          <cell r="B1416" t="str">
            <v xml:space="preserve">HSJ80 VMS ALL </v>
          </cell>
          <cell r="C1416" t="str">
            <v>U5760E</v>
          </cell>
          <cell r="E1416" t="str">
            <v>HP CP 3Y SWsptM-F Strg High $4001-4500</v>
          </cell>
          <cell r="F1416">
            <v>4305000</v>
          </cell>
        </row>
        <row r="1417">
          <cell r="A1417" t="str">
            <v xml:space="preserve">222363-B24  </v>
          </cell>
          <cell r="B1417" t="str">
            <v>ACS Upgrade V8.xL to 8.7-1L</v>
          </cell>
        </row>
        <row r="1418">
          <cell r="A1418" t="str">
            <v xml:space="preserve">313450-B21  </v>
          </cell>
          <cell r="B1418" t="str">
            <v>San Switch 2/32 Adv Perf Monitor LTU ALL</v>
          </cell>
          <cell r="C1418" t="str">
            <v>U5761E</v>
          </cell>
          <cell r="E1418" t="str">
            <v>HP CP 3Y SWspt24x7 Strg High $4001-4500</v>
          </cell>
          <cell r="F1418">
            <v>5380000</v>
          </cell>
        </row>
        <row r="1421">
          <cell r="A1421" t="str">
            <v>262872-B21</v>
          </cell>
          <cell r="B1421" t="str">
            <v xml:space="preserve">ISL Trunking </v>
          </cell>
          <cell r="C1421" t="str">
            <v>U6284E</v>
          </cell>
          <cell r="E1421" t="str">
            <v>HP CP 1Y SWsptM-F Strg High $4501-5000</v>
          </cell>
          <cell r="F1421">
            <v>1437000</v>
          </cell>
        </row>
        <row r="1422">
          <cell r="A1422" t="str">
            <v>218206-B22</v>
          </cell>
          <cell r="B1422" t="str">
            <v xml:space="preserve">Command Scripter 1.0B 5 user LTU </v>
          </cell>
          <cell r="C1422" t="str">
            <v>U6285E</v>
          </cell>
          <cell r="E1422" t="str">
            <v>HP CP 1Y SWspt24x7 Strg High $4501-5000</v>
          </cell>
          <cell r="F1422">
            <v>1797000</v>
          </cell>
        </row>
        <row r="1423">
          <cell r="C1423" t="str">
            <v>U6286E</v>
          </cell>
          <cell r="E1423" t="str">
            <v>HP CP 3Y SWsptM-F Strg High $4501-5000</v>
          </cell>
          <cell r="F1423">
            <v>4811000</v>
          </cell>
        </row>
        <row r="1424">
          <cell r="C1424" t="str">
            <v>U6287E</v>
          </cell>
          <cell r="E1424" t="str">
            <v>HP CP 3Y SWspt24x7 Strg High $4501-5000</v>
          </cell>
          <cell r="F1424">
            <v>6013000</v>
          </cell>
        </row>
        <row r="1427">
          <cell r="C1427" t="str">
            <v>U5762E</v>
          </cell>
          <cell r="E1427" t="str">
            <v>HP CP 1Y SWsptM-F Strg High $5001-5500</v>
          </cell>
          <cell r="F1427">
            <v>1588000</v>
          </cell>
        </row>
        <row r="1428">
          <cell r="A1428" t="str">
            <v>222318-B24</v>
          </cell>
          <cell r="B1428" t="str">
            <v xml:space="preserve">Csf ALL 8.7-2F LIC/PCM PK </v>
          </cell>
          <cell r="C1428" t="str">
            <v>U5763E</v>
          </cell>
          <cell r="E1428" t="str">
            <v>HP CP 1Y SWspt24x7 Strg High $5001-5500</v>
          </cell>
          <cell r="F1428">
            <v>1985000</v>
          </cell>
        </row>
        <row r="1429">
          <cell r="A1429" t="str">
            <v>257654-B21</v>
          </cell>
          <cell r="B1429" t="str">
            <v xml:space="preserve">Extended Fabric for </v>
          </cell>
          <cell r="C1429" t="str">
            <v>U5764E</v>
          </cell>
          <cell r="E1429" t="str">
            <v>HP CP 3Y SWsptM-F Strg High $5001-5500</v>
          </cell>
          <cell r="F1429">
            <v>5317000</v>
          </cell>
        </row>
        <row r="1430">
          <cell r="A1430" t="str">
            <v xml:space="preserve">313452-B21  </v>
          </cell>
          <cell r="B1430" t="str">
            <v>2/32 ISL Trunking LTU ALL</v>
          </cell>
          <cell r="C1430" t="str">
            <v>U5765E</v>
          </cell>
          <cell r="E1430" t="str">
            <v>HP CP 3Y SWspt24x7 Strg High $5001-5500</v>
          </cell>
          <cell r="F1430">
            <v>6646000</v>
          </cell>
        </row>
        <row r="1433">
          <cell r="C1433" t="str">
            <v>U5766E</v>
          </cell>
          <cell r="E1433" t="str">
            <v>HP CP 1Y SWsptM-F Strg High $5501-6000</v>
          </cell>
          <cell r="F1433">
            <v>1739000</v>
          </cell>
        </row>
        <row r="1434">
          <cell r="A1434" t="str">
            <v>222309-B24</v>
          </cell>
          <cell r="B1434" t="str">
            <v xml:space="preserve">ACS ALL 8.xF-8.7-2S LIC/PCM </v>
          </cell>
          <cell r="C1434" t="str">
            <v>U5767E</v>
          </cell>
          <cell r="E1434" t="str">
            <v>HP CP 1Y SWspt24x7 Strg High $5501-6000</v>
          </cell>
          <cell r="F1434">
            <v>2175000</v>
          </cell>
        </row>
        <row r="1435">
          <cell r="A1435" t="str">
            <v>263669-291</v>
          </cell>
          <cell r="B1435" t="str">
            <v xml:space="preserve">Entrprs VOL JA V2.0 MUL Upg Media JPN 2 </v>
          </cell>
          <cell r="C1435" t="str">
            <v>U5768E</v>
          </cell>
          <cell r="E1435" t="str">
            <v>HP CP 3Y SWsptM-F Strg High $5501-6000</v>
          </cell>
          <cell r="F1435">
            <v>5823000</v>
          </cell>
        </row>
        <row r="1436">
          <cell r="A1436" t="str">
            <v>263669-B22</v>
          </cell>
          <cell r="B1436" t="str">
            <v xml:space="preserve">EVM MUL UPG v2.0D ALL </v>
          </cell>
          <cell r="C1436" t="str">
            <v>U5769E</v>
          </cell>
          <cell r="E1436" t="str">
            <v>HP CP 3Y SWspt24x7 Strg High $5501-6000</v>
          </cell>
          <cell r="F1436">
            <v>7279000</v>
          </cell>
        </row>
        <row r="1437">
          <cell r="A1437" t="str">
            <v>263669-292</v>
          </cell>
          <cell r="B1437" t="str">
            <v xml:space="preserve">ENT VOL-ja V2.0D MUL UPG PK JPN2 </v>
          </cell>
        </row>
        <row r="1440">
          <cell r="A1440" t="str">
            <v>262874-B21</v>
          </cell>
          <cell r="B1440" t="str">
            <v xml:space="preserve">Prfrmnc Bndl (sw) ALL </v>
          </cell>
          <cell r="C1440" t="str">
            <v>U6288E</v>
          </cell>
          <cell r="E1440" t="str">
            <v>HP CP 1Y SWsptM-F Strg High $6001-6500</v>
          </cell>
          <cell r="F1440">
            <v>1891000</v>
          </cell>
        </row>
        <row r="1441">
          <cell r="C1441" t="str">
            <v>6289E</v>
          </cell>
          <cell r="E1441" t="str">
            <v>HP CP 1Y SWspt24x7 Strg High $6001-6500</v>
          </cell>
        </row>
        <row r="1442">
          <cell r="C1442" t="str">
            <v>U6290E</v>
          </cell>
          <cell r="E1442" t="str">
            <v>HP CP 3Y SWsptM-F Strg High $6001-6500</v>
          </cell>
          <cell r="F1442">
            <v>6329000</v>
          </cell>
        </row>
        <row r="1443">
          <cell r="C1443" t="str">
            <v>U6291E</v>
          </cell>
          <cell r="E1443" t="str">
            <v>HP CP 3Y SWspt24x7 Strg High $6001-6500</v>
          </cell>
          <cell r="F1443">
            <v>7911000</v>
          </cell>
        </row>
        <row r="1446">
          <cell r="C1446" t="str">
            <v>U5770E</v>
          </cell>
          <cell r="E1446" t="str">
            <v>HP CP 1Y SWsptM-F Strg High $6501-7500</v>
          </cell>
          <cell r="F1446">
            <v>2118000</v>
          </cell>
        </row>
        <row r="1447">
          <cell r="A1447" t="str">
            <v xml:space="preserve">222317-B24  </v>
          </cell>
          <cell r="B1447" t="str">
            <v>G80 DRM 8.xP-8.7-2P UPG/PCM</v>
          </cell>
          <cell r="C1447" t="str">
            <v>U5771E</v>
          </cell>
          <cell r="E1447" t="str">
            <v>HP CP 1Y SWspt24x7 Strg High $6501-7500</v>
          </cell>
          <cell r="F1447">
            <v>2647000</v>
          </cell>
        </row>
        <row r="1448">
          <cell r="A1448" t="str">
            <v>332925-B21</v>
          </cell>
          <cell r="B1448" t="str">
            <v xml:space="preserve">SAN Security SAN Switch 2/32 w/4.1 FW </v>
          </cell>
          <cell r="C1448" t="str">
            <v>U5772E</v>
          </cell>
          <cell r="E1448" t="str">
            <v>HP CP 3Y SWsptM-F Strg High $6501-7500</v>
          </cell>
          <cell r="F1448">
            <v>7089000</v>
          </cell>
        </row>
        <row r="1449">
          <cell r="A1449" t="str">
            <v>313455-B21</v>
          </cell>
          <cell r="B1449" t="str">
            <v xml:space="preserve">SAN Switch 2/32 Fabric Manager Kit </v>
          </cell>
          <cell r="C1449" t="str">
            <v>U5773E</v>
          </cell>
          <cell r="E1449" t="str">
            <v>HP CP 3Y SWspt24x7 Strg High $6501-7500</v>
          </cell>
          <cell r="F1449">
            <v>8861000</v>
          </cell>
        </row>
        <row r="1452">
          <cell r="A1452" t="str">
            <v>218207-B22</v>
          </cell>
          <cell r="B1452" t="str">
            <v xml:space="preserve">Command Scripter 1.0B 10 user LTU </v>
          </cell>
          <cell r="C1452" t="str">
            <v>U5774E</v>
          </cell>
          <cell r="E1452" t="str">
            <v>HP CP 1Y SWsptM-F Strg High $7501-8500</v>
          </cell>
          <cell r="F1452">
            <v>2420000</v>
          </cell>
        </row>
        <row r="1453">
          <cell r="A1453" t="str">
            <v>222317-B24</v>
          </cell>
          <cell r="B1453" t="str">
            <v xml:space="preserve">G80 DRM 8.xP-8.7-2P UPG/PCM </v>
          </cell>
          <cell r="C1453" t="str">
            <v>U5775E</v>
          </cell>
          <cell r="E1453" t="str">
            <v>HP CP 1Y SWspt24x7 Strg High $7501-8500</v>
          </cell>
          <cell r="F1453">
            <v>3025000</v>
          </cell>
        </row>
        <row r="1454">
          <cell r="A1454" t="str">
            <v>222308-B24</v>
          </cell>
          <cell r="B1454" t="str">
            <v xml:space="preserve">ACS ALL 8.xG-8.7-2S LIC/PCM </v>
          </cell>
          <cell r="C1454" t="str">
            <v>U5776E</v>
          </cell>
          <cell r="E1454" t="str">
            <v>HP CP 3Y SWsptM-F Strg High $7501-8500</v>
          </cell>
          <cell r="F1454">
            <v>8101000</v>
          </cell>
        </row>
        <row r="1455">
          <cell r="A1455" t="str">
            <v xml:space="preserve">222306-B24  </v>
          </cell>
          <cell r="B1455" t="str">
            <v>ACS ALL 8.xL-8.7-2S LIC/PCM</v>
          </cell>
          <cell r="C1455" t="str">
            <v>U5777E</v>
          </cell>
          <cell r="E1455" t="str">
            <v>HP CP 3Y SWspt24x7 Strg High $7501-8500</v>
          </cell>
          <cell r="F1455">
            <v>10128000</v>
          </cell>
        </row>
        <row r="1456">
          <cell r="A1456" t="str">
            <v xml:space="preserve">325892-B21  </v>
          </cell>
          <cell r="B1456" t="str">
            <v>Power Pac Bundle 2/8,2/16 LTU</v>
          </cell>
        </row>
        <row r="1460">
          <cell r="C1460" t="str">
            <v>U5778E</v>
          </cell>
          <cell r="E1460" t="str">
            <v>HP CP 1Y SWsptM-F Strg High $9.5K-10.5</v>
          </cell>
          <cell r="F1460">
            <v>3025000</v>
          </cell>
        </row>
        <row r="1461">
          <cell r="C1461" t="str">
            <v>U5779E</v>
          </cell>
          <cell r="E1461" t="str">
            <v>HP CP 1Y SWspt24x7 Strg High $9.5K-10.5</v>
          </cell>
          <cell r="F1461">
            <v>3781000</v>
          </cell>
        </row>
        <row r="1462">
          <cell r="C1462" t="str">
            <v>U5780E</v>
          </cell>
          <cell r="E1462" t="str">
            <v>HP CP 3Y SWsptM-F Strg High $9.5K-10.5</v>
          </cell>
          <cell r="F1462">
            <v>10128000</v>
          </cell>
        </row>
        <row r="1463">
          <cell r="C1463" t="str">
            <v>U5781E</v>
          </cell>
          <cell r="E1463" t="str">
            <v>HP CP 3Y SWspt24x7 Strg High $9.5K-10.5</v>
          </cell>
          <cell r="F1463">
            <v>12659000</v>
          </cell>
        </row>
        <row r="1464">
          <cell r="A1464" t="str">
            <v>263671-291</v>
          </cell>
          <cell r="B1464" t="str">
            <v xml:space="preserve">ENT VOL-JA SVR SYS LIC JPN2 </v>
          </cell>
        </row>
        <row r="1465">
          <cell r="A1465" t="str">
            <v>263675-291</v>
          </cell>
          <cell r="B1465" t="str">
            <v xml:space="preserve">ENT VOL-JA AGT 5 SYS LIC JPN2 </v>
          </cell>
        </row>
        <row r="1466">
          <cell r="A1466" t="str">
            <v>263671-B22</v>
          </cell>
          <cell r="B1466" t="str">
            <v xml:space="preserve">Additional EVM Server LTU </v>
          </cell>
        </row>
        <row r="1467">
          <cell r="A1467" t="str">
            <v>263675-B22</v>
          </cell>
          <cell r="B1467" t="str">
            <v xml:space="preserve">EVM V2.0D - 5 additional LTU </v>
          </cell>
        </row>
        <row r="1470">
          <cell r="A1470" t="str">
            <v>222364-B24</v>
          </cell>
          <cell r="B1470" t="str">
            <v xml:space="preserve">ACS SNP 8.7-2S LIC/PCM PK </v>
          </cell>
          <cell r="C1470" t="str">
            <v>U5782E</v>
          </cell>
          <cell r="E1470" t="str">
            <v>HP CP 1Y SWsptM-F Strg High $10.5k-11.5</v>
          </cell>
          <cell r="F1470">
            <v>3328000</v>
          </cell>
        </row>
        <row r="1471">
          <cell r="C1471" t="str">
            <v>U5783E</v>
          </cell>
          <cell r="E1471" t="str">
            <v>HP CP 1Y SWspt24x7 Strg High $10.5k-11.5</v>
          </cell>
          <cell r="F1471">
            <v>4159000</v>
          </cell>
        </row>
        <row r="1472">
          <cell r="C1472" t="str">
            <v>U5784E</v>
          </cell>
          <cell r="E1472" t="str">
            <v>HP CP 3Y SWsptM-F Strg High $10.5k-11.5</v>
          </cell>
          <cell r="F1472">
            <v>11140000</v>
          </cell>
        </row>
        <row r="1473">
          <cell r="C1473" t="str">
            <v>U5785E</v>
          </cell>
          <cell r="E1473" t="str">
            <v>HP CP 3Y SWspt24x7 Strg High $10.5k-11.5</v>
          </cell>
          <cell r="F1473">
            <v>13925000</v>
          </cell>
        </row>
        <row r="1476">
          <cell r="C1476" t="str">
            <v>U5871E</v>
          </cell>
          <cell r="E1476" t="str">
            <v>HP CP 1Y SWsptM-F Strg Hi $13501-14500</v>
          </cell>
          <cell r="F1476">
            <v>4235000</v>
          </cell>
        </row>
        <row r="1477">
          <cell r="C1477" t="str">
            <v>U5872E</v>
          </cell>
          <cell r="E1477" t="str">
            <v>HP CP 1Y SWspt24x7 Strg Hi $13501-14500</v>
          </cell>
          <cell r="F1477">
            <v>5294000</v>
          </cell>
        </row>
        <row r="1478">
          <cell r="C1478" t="str">
            <v>U5873E</v>
          </cell>
          <cell r="E1478" t="str">
            <v>HP CP 3Y SWsptM-F Strg Hi $13501-14500</v>
          </cell>
          <cell r="F1478">
            <v>14178000</v>
          </cell>
        </row>
        <row r="1479">
          <cell r="C1479" t="str">
            <v>U5874E</v>
          </cell>
          <cell r="E1479" t="str">
            <v>HP CP 3Y SWspt24x7 Strg Hi $13501-14500</v>
          </cell>
          <cell r="F1479">
            <v>17723000</v>
          </cell>
        </row>
        <row r="1482">
          <cell r="C1482" t="str">
            <v>U5786E</v>
          </cell>
          <cell r="E1482" t="str">
            <v>HP CP 1Y SWsptM-F Strg High $14.5k-15.5</v>
          </cell>
          <cell r="F1482">
            <v>4538000</v>
          </cell>
        </row>
        <row r="1483">
          <cell r="C1483" t="str">
            <v>U5787E</v>
          </cell>
          <cell r="E1483" t="str">
            <v>HP CP 1Y SWspt24x7 Strg High $14.5k-15.5</v>
          </cell>
          <cell r="F1483">
            <v>5672000</v>
          </cell>
        </row>
        <row r="1484">
          <cell r="A1484" t="str">
            <v>287406-B22</v>
          </cell>
          <cell r="B1484" t="str">
            <v xml:space="preserve">HP StorageWorks HA-FAB Manager </v>
          </cell>
          <cell r="C1484" t="str">
            <v>U5788E</v>
          </cell>
          <cell r="E1484" t="str">
            <v>HP CP 3Y SWsptM-F Strg High $14.5k-15.5</v>
          </cell>
          <cell r="F1484">
            <v>15192000</v>
          </cell>
        </row>
        <row r="1485">
          <cell r="C1485" t="str">
            <v>U5789E</v>
          </cell>
          <cell r="E1485" t="str">
            <v>HP CP 3Y SWspt24x7 Strg High $14.5k-15.5</v>
          </cell>
          <cell r="F1485">
            <v>18988000</v>
          </cell>
        </row>
        <row r="1488">
          <cell r="A1488" t="str">
            <v>317072-B21</v>
          </cell>
          <cell r="B1488" t="str">
            <v xml:space="preserve">2/64 Santegrity BD LC LTU </v>
          </cell>
          <cell r="C1488" t="str">
            <v>U5790E</v>
          </cell>
          <cell r="E1488" t="str">
            <v>HP CP 1Y SWsptM-F Strg High $15.5k-17.5</v>
          </cell>
          <cell r="F1488">
            <v>4991000</v>
          </cell>
        </row>
        <row r="1489">
          <cell r="A1489" t="str">
            <v>263673-291</v>
          </cell>
          <cell r="B1489" t="str">
            <v xml:space="preserve">ENT VOL-JA AGT 10 SYS LIC JPN2 </v>
          </cell>
          <cell r="C1489" t="str">
            <v>U5791E</v>
          </cell>
          <cell r="E1489" t="str">
            <v>HP CP 1Y SWspt24x7 Strg High $15.5k-17.5</v>
          </cell>
          <cell r="F1489">
            <v>6238000</v>
          </cell>
        </row>
        <row r="1490">
          <cell r="A1490" t="str">
            <v>263673-B22</v>
          </cell>
          <cell r="B1490" t="str">
            <v xml:space="preserve">EVM V2.0D - 10 additional LTU </v>
          </cell>
          <cell r="C1490" t="str">
            <v>U5792E</v>
          </cell>
          <cell r="E1490" t="str">
            <v>HP CP 3Y SWsptM-F Strg High $15.5k-17.5</v>
          </cell>
          <cell r="F1490">
            <v>16710000</v>
          </cell>
        </row>
        <row r="1491">
          <cell r="C1491" t="str">
            <v>U5793E</v>
          </cell>
          <cell r="E1491" t="str">
            <v>HP CP 3Y SWspt24x7 Strg High $15.5k-17.5</v>
          </cell>
          <cell r="F1491">
            <v>20888000</v>
          </cell>
        </row>
        <row r="1494">
          <cell r="C1494" t="str">
            <v>U5794E</v>
          </cell>
          <cell r="E1494" t="str">
            <v>HP CP 1Y SWsptM-F Strg High $17.5k-19.5</v>
          </cell>
          <cell r="F1494">
            <v>5596000</v>
          </cell>
        </row>
        <row r="1495">
          <cell r="A1495" t="str">
            <v>222372-B24</v>
          </cell>
          <cell r="B1495" t="str">
            <v xml:space="preserve">G80 DRM 8.xS-8.7-2P LIC/PCM </v>
          </cell>
          <cell r="C1495" t="str">
            <v>U5795E</v>
          </cell>
          <cell r="E1495" t="str">
            <v>HP CP 1Y SWspt24x7 Strg High $17.5k-19.5</v>
          </cell>
          <cell r="F1495">
            <v>6995000</v>
          </cell>
        </row>
        <row r="1496">
          <cell r="A1496" t="str">
            <v>317073-B21</v>
          </cell>
          <cell r="B1496" t="str">
            <v xml:space="preserve">2/140 Santegrity LC LTU </v>
          </cell>
          <cell r="C1496" t="str">
            <v>U5796E</v>
          </cell>
          <cell r="E1496" t="str">
            <v>HP CP 3Y SWsptM-F Strg Hi $17.5k-19.5</v>
          </cell>
          <cell r="F1496">
            <v>18735000</v>
          </cell>
        </row>
        <row r="1497">
          <cell r="A1497" t="str">
            <v>218208-B22</v>
          </cell>
          <cell r="B1497" t="str">
            <v xml:space="preserve">Command Scripter 1.0B 25 user LTU </v>
          </cell>
          <cell r="C1497" t="str">
            <v>U5797E</v>
          </cell>
          <cell r="E1497" t="str">
            <v>HP CP 3Y SWspt24x7 Strg High $17.5k-19.5</v>
          </cell>
          <cell r="F1497">
            <v>23419000</v>
          </cell>
        </row>
        <row r="1500">
          <cell r="A1500" t="str">
            <v>326720-B21</v>
          </cell>
          <cell r="B1500" t="str">
            <v xml:space="preserve">Bus Copy UPG UI MEMA starter kit 2.1 </v>
          </cell>
          <cell r="C1500" t="str">
            <v>U5798E</v>
          </cell>
          <cell r="E1500" t="str">
            <v>HP CP 1Y SWsptM-F Strg High $19.5k-21.5</v>
          </cell>
          <cell r="F1500">
            <v>6201000</v>
          </cell>
        </row>
        <row r="1501">
          <cell r="A1501" t="str">
            <v>263670-291</v>
          </cell>
          <cell r="B1501" t="str">
            <v xml:space="preserve">Entrprs VOL JA MUL v2.0 Media JPN 2 </v>
          </cell>
          <cell r="C1501" t="str">
            <v>U5799E</v>
          </cell>
          <cell r="E1501" t="str">
            <v>HP CP 1Y SWspt24x7 Strg High $19.5k-21.5</v>
          </cell>
          <cell r="F1501">
            <v>7751000</v>
          </cell>
        </row>
        <row r="1502">
          <cell r="A1502" t="str">
            <v>263670-B22</v>
          </cell>
          <cell r="B1502" t="str">
            <v xml:space="preserve">EVM Starter Kit </v>
          </cell>
          <cell r="C1502" t="str">
            <v>U5800E</v>
          </cell>
          <cell r="E1502" t="str">
            <v>HP CP 3Y SWsptM-F Strg High $19.5k-21.5</v>
          </cell>
          <cell r="F1502">
            <v>20762000</v>
          </cell>
        </row>
        <row r="1503">
          <cell r="A1503" t="str">
            <v>263670-292</v>
          </cell>
          <cell r="B1503" t="str">
            <v xml:space="preserve">'ENT VOL-ja MUL V2.0D PKG JPN2 </v>
          </cell>
          <cell r="C1503" t="str">
            <v>U5801E</v>
          </cell>
          <cell r="E1503" t="str">
            <v>HP CP 3Y SWspt24x7 Strg High $19.5k-21.5</v>
          </cell>
          <cell r="F1503">
            <v>25952000</v>
          </cell>
        </row>
        <row r="1504">
          <cell r="A1504" t="str">
            <v>222371-B24</v>
          </cell>
          <cell r="B1504" t="str">
            <v xml:space="preserve">G80 DRM 8.xF-8.7-2P LIC/PCM </v>
          </cell>
        </row>
        <row r="1505">
          <cell r="A1505" t="str">
            <v xml:space="preserve">222372-B24  </v>
          </cell>
          <cell r="B1505" t="str">
            <v>G80 DRM 8.xS-8.7-2P LIC/PCM</v>
          </cell>
        </row>
        <row r="1506">
          <cell r="A1506" t="str">
            <v xml:space="preserve">317073-B21  </v>
          </cell>
          <cell r="B1506" t="str">
            <v>2/140 Santegrity LC LTU</v>
          </cell>
        </row>
        <row r="1509">
          <cell r="C1509" t="str">
            <v>U5802E</v>
          </cell>
          <cell r="E1509" t="str">
            <v>HP CP 1Y SWsptM-F Strg High $21.5k-23.5</v>
          </cell>
          <cell r="F1509">
            <v>6806000</v>
          </cell>
        </row>
        <row r="1510">
          <cell r="A1510" t="str">
            <v>222370-B24</v>
          </cell>
          <cell r="B1510" t="str">
            <v xml:space="preserve">G80 DRM 8.xG-8.7-2P LIC/PCM </v>
          </cell>
          <cell r="C1510" t="str">
            <v>U5803E</v>
          </cell>
          <cell r="E1510" t="str">
            <v>HP CP 1Y SWspt24x7 Strg High $21.5k-23.5</v>
          </cell>
          <cell r="F1510">
            <v>8507000</v>
          </cell>
        </row>
        <row r="1511">
          <cell r="C1511" t="str">
            <v>U5804E</v>
          </cell>
          <cell r="E1511" t="str">
            <v>HP CP 3Y SWsptM-F Strg High $21.5k-23.5</v>
          </cell>
          <cell r="F1511">
            <v>22787000</v>
          </cell>
        </row>
        <row r="1512">
          <cell r="C1512" t="str">
            <v>U5805E</v>
          </cell>
          <cell r="E1512" t="str">
            <v>HP CP 3Y SWspt24x7 Strg High $21.5k-23.5</v>
          </cell>
          <cell r="F1512">
            <v>28483000</v>
          </cell>
        </row>
        <row r="1515">
          <cell r="A1515" t="str">
            <v>222316-B24</v>
          </cell>
          <cell r="B1515" t="str">
            <v xml:space="preserve">G80 DRM 8.7-2P LC/PC </v>
          </cell>
          <cell r="C1515" t="str">
            <v>U5806E</v>
          </cell>
          <cell r="E1515" t="str">
            <v>HP CP 1Y SWsptM-F Strg High $23.5k-26.5</v>
          </cell>
          <cell r="F1515">
            <v>7563000</v>
          </cell>
        </row>
        <row r="1516">
          <cell r="A1516" t="str">
            <v>334218-B21</v>
          </cell>
          <cell r="B1516" t="str">
            <v xml:space="preserve">Fabric Watch for 2/64 Core </v>
          </cell>
          <cell r="C1516" t="str">
            <v>U5807E</v>
          </cell>
          <cell r="E1516" t="str">
            <v>HP CP 1Y SWspt24x7 Strg High $23.5k-26.5</v>
          </cell>
          <cell r="F1516">
            <v>9453000</v>
          </cell>
        </row>
        <row r="1517">
          <cell r="C1517" t="str">
            <v>U5808E</v>
          </cell>
          <cell r="E1517" t="str">
            <v>HP CP 3Y SWsptM-F Strg High $23.5k-26.5</v>
          </cell>
          <cell r="F1517">
            <v>25319000</v>
          </cell>
        </row>
        <row r="1518">
          <cell r="C1518" t="str">
            <v>U5809E</v>
          </cell>
          <cell r="E1518" t="str">
            <v>HP CP 3Y SWspt24x7 Strg High $23.5k-26.5</v>
          </cell>
          <cell r="F1518">
            <v>31649000</v>
          </cell>
        </row>
        <row r="1521">
          <cell r="A1521" t="str">
            <v>334219-B21</v>
          </cell>
          <cell r="B1521" t="str">
            <v xml:space="preserve">Advanced Performance Monitor 2/64 </v>
          </cell>
          <cell r="C1521" t="str">
            <v>U5810E</v>
          </cell>
          <cell r="E1521" t="str">
            <v>HP CP 1Y SWsptM-F Strg High $26.5k-29.5</v>
          </cell>
          <cell r="F1521">
            <v>8470000</v>
          </cell>
        </row>
        <row r="1522">
          <cell r="C1522" t="str">
            <v>U5811E</v>
          </cell>
          <cell r="E1522" t="str">
            <v>HP CP 1Y SWspt24x7 Strg High $26.5k-29.5</v>
          </cell>
          <cell r="F1522">
            <v>10588000</v>
          </cell>
        </row>
        <row r="1523">
          <cell r="C1523" t="str">
            <v>U5812E</v>
          </cell>
          <cell r="E1523" t="str">
            <v>HP CP 3Y SWsptM-F Strg High $26.5k-29.5</v>
          </cell>
          <cell r="F1523">
            <v>28357000</v>
          </cell>
        </row>
        <row r="1524">
          <cell r="C1524" t="str">
            <v>U5813E</v>
          </cell>
          <cell r="E1524" t="str">
            <v>HP CP 3Y SWspt24x7 Strg High $26.5k-29.5</v>
          </cell>
          <cell r="F1524">
            <v>35446000</v>
          </cell>
        </row>
        <row r="1527">
          <cell r="A1527" t="str">
            <v>325887-B21</v>
          </cell>
          <cell r="B1527" t="str">
            <v xml:space="preserve">ISL Trunking Switch 2/64 </v>
          </cell>
          <cell r="C1527" t="str">
            <v>U5814E</v>
          </cell>
          <cell r="E1527" t="str">
            <v>HP CP 1Y SWsptM-F Strg Hi $29.5k-32.5</v>
          </cell>
          <cell r="F1527">
            <v>9378000</v>
          </cell>
        </row>
        <row r="1528">
          <cell r="A1528" t="str">
            <v>325886-B21</v>
          </cell>
          <cell r="B1528" t="str">
            <v xml:space="preserve">Extended Fabric Switch 2/64 </v>
          </cell>
          <cell r="C1528" t="str">
            <v>U5815E</v>
          </cell>
          <cell r="E1528" t="str">
            <v>HP CP 1Y SWspt24x7 Strg Hi $29.5k-32.5</v>
          </cell>
          <cell r="F1528">
            <v>11722000</v>
          </cell>
        </row>
        <row r="1529">
          <cell r="C1529" t="str">
            <v>U5816E</v>
          </cell>
          <cell r="E1529" t="str">
            <v>HP CP 3Y SWsptM-F Strg High $29.5k-32.5</v>
          </cell>
          <cell r="F1529">
            <v>31396000</v>
          </cell>
        </row>
        <row r="1530">
          <cell r="C1530" t="str">
            <v>U5817E</v>
          </cell>
          <cell r="E1530" t="str">
            <v>HP CP 3Y SWspt24x7 Strg High $29.5k-32.5</v>
          </cell>
          <cell r="F1530">
            <v>39244000</v>
          </cell>
        </row>
        <row r="1533">
          <cell r="C1533" t="str">
            <v>U5818E</v>
          </cell>
          <cell r="E1533" t="str">
            <v>HP CP 1Y SWsptM-F Strg High $32.5k-36.5</v>
          </cell>
          <cell r="F1533">
            <v>10436000</v>
          </cell>
        </row>
        <row r="1534">
          <cell r="C1534" t="str">
            <v>U5819E</v>
          </cell>
          <cell r="E1534" t="str">
            <v>HP CP 1Y SWspt24x7 Strg High $32.5k-36.5</v>
          </cell>
          <cell r="F1534">
            <v>13045000</v>
          </cell>
        </row>
        <row r="1535">
          <cell r="C1535" t="str">
            <v>U5820E</v>
          </cell>
          <cell r="E1535" t="str">
            <v>HP CP 3Y SWsptM-F Strg High $32.5k-36.5</v>
          </cell>
          <cell r="F1535">
            <v>34939000</v>
          </cell>
        </row>
        <row r="1536">
          <cell r="C1536" t="str">
            <v>U5821E</v>
          </cell>
          <cell r="E1536" t="str">
            <v>HP CP 3Y SWspt24x7 Strg High $32.5k-36.5</v>
          </cell>
          <cell r="F1536">
            <v>43675000</v>
          </cell>
        </row>
        <row r="1539">
          <cell r="C1539" t="str">
            <v>U5822E</v>
          </cell>
          <cell r="E1539" t="str">
            <v>HP CP 1Y SWsptM-F Strg High $36.5k-40.5</v>
          </cell>
          <cell r="F1539">
            <v>11646000</v>
          </cell>
        </row>
        <row r="1540">
          <cell r="A1540" t="str">
            <v>263674-291</v>
          </cell>
          <cell r="B1540" t="str">
            <v xml:space="preserve">ENT VOL-JA AGT 25 SYS LIC JPN2 </v>
          </cell>
          <cell r="C1540" t="str">
            <v>U5823E</v>
          </cell>
          <cell r="E1540" t="str">
            <v>HP CP 1Y SWspt24x7 Strg High $36.5k-40.5</v>
          </cell>
          <cell r="F1540">
            <v>14557000</v>
          </cell>
        </row>
        <row r="1541">
          <cell r="A1541" t="str">
            <v>263674-B22</v>
          </cell>
          <cell r="B1541" t="str">
            <v xml:space="preserve">EVM V2.0D - 25 additional LTU </v>
          </cell>
          <cell r="C1541" t="str">
            <v>U5824E</v>
          </cell>
          <cell r="E1541" t="str">
            <v>HP CP 3Y SWsptM-F Strg High $36.5k-40.5</v>
          </cell>
          <cell r="F1541">
            <v>38991000</v>
          </cell>
        </row>
        <row r="1542">
          <cell r="A1542" t="str">
            <v>332926-B21</v>
          </cell>
          <cell r="B1542" t="str">
            <v xml:space="preserve">SAN Security SAN Core 2/64 w/4.1 FW </v>
          </cell>
          <cell r="C1542" t="str">
            <v>U5825E</v>
          </cell>
          <cell r="E1542" t="str">
            <v>HP CP 3Y SWspt24x7 Strg High $36.5k-40.5</v>
          </cell>
          <cell r="F1542">
            <v>48739000</v>
          </cell>
        </row>
        <row r="1546">
          <cell r="C1546" t="str">
            <v>U5826E</v>
          </cell>
          <cell r="E1546" t="str">
            <v>HP CP 1Y SWsptM-F Strg High $40.5k-45.5</v>
          </cell>
          <cell r="F1546">
            <v>13008000</v>
          </cell>
        </row>
        <row r="1547">
          <cell r="A1547" t="str">
            <v>330883-B21</v>
          </cell>
          <cell r="B1547" t="str">
            <v xml:space="preserve">'Remote Switch 2/64 </v>
          </cell>
          <cell r="C1547" t="str">
            <v>U5827E</v>
          </cell>
          <cell r="E1547" t="str">
            <v>HP CP 1Y SWspt24x7 Strg High $40.5k-45.5</v>
          </cell>
          <cell r="F1547">
            <v>16260000</v>
          </cell>
        </row>
        <row r="1548">
          <cell r="C1548" t="str">
            <v>U5828E</v>
          </cell>
          <cell r="E1548" t="str">
            <v>HP CP 3Y SWsptM-F Strg High $40.5k-45.5</v>
          </cell>
          <cell r="F1548">
            <v>43548000</v>
          </cell>
        </row>
        <row r="1549">
          <cell r="C1549" t="str">
            <v>U5829E</v>
          </cell>
          <cell r="E1549" t="str">
            <v>HP CP 3Y SWspt24x7 Strg High $40.5k-45.5</v>
          </cell>
          <cell r="F1549">
            <v>54436000</v>
          </cell>
        </row>
        <row r="1552">
          <cell r="C1552" t="str">
            <v>U5830E</v>
          </cell>
          <cell r="E1552" t="str">
            <v>HP CP 1Y SWsptM-F Strg Hi $45.5k-50.5</v>
          </cell>
          <cell r="F1552">
            <v>14520000</v>
          </cell>
        </row>
        <row r="1553">
          <cell r="C1553" t="str">
            <v>U5831E</v>
          </cell>
          <cell r="E1553" t="str">
            <v>HP CP 1Y SWspt24x7 Strg High $45.5k-50.5</v>
          </cell>
          <cell r="F1553">
            <v>18150000</v>
          </cell>
        </row>
        <row r="1554">
          <cell r="C1554" t="str">
            <v>U5832E</v>
          </cell>
          <cell r="E1554" t="str">
            <v>HP CP 3Y SWsptM-F Strg High $45.5k-50.5</v>
          </cell>
          <cell r="F1554">
            <v>48612000</v>
          </cell>
        </row>
        <row r="1555">
          <cell r="C1555" t="str">
            <v>U5833E</v>
          </cell>
          <cell r="E1555" t="str">
            <v>HP CP 3Y SWspt24x7 Strg High $45.5k-50.5</v>
          </cell>
          <cell r="F1555">
            <v>60765000</v>
          </cell>
        </row>
        <row r="1558">
          <cell r="C1558" t="str">
            <v>U5834E</v>
          </cell>
          <cell r="E1558" t="str">
            <v>HP CP 1Y SWsptM-F Strg High $50.5k-58.5</v>
          </cell>
          <cell r="F1558">
            <v>16487000</v>
          </cell>
        </row>
        <row r="1559">
          <cell r="C1559" t="str">
            <v>U5835E</v>
          </cell>
          <cell r="E1559" t="str">
            <v>HP CP 1Y SWspt24x7 Strg High $50.5k-58.5</v>
          </cell>
          <cell r="F1559">
            <v>20607000</v>
          </cell>
        </row>
        <row r="1560">
          <cell r="C1560" t="str">
            <v>U5836E</v>
          </cell>
          <cell r="E1560" t="str">
            <v>HP CP 3Y SWsptM-F Strg High $50.5k-58.5</v>
          </cell>
          <cell r="F1560">
            <v>55195000</v>
          </cell>
        </row>
        <row r="1561">
          <cell r="C1561" t="str">
            <v>U5837E</v>
          </cell>
          <cell r="E1561" t="str">
            <v>HP CP 3Y SWspt24x7 Strg High $50.5k-58.5</v>
          </cell>
          <cell r="F1561">
            <v>68994000</v>
          </cell>
        </row>
        <row r="1564">
          <cell r="C1564" t="str">
            <v>U5838E</v>
          </cell>
          <cell r="E1564" t="str">
            <v>HP CP 1Y SWsptM-F Strg High $58.5k-66.5</v>
          </cell>
          <cell r="F1564">
            <v>18907000</v>
          </cell>
        </row>
        <row r="1565">
          <cell r="C1565" t="str">
            <v>U5839E</v>
          </cell>
          <cell r="E1565" t="str">
            <v>HP CP 1Y SWspt24x7 Strg High $58.5k-66.5</v>
          </cell>
          <cell r="F1565">
            <v>23632000</v>
          </cell>
        </row>
        <row r="1566">
          <cell r="C1566" t="str">
            <v>U5840E</v>
          </cell>
          <cell r="E1566" t="str">
            <v>HP CP 3Y SWsptM-F Strg High $58.5k-66.5</v>
          </cell>
          <cell r="F1566">
            <v>63298000</v>
          </cell>
        </row>
        <row r="1567">
          <cell r="C1567" t="str">
            <v>U5841E</v>
          </cell>
          <cell r="E1567" t="str">
            <v>HP CP 3Y SWspt24x7 Strg High $58.5k-66.5</v>
          </cell>
          <cell r="F1567">
            <v>79122000</v>
          </cell>
        </row>
        <row r="1570">
          <cell r="C1570" t="str">
            <v>U5842E</v>
          </cell>
          <cell r="E1570" t="str">
            <v>HP CP 1Y SWsptM-F Strg High $66.5k-76.5</v>
          </cell>
          <cell r="F1570">
            <v>21629000</v>
          </cell>
        </row>
        <row r="1571">
          <cell r="C1571" t="str">
            <v>U5843E</v>
          </cell>
          <cell r="E1571" t="str">
            <v>HP CP 1Y SWspt24x7 Strg High $66.5k-76.5</v>
          </cell>
          <cell r="F1571">
            <v>27036000</v>
          </cell>
        </row>
        <row r="1572">
          <cell r="C1572" t="str">
            <v>U5844E</v>
          </cell>
          <cell r="E1572" t="str">
            <v>HP CP 3Y SWsptM-F Strg High $66.5k-76.5</v>
          </cell>
          <cell r="F1572">
            <v>72413000</v>
          </cell>
        </row>
        <row r="1573">
          <cell r="C1573" t="str">
            <v>U5845E</v>
          </cell>
          <cell r="E1573" t="str">
            <v>HP CP 3Y SWspt24x7 Strg High $66.5k-76.5</v>
          </cell>
          <cell r="F1573">
            <v>90515000</v>
          </cell>
        </row>
        <row r="1576">
          <cell r="C1576" t="str">
            <v>U5846E</v>
          </cell>
          <cell r="E1576" t="str">
            <v>HP CP 1Y SWsptM-F Strg High $76.5k-86.5</v>
          </cell>
          <cell r="F1576">
            <v>24654000</v>
          </cell>
        </row>
        <row r="1577">
          <cell r="C1577" t="str">
            <v>U5847E</v>
          </cell>
          <cell r="E1577" t="str">
            <v>HP CP 1Y SWspt24x7 Strg High $76.5k-86.5</v>
          </cell>
          <cell r="F1577">
            <v>30817000</v>
          </cell>
        </row>
        <row r="1578">
          <cell r="C1578" t="str">
            <v>U5848E</v>
          </cell>
          <cell r="E1578" t="str">
            <v>HP CP 3Y SWsptM-F Strg High $76.5k-86.5</v>
          </cell>
          <cell r="F1578">
            <v>82541000</v>
          </cell>
        </row>
        <row r="1579">
          <cell r="C1579" t="str">
            <v>U5849E</v>
          </cell>
          <cell r="E1579" t="str">
            <v>HP CP 3Y SWspt24x7 Strg High $76.5k-86.5</v>
          </cell>
          <cell r="F1579">
            <v>103176000</v>
          </cell>
        </row>
        <row r="1582">
          <cell r="C1582" t="str">
            <v>U5850E</v>
          </cell>
          <cell r="E1582" t="str">
            <v>HP CP 1Y SWsptM-F Strg High $86.5k-96.5</v>
          </cell>
          <cell r="F1582">
            <v>27679000</v>
          </cell>
        </row>
        <row r="1583">
          <cell r="C1583" t="str">
            <v>U5851E</v>
          </cell>
          <cell r="E1583" t="str">
            <v>HP CP 1Y SWspt24x7 Strg High $86.5k-96.5</v>
          </cell>
          <cell r="F1583">
            <v>34598000</v>
          </cell>
        </row>
        <row r="1584">
          <cell r="C1584" t="str">
            <v>U5852E</v>
          </cell>
          <cell r="E1584" t="str">
            <v>HP CP 3Y SWsptM-F Strg High $86.5k-96.5</v>
          </cell>
          <cell r="F1584">
            <v>92669000</v>
          </cell>
        </row>
        <row r="1585">
          <cell r="C1585" t="str">
            <v>U5853E</v>
          </cell>
          <cell r="E1585" t="str">
            <v>HP CP 3Y SWspt24x7 Strg High $86.5k-96.5</v>
          </cell>
          <cell r="F1585">
            <v>115835000</v>
          </cell>
        </row>
        <row r="1588">
          <cell r="C1588" t="str">
            <v>U5854E</v>
          </cell>
          <cell r="E1588" t="str">
            <v>HP CP 1Y SWsptM-F Strg Hi $96.5K-106.5</v>
          </cell>
          <cell r="F1588">
            <v>30704000</v>
          </cell>
        </row>
        <row r="1589">
          <cell r="C1589" t="str">
            <v>U5855E</v>
          </cell>
          <cell r="E1589" t="str">
            <v>HP CP 1Y SWspt24x7 Strg Hi $96.5K-106.5</v>
          </cell>
          <cell r="F1589">
            <v>38380000</v>
          </cell>
        </row>
        <row r="1590">
          <cell r="C1590" t="str">
            <v>U5856E</v>
          </cell>
          <cell r="E1590" t="str">
            <v>HP CP 3Y SWsptM-F Strg Hi $96.5K-106.5</v>
          </cell>
          <cell r="F1590">
            <v>102796000</v>
          </cell>
        </row>
        <row r="1591">
          <cell r="C1591" t="str">
            <v>U5857E</v>
          </cell>
          <cell r="E1591" t="str">
            <v>HP CP 3Y SWspt24x7 Strg Hi $96.5K-106.5</v>
          </cell>
          <cell r="F1591">
            <v>128495000</v>
          </cell>
        </row>
        <row r="1594">
          <cell r="C1594" t="str">
            <v>U5858E</v>
          </cell>
          <cell r="E1594" t="str">
            <v>HP CP 1Y SWsptM-F Storage High $121K</v>
          </cell>
          <cell r="F1594">
            <v>36603000</v>
          </cell>
        </row>
        <row r="1595">
          <cell r="C1595" t="str">
            <v>U5859E</v>
          </cell>
          <cell r="E1595" t="str">
            <v>HP CP 1Y SWspt24x7 Storage High $121K</v>
          </cell>
          <cell r="F1595">
            <v>45754000</v>
          </cell>
        </row>
        <row r="1596">
          <cell r="C1596" t="str">
            <v>U5860E</v>
          </cell>
          <cell r="E1596" t="str">
            <v>HP CP 3Y SWsptM-F Storage High $121K</v>
          </cell>
          <cell r="F1596">
            <v>122546000</v>
          </cell>
        </row>
        <row r="1597">
          <cell r="C1597" t="str">
            <v>U5861E</v>
          </cell>
          <cell r="E1597" t="str">
            <v>HP CP 3Y SWspt24x7 Storage High $121K</v>
          </cell>
          <cell r="F1597">
            <v>153182000</v>
          </cell>
        </row>
        <row r="1600">
          <cell r="C1600" t="str">
            <v>U5931A</v>
          </cell>
          <cell r="E1600" t="str">
            <v>HP CP 1Y SWsptM-F Strg Low $201-400</v>
          </cell>
          <cell r="F1600">
            <v>91000</v>
          </cell>
        </row>
        <row r="1601">
          <cell r="C1601" t="str">
            <v>U5932A</v>
          </cell>
          <cell r="E1601" t="str">
            <v>HP CP 1Y SWspt24x7 Strg Low $201-400</v>
          </cell>
          <cell r="F1601">
            <v>113000</v>
          </cell>
        </row>
        <row r="1602">
          <cell r="C1602" t="str">
            <v>U5933A</v>
          </cell>
          <cell r="E1602" t="str">
            <v>HP CP 3Y SWsptM-F Strg Low $201-400</v>
          </cell>
          <cell r="F1602">
            <v>264000</v>
          </cell>
        </row>
        <row r="1603">
          <cell r="C1603" t="str">
            <v>U5934A</v>
          </cell>
          <cell r="E1603" t="str">
            <v>HP CP 3Y SWspt24x7 Strg Low $201-400</v>
          </cell>
          <cell r="F1603">
            <v>330000</v>
          </cell>
        </row>
        <row r="1606">
          <cell r="A1606" t="str">
            <v>324508-B21</v>
          </cell>
          <cell r="B1606" t="str">
            <v xml:space="preserve">Quickloop 2/8, 2/16 SAN SW LTU </v>
          </cell>
          <cell r="C1606" t="str">
            <v>U5879A</v>
          </cell>
          <cell r="E1606" t="str">
            <v>HP CP 1Y SWsptM-F Strg Low $801-900</v>
          </cell>
          <cell r="F1606">
            <v>258000</v>
          </cell>
        </row>
        <row r="1607">
          <cell r="C1607" t="str">
            <v>U5880A</v>
          </cell>
          <cell r="E1607" t="str">
            <v>HP CP 1Y SWspt24x7 Strg Low $801-900</v>
          </cell>
          <cell r="F1607">
            <v>321000</v>
          </cell>
        </row>
        <row r="1608">
          <cell r="C1608" t="str">
            <v>U5881A</v>
          </cell>
          <cell r="E1608" t="str">
            <v>HP CP 3Y SWsptM-F Strg Low $801-900</v>
          </cell>
          <cell r="F1608">
            <v>749000</v>
          </cell>
        </row>
        <row r="1609">
          <cell r="C1609" t="str">
            <v>U5882A</v>
          </cell>
          <cell r="E1609" t="str">
            <v>HP CP 3Y SWspt24x7 Strg Low $801-900</v>
          </cell>
          <cell r="F1609">
            <v>935000</v>
          </cell>
        </row>
        <row r="1612">
          <cell r="A1612" t="str">
            <v>T1002A</v>
          </cell>
          <cell r="B1612" t="str">
            <v>Entrprise Mgmt Smart Plug-Ins for Commd Vw 1 Host LTU; SW Media Kit</v>
          </cell>
          <cell r="C1612" t="str">
            <v>U5883A</v>
          </cell>
          <cell r="E1612" t="str">
            <v>HP CP 1Y SWsptM-F Strg Low $901-1000</v>
          </cell>
          <cell r="F1612">
            <v>287000</v>
          </cell>
        </row>
        <row r="1613">
          <cell r="C1613" t="str">
            <v>U5884A</v>
          </cell>
          <cell r="E1613" t="str">
            <v>HP CP 1Y SWspt24x7 Strg Low $901-1000</v>
          </cell>
          <cell r="F1613">
            <v>360000</v>
          </cell>
        </row>
        <row r="1614">
          <cell r="C1614" t="str">
            <v>U5885A</v>
          </cell>
          <cell r="E1614" t="str">
            <v>HP CP 3Y SWsptM-F Strg Low $901-1000</v>
          </cell>
          <cell r="F1614">
            <v>837000</v>
          </cell>
        </row>
        <row r="1615">
          <cell r="C1615" t="str">
            <v>U5886A</v>
          </cell>
          <cell r="E1615" t="str">
            <v>HP CP 3Y SWspt24x7 Strg Low $901-1000</v>
          </cell>
          <cell r="F1615">
            <v>1045000</v>
          </cell>
        </row>
        <row r="1618">
          <cell r="A1618" t="str">
            <v>T1004A</v>
          </cell>
          <cell r="B1618" t="str">
            <v xml:space="preserve">Secure Manager VA SW Media Kit for 500 GB LTU </v>
          </cell>
          <cell r="C1618" t="str">
            <v>U5887A</v>
          </cell>
          <cell r="E1618" t="str">
            <v>HP CP 1Y SWsptM-F Strg Low $2001-2400</v>
          </cell>
          <cell r="F1618">
            <v>665000</v>
          </cell>
        </row>
        <row r="1619">
          <cell r="A1619" t="str">
            <v>T1011A</v>
          </cell>
          <cell r="B1619" t="str">
            <v>Auto Path VA for Win 2000 1 Host LTU w/SW Media Kit</v>
          </cell>
          <cell r="C1619" t="str">
            <v>U5888A</v>
          </cell>
          <cell r="E1619" t="str">
            <v>HP CP 1Y SWspt24x7 Strg Low $2001-2400</v>
          </cell>
          <cell r="F1619">
            <v>832000</v>
          </cell>
        </row>
        <row r="1620">
          <cell r="A1620" t="str">
            <v>T1012A</v>
          </cell>
          <cell r="B1620" t="str">
            <v>Auto Path VA for Win 2000 1 Host LTU</v>
          </cell>
          <cell r="C1620" t="str">
            <v>U5889A</v>
          </cell>
          <cell r="E1620" t="str">
            <v>HP CP 3Y SWsptM-F Strg Low $2001-2400</v>
          </cell>
          <cell r="F1620">
            <v>1937000</v>
          </cell>
        </row>
        <row r="1621">
          <cell r="A1621" t="str">
            <v>T1039A</v>
          </cell>
          <cell r="B1621" t="str">
            <v>Auto Path VA for Win NT 4.0 1 Host LTU w/SW Media Kit</v>
          </cell>
          <cell r="C1621" t="str">
            <v>U5890A</v>
          </cell>
          <cell r="E1621" t="str">
            <v>HP CP 3Y SWspt24x7 Strg Low $2001-2400</v>
          </cell>
          <cell r="F1621">
            <v>2420000</v>
          </cell>
        </row>
        <row r="1622">
          <cell r="A1622" t="str">
            <v>T1040A</v>
          </cell>
          <cell r="B1622" t="str">
            <v xml:space="preserve">Auto Path VA for Win NT 4.0 1 Host LTU </v>
          </cell>
        </row>
        <row r="1623">
          <cell r="A1623" t="str">
            <v>T1044A</v>
          </cell>
          <cell r="B1623" t="str">
            <v>Auto Path VA for Linux Red Hat 6.2/7.1 1 Host LTU w/SW Media Kit</v>
          </cell>
        </row>
        <row r="1624">
          <cell r="A1624" t="str">
            <v>T1045A</v>
          </cell>
          <cell r="B1624" t="str">
            <v xml:space="preserve">Auto Path VA for Linux Red Hat 6.2/7.1 1 Host LTU </v>
          </cell>
        </row>
        <row r="1625">
          <cell r="A1625" t="str">
            <v>T1070A</v>
          </cell>
          <cell r="B1625" t="str">
            <v>Auto Path VA for Win Server 2003 1 Host LTU &amp; SW Kit</v>
          </cell>
        </row>
        <row r="1626">
          <cell r="A1626" t="str">
            <v>T1071A</v>
          </cell>
          <cell r="B1626" t="str">
            <v>AutoPathVA for Win Server 2003 1 Host LTU</v>
          </cell>
        </row>
        <row r="1627">
          <cell r="A1627" t="str">
            <v>324507-B21</v>
          </cell>
          <cell r="B1627" t="str">
            <v xml:space="preserve">Advanced Perf Monitor 2/8 SAN SW LTU </v>
          </cell>
        </row>
        <row r="1628">
          <cell r="A1628" t="str">
            <v>288162-B21</v>
          </cell>
          <cell r="B1628" t="str">
            <v xml:space="preserve">2/8EL Upgrd Kit ALL </v>
          </cell>
        </row>
        <row r="1629">
          <cell r="A1629" t="str">
            <v>317069-B21</v>
          </cell>
          <cell r="B1629" t="str">
            <v xml:space="preserve">2/16 Santegrity BD LC LTU </v>
          </cell>
        </row>
        <row r="1630">
          <cell r="A1630" t="str">
            <v>317070-B21</v>
          </cell>
          <cell r="B1630" t="str">
            <v xml:space="preserve">'2/24 Santegrity BD LC LTU </v>
          </cell>
        </row>
        <row r="1633">
          <cell r="A1633" t="str">
            <v>325891-B21</v>
          </cell>
          <cell r="B1633" t="str">
            <v xml:space="preserve">Remote Switch 2/8, 2/16 SAN SW LTU </v>
          </cell>
          <cell r="C1633" t="str">
            <v>U5891A</v>
          </cell>
          <cell r="E1633" t="str">
            <v>HP CP 1Y SWsptM-F Strg Low $2801-3200</v>
          </cell>
          <cell r="F1633">
            <v>908000</v>
          </cell>
        </row>
        <row r="1634">
          <cell r="A1634" t="str">
            <v>325888-B21</v>
          </cell>
          <cell r="B1634" t="str">
            <v xml:space="preserve">San Switch 2/8-EL Upgrade </v>
          </cell>
          <cell r="C1634" t="str">
            <v>U5892A</v>
          </cell>
          <cell r="E1634" t="str">
            <v>HP CP 1Y SWspt24x7 Strg Low $2801-3200</v>
          </cell>
          <cell r="F1634">
            <v>1134000</v>
          </cell>
        </row>
        <row r="1635">
          <cell r="A1635" t="str">
            <v>317071-B21</v>
          </cell>
          <cell r="B1635" t="str">
            <v xml:space="preserve">2/32 Santegrity BD LC LTU </v>
          </cell>
          <cell r="C1635" t="str">
            <v>U5893A</v>
          </cell>
          <cell r="E1635" t="str">
            <v>HP CP 3Y SWsptM-F Strg Low $2801-3200</v>
          </cell>
          <cell r="F1635">
            <v>2641000</v>
          </cell>
        </row>
        <row r="1636">
          <cell r="C1636" t="str">
            <v>U5894A</v>
          </cell>
          <cell r="E1636" t="str">
            <v>HP CP 3Y SWspt24x7 Strg Low $2801-3200</v>
          </cell>
          <cell r="F1636">
            <v>3300000</v>
          </cell>
        </row>
        <row r="1639">
          <cell r="A1639" t="str">
            <v>T1005A</v>
          </cell>
          <cell r="B1639" t="str">
            <v xml:space="preserve">Secure Manager VA SW Media Kit for 1 TB LTU </v>
          </cell>
          <cell r="C1639" t="str">
            <v>U9922A</v>
          </cell>
          <cell r="E1639" t="str">
            <v>HP CP 1Y SWsptM-F Strg Low $3201-3600</v>
          </cell>
          <cell r="F1639">
            <v>1028000</v>
          </cell>
        </row>
        <row r="1640">
          <cell r="A1640" t="str">
            <v>T1060A</v>
          </cell>
          <cell r="B1640" t="str">
            <v>Auto Path VA for HP-UX 1 Host LTU w/SW Media Kit</v>
          </cell>
          <cell r="C1640" t="str">
            <v>U9923A</v>
          </cell>
          <cell r="E1640" t="str">
            <v>HP CP 1Y SWspt24x7 Strg Low $3201-3600</v>
          </cell>
          <cell r="F1640">
            <v>1286000</v>
          </cell>
        </row>
        <row r="1641">
          <cell r="A1641" t="str">
            <v>T1061A</v>
          </cell>
          <cell r="B1641" t="str">
            <v xml:space="preserve">Auto Path VA for HP-UX 1 Host LTU </v>
          </cell>
          <cell r="C1641" t="str">
            <v>U9924A</v>
          </cell>
          <cell r="E1641" t="str">
            <v>HP CP 3Y SWsptM-F Strg Low $3201-3600</v>
          </cell>
          <cell r="F1641">
            <v>2993000</v>
          </cell>
        </row>
        <row r="1642">
          <cell r="C1642" t="str">
            <v>U9925A</v>
          </cell>
          <cell r="E1642" t="str">
            <v>HP CP 3Y SWspt24x7 Strg Low $3201-3600</v>
          </cell>
          <cell r="F1642">
            <v>3741000</v>
          </cell>
        </row>
        <row r="1645">
          <cell r="C1645" t="str">
            <v>U5895A</v>
          </cell>
          <cell r="E1645" t="str">
            <v>HP CP 1Y SWsptM-F Strg Low $3601-4000</v>
          </cell>
          <cell r="F1645">
            <v>1150000</v>
          </cell>
        </row>
        <row r="1646">
          <cell r="A1646" t="str">
            <v>T1086A</v>
          </cell>
          <cell r="B1646" t="str">
            <v>StorageWorks Command View SDM LTU</v>
          </cell>
          <cell r="C1646" t="str">
            <v>U5896A</v>
          </cell>
          <cell r="E1646" t="str">
            <v>HP CP 1Y SWspt24x7 Strg Low $3601-4000</v>
          </cell>
          <cell r="F1646">
            <v>1437000</v>
          </cell>
        </row>
        <row r="1647">
          <cell r="A1647" t="str">
            <v>324505-B21</v>
          </cell>
          <cell r="B1647" t="str">
            <v xml:space="preserve">Extended Fabric 2/8, 2/16 SAN SW LTU </v>
          </cell>
          <cell r="C1647" t="str">
            <v>U5897A</v>
          </cell>
          <cell r="E1647" t="str">
            <v>HP CP 3Y SWsptM-F Strg Low $3601-4000</v>
          </cell>
          <cell r="F1647">
            <v>3345000</v>
          </cell>
        </row>
        <row r="1648">
          <cell r="A1648" t="str">
            <v>324506-B21</v>
          </cell>
          <cell r="B1648" t="str">
            <v xml:space="preserve">ISL Trunking 2/8, 2/16 SAN SW LTU </v>
          </cell>
          <cell r="C1648" t="str">
            <v>U5898A</v>
          </cell>
          <cell r="E1648" t="str">
            <v>HP CP 3Y SWspt24x7 Strg Low $3601-4000</v>
          </cell>
          <cell r="F1648">
            <v>4181000</v>
          </cell>
        </row>
        <row r="1649">
          <cell r="A1649" t="str">
            <v>313454-B21</v>
          </cell>
          <cell r="B1649" t="str">
            <v xml:space="preserve">2/32 Fabric Watch LTU ALL </v>
          </cell>
        </row>
        <row r="1652">
          <cell r="A1652" t="str">
            <v>332923-B21</v>
          </cell>
          <cell r="B1652" t="str">
            <v>SAN Security 1Gb/s SAN Switches V2.6.1FW</v>
          </cell>
          <cell r="C1652" t="str">
            <v>U5899A</v>
          </cell>
          <cell r="E1652" t="str">
            <v>HP CP 1Y SWsptM-F Strg Low $4001-4500</v>
          </cell>
          <cell r="F1652">
            <v>1286000</v>
          </cell>
        </row>
        <row r="1653">
          <cell r="A1653" t="str">
            <v>332924-B21</v>
          </cell>
          <cell r="B1653" t="str">
            <v>SAN Security 2/8EL-2/16 Switches V3.1 FW</v>
          </cell>
          <cell r="C1653" t="str">
            <v>U5900A</v>
          </cell>
          <cell r="E1653" t="str">
            <v>HP CP 1Y SWspt24x7 Strg Low $4001-4500</v>
          </cell>
          <cell r="F1653">
            <v>1607000</v>
          </cell>
        </row>
        <row r="1654">
          <cell r="A1654" t="str">
            <v>313450-B21</v>
          </cell>
          <cell r="B1654" t="str">
            <v>San Switch 2/32 Adv Perf Monitor LTU ALL</v>
          </cell>
          <cell r="C1654" t="str">
            <v>U5901A</v>
          </cell>
          <cell r="E1654" t="str">
            <v>HP CP 3Y SWsptM-F Strg Low $4001-4500</v>
          </cell>
          <cell r="F1654">
            <v>3741000</v>
          </cell>
        </row>
        <row r="1655">
          <cell r="A1655" t="str">
            <v>313458-B21</v>
          </cell>
          <cell r="B1655" t="str">
            <v xml:space="preserve">Extended Fabrics, SAN Switch 2/32 </v>
          </cell>
          <cell r="C1655" t="str">
            <v>U5902A</v>
          </cell>
          <cell r="E1655" t="str">
            <v>HP CP 3Y SWspt24x7 Strg Low $4001-4500</v>
          </cell>
          <cell r="F1655">
            <v>4676000</v>
          </cell>
        </row>
        <row r="1658">
          <cell r="C1658" t="str">
            <v>U5903A</v>
          </cell>
          <cell r="E1658" t="str">
            <v>HP CP 1Y SWsptM-F Strg Low $4501-5000</v>
          </cell>
          <cell r="F1658">
            <v>1437000</v>
          </cell>
        </row>
        <row r="1659">
          <cell r="C1659" t="str">
            <v>U5904A</v>
          </cell>
          <cell r="E1659" t="str">
            <v>HP CP 1Y SWspt24x7 Strg Low $4501-5000</v>
          </cell>
          <cell r="F1659">
            <v>1797000</v>
          </cell>
        </row>
        <row r="1660">
          <cell r="C1660" t="str">
            <v>U5905A</v>
          </cell>
          <cell r="E1660" t="str">
            <v>HP CP 3Y SWsptM-F Strg Low $4501-5000</v>
          </cell>
          <cell r="F1660">
            <v>4181000</v>
          </cell>
        </row>
        <row r="1661">
          <cell r="C1661" t="str">
            <v>U5906A</v>
          </cell>
          <cell r="E1661" t="str">
            <v>HP CP 3Y SWspt24x7 Strg Low $4501-5000</v>
          </cell>
          <cell r="F1661">
            <v>5226000</v>
          </cell>
        </row>
        <row r="1664">
          <cell r="A1664" t="str">
            <v>T1008A</v>
          </cell>
          <cell r="B1664" t="str">
            <v>Business Copy Virtual Array 500 GB LTU</v>
          </cell>
          <cell r="C1664" t="str">
            <v>U5907A</v>
          </cell>
          <cell r="E1664" t="str">
            <v>HP CP 1Y SWsptM-F Strg Low $5001-5500</v>
          </cell>
          <cell r="F1664">
            <v>1588000</v>
          </cell>
        </row>
        <row r="1665">
          <cell r="A1665" t="str">
            <v>313452-B21</v>
          </cell>
          <cell r="B1665" t="str">
            <v xml:space="preserve">2/32 ISL Trunking LTU ALL </v>
          </cell>
          <cell r="C1665" t="str">
            <v>U5908A</v>
          </cell>
          <cell r="E1665" t="str">
            <v>HP CP 1Y SWspt24x7 Strg Low $5001-5500</v>
          </cell>
          <cell r="F1665">
            <v>1985000</v>
          </cell>
        </row>
        <row r="1666">
          <cell r="C1666" t="str">
            <v>U5909A</v>
          </cell>
          <cell r="E1666" t="str">
            <v>HP CP 3Y SWsptM-F Strg Low $5001-5500</v>
          </cell>
          <cell r="F1666">
            <v>4621000</v>
          </cell>
        </row>
        <row r="1667">
          <cell r="C1667" t="str">
            <v>U5910A</v>
          </cell>
          <cell r="E1667" t="str">
            <v>HP CP 3Y SWspt24x7 Strg Low $5001-5500</v>
          </cell>
          <cell r="F1667">
            <v>5777000</v>
          </cell>
        </row>
        <row r="1670">
          <cell r="C1670" t="str">
            <v>U5911A</v>
          </cell>
          <cell r="E1670" t="str">
            <v>HP CP 1Y SWsptM-F Strg Low $6501-7500</v>
          </cell>
          <cell r="F1670">
            <v>2118000</v>
          </cell>
        </row>
        <row r="1671">
          <cell r="C1671" t="str">
            <v>U5912A</v>
          </cell>
          <cell r="E1671" t="str">
            <v>HP CP 1Y SWspt24x7 Strg Low $6501-7500</v>
          </cell>
          <cell r="F1671">
            <v>2647000</v>
          </cell>
        </row>
        <row r="1672">
          <cell r="C1672" t="str">
            <v>U5913A</v>
          </cell>
          <cell r="E1672" t="str">
            <v>HP CP 3Y SWsptM-F Strg Low $6501-7500</v>
          </cell>
          <cell r="F1672">
            <v>6161000</v>
          </cell>
        </row>
        <row r="1673">
          <cell r="C1673" t="str">
            <v>U5914A</v>
          </cell>
          <cell r="E1673" t="str">
            <v>HP CP 3Y SWspt24x7 Strg Low $6501-7500</v>
          </cell>
          <cell r="F1673">
            <v>7702000</v>
          </cell>
        </row>
        <row r="1676">
          <cell r="A1676" t="str">
            <v>T1009A</v>
          </cell>
          <cell r="B1676" t="str">
            <v>Business Copy Virtual Array 1 TB LTU</v>
          </cell>
          <cell r="C1676" t="str">
            <v>U5915A</v>
          </cell>
          <cell r="E1676" t="str">
            <v>HP CP 1Y SWsptM-F Strg Low $7501-8500</v>
          </cell>
          <cell r="F1676">
            <v>2420000</v>
          </cell>
        </row>
        <row r="1677">
          <cell r="A1677" t="str">
            <v>T1013A</v>
          </cell>
          <cell r="B1677" t="str">
            <v>Auto Path VA for Win2K 5 Host LTU</v>
          </cell>
          <cell r="C1677" t="str">
            <v>U5916A</v>
          </cell>
          <cell r="E1677" t="str">
            <v>HP CP 1Y SWspt24x7 Strg Low $7501-8500</v>
          </cell>
          <cell r="F1677">
            <v>3025000</v>
          </cell>
        </row>
        <row r="1678">
          <cell r="A1678" t="str">
            <v>T1041A</v>
          </cell>
          <cell r="B1678" t="str">
            <v>Auto Path VA for WinNT 5 Host LTU</v>
          </cell>
          <cell r="C1678" t="str">
            <v>U5917A</v>
          </cell>
          <cell r="E1678" t="str">
            <v>HP CP 3Y SWsptM-F Strg Low $7501-8500</v>
          </cell>
          <cell r="F1678">
            <v>7043000</v>
          </cell>
        </row>
        <row r="1679">
          <cell r="A1679" t="str">
            <v>T1046A</v>
          </cell>
          <cell r="B1679" t="str">
            <v>Auto Path VA for RedHat 5 host LTU</v>
          </cell>
          <cell r="C1679" t="str">
            <v>U5918A</v>
          </cell>
          <cell r="E1679" t="str">
            <v>HP CP 3Y SWspt24x7 Strg Low $7501-8500</v>
          </cell>
          <cell r="F1679">
            <v>8802000</v>
          </cell>
        </row>
        <row r="1680">
          <cell r="A1680" t="str">
            <v>T1072A</v>
          </cell>
          <cell r="B1680" t="str">
            <v>AutoPathVA-Win Server 2003 5 Host LTU</v>
          </cell>
        </row>
        <row r="1681">
          <cell r="A1681" t="str">
            <v>325892-B21</v>
          </cell>
          <cell r="B1681" t="str">
            <v xml:space="preserve">Power Pac Bundle 2/8,2/16 LTU </v>
          </cell>
        </row>
        <row r="1682">
          <cell r="A1682" t="str">
            <v>313460-B21</v>
          </cell>
          <cell r="B1682" t="str">
            <v xml:space="preserve">Remote Switch, SAN Switch 2/32 </v>
          </cell>
        </row>
        <row r="1684">
          <cell r="C1684" t="str">
            <v>U5919A</v>
          </cell>
          <cell r="E1684" t="str">
            <v>HP CP 1Y SWsptM-F Strg Low $10501-11500</v>
          </cell>
          <cell r="F1684">
            <v>3328000</v>
          </cell>
        </row>
        <row r="1685">
          <cell r="C1685" t="str">
            <v>U5920A</v>
          </cell>
          <cell r="E1685" t="str">
            <v>HP CP 1Y SWspt24x7 Strg Low $10501-11500</v>
          </cell>
          <cell r="F1685">
            <v>4159000</v>
          </cell>
        </row>
        <row r="1686">
          <cell r="C1686" t="str">
            <v>U5921A</v>
          </cell>
          <cell r="E1686" t="str">
            <v>HP CP 3Y SWsptM-F Strg Low $10501-11500</v>
          </cell>
          <cell r="F1686">
            <v>9683000</v>
          </cell>
        </row>
        <row r="1687">
          <cell r="C1687" t="str">
            <v>U5922A</v>
          </cell>
          <cell r="E1687" t="str">
            <v>HP CP 3Y SWspt24x7 Strg Low $10501-11500</v>
          </cell>
          <cell r="F1687">
            <v>12103000</v>
          </cell>
        </row>
        <row r="1690">
          <cell r="A1690" t="str">
            <v>T1006A</v>
          </cell>
          <cell r="B1690" t="str">
            <v>Secure Manager Virtual Array 5 TB LTU</v>
          </cell>
          <cell r="C1690" t="str">
            <v>U9926A</v>
          </cell>
          <cell r="E1690" t="str">
            <v xml:space="preserve">HP CP 1Y SWsptM-F Strg Low $11501-12500 </v>
          </cell>
          <cell r="F1690">
            <v>3630000</v>
          </cell>
        </row>
        <row r="1691">
          <cell r="A1691" t="str">
            <v>T1062A</v>
          </cell>
          <cell r="B1691" t="str">
            <v>Auto Path VA for HP UX 11.0 5 Host LTU</v>
          </cell>
          <cell r="C1691" t="str">
            <v>U9927A</v>
          </cell>
          <cell r="E1691" t="str">
            <v>HP CP 1Y SWspt24x7 Strg Low $11501-12500</v>
          </cell>
          <cell r="F1691">
            <v>4538000</v>
          </cell>
        </row>
        <row r="1692">
          <cell r="A1692" t="str">
            <v>313448-B21</v>
          </cell>
          <cell r="B1692" t="str">
            <v xml:space="preserve">San Switch 2/32 Per Bundle LTU ALL </v>
          </cell>
          <cell r="C1692" t="str">
            <v>U9928A</v>
          </cell>
          <cell r="E1692" t="str">
            <v>HP CP 3Y SWsptM-F Strg Low $11501-12500</v>
          </cell>
          <cell r="F1692">
            <v>10563000</v>
          </cell>
        </row>
        <row r="1693">
          <cell r="A1693" t="str">
            <v>288250-B21</v>
          </cell>
          <cell r="B1693" t="str">
            <v xml:space="preserve">2/16EL Upg Kit ALL </v>
          </cell>
          <cell r="C1693" t="str">
            <v>U9929A</v>
          </cell>
          <cell r="E1693" t="str">
            <v>HP CP 3Y SWsptM-F Strg Low $11501-12500</v>
          </cell>
          <cell r="F1693">
            <v>13204000</v>
          </cell>
        </row>
        <row r="1696">
          <cell r="A1696" t="str">
            <v>325889-B21</v>
          </cell>
          <cell r="B1696" t="str">
            <v xml:space="preserve">San Switch 2/16-EL Upgrade </v>
          </cell>
          <cell r="C1696" t="str">
            <v>U5923A</v>
          </cell>
          <cell r="E1696" t="str">
            <v>HP CP 1Y SWsptM-F Strg Low $13.5k-14.5</v>
          </cell>
          <cell r="F1696">
            <v>4235000</v>
          </cell>
        </row>
        <row r="1697">
          <cell r="C1697" t="str">
            <v>U5924A</v>
          </cell>
          <cell r="E1697" t="str">
            <v>HP CP 1Y SWspt24x7 Strg Low $13.5k-14.5</v>
          </cell>
          <cell r="F1697">
            <v>5294000</v>
          </cell>
        </row>
        <row r="1698">
          <cell r="C1698" t="str">
            <v>U5925A</v>
          </cell>
          <cell r="E1698" t="str">
            <v>HP CP 3Y SWsptM-F Strg Low $13.5k-14.5</v>
          </cell>
          <cell r="F1698">
            <v>12324000</v>
          </cell>
        </row>
        <row r="1699">
          <cell r="C1699" t="str">
            <v>U5926A</v>
          </cell>
          <cell r="E1699" t="str">
            <v>HP CP 3Y SWspt24x7 Strg Low $13.5k-14.5</v>
          </cell>
          <cell r="F1699">
            <v>15405000</v>
          </cell>
        </row>
        <row r="1702">
          <cell r="C1702" t="str">
            <v>U5927A</v>
          </cell>
          <cell r="E1702" t="str">
            <v>HP CP 1Y SWsptM-F Strg Low $15.5k-17.5</v>
          </cell>
          <cell r="F1702">
            <v>4991000</v>
          </cell>
        </row>
        <row r="1703">
          <cell r="C1703" t="str">
            <v>U5928A</v>
          </cell>
          <cell r="E1703" t="str">
            <v>HP CP 1Y SWspt24x7 Strg Low $15.5k-17.5</v>
          </cell>
          <cell r="F1703">
            <v>6238000</v>
          </cell>
        </row>
        <row r="1704">
          <cell r="C1704" t="str">
            <v>U5929A</v>
          </cell>
          <cell r="E1704" t="str">
            <v>HP CP 3Y SWsptM-F Strg Low $15.5k-17.5</v>
          </cell>
          <cell r="F1704">
            <v>14525000</v>
          </cell>
        </row>
        <row r="1705">
          <cell r="C1705" t="str">
            <v>U5930A</v>
          </cell>
          <cell r="E1705" t="str">
            <v>HP CP 3Y SWspt24x7 Strg Low $15.5k-17.5</v>
          </cell>
          <cell r="F1705">
            <v>18155000</v>
          </cell>
        </row>
        <row r="1708">
          <cell r="A1708" t="str">
            <v>T1010A</v>
          </cell>
          <cell r="B1708" t="str">
            <v>Business Copy Virtual Array 5 TB LTU</v>
          </cell>
          <cell r="C1708" t="str">
            <v>U9930A</v>
          </cell>
          <cell r="E1708" t="str">
            <v xml:space="preserve">HP CP 1Y SWsptM-F Strg Low $21501-23500 </v>
          </cell>
          <cell r="F1708">
            <v>6806000</v>
          </cell>
        </row>
        <row r="1709">
          <cell r="C1709" t="str">
            <v>U9931A</v>
          </cell>
          <cell r="E1709" t="str">
            <v>HP CP 1Y SWspt24x7 Stg Lw $21501-23500</v>
          </cell>
          <cell r="F1709">
            <v>8507000</v>
          </cell>
        </row>
        <row r="1710">
          <cell r="C1710" t="str">
            <v>U9932A</v>
          </cell>
          <cell r="E1710" t="str">
            <v>HP CP 3Y SWsptM-F Strg Low $21501-23500</v>
          </cell>
          <cell r="F1710">
            <v>19806000</v>
          </cell>
        </row>
        <row r="1711">
          <cell r="C1711" t="str">
            <v>U9933A</v>
          </cell>
          <cell r="E1711" t="str">
            <v>HP CP 3Y SWspt24x7 Stg Lw $21501-23500</v>
          </cell>
          <cell r="F1711">
            <v>24758000</v>
          </cell>
        </row>
        <row r="1714">
          <cell r="A1714" t="str">
            <v>288144-B21</v>
          </cell>
          <cell r="B1714" t="str">
            <v xml:space="preserve">SANworks ISL Trunking, Core Sw </v>
          </cell>
          <cell r="C1714" t="str">
            <v>U6292A</v>
          </cell>
          <cell r="E1714" t="str">
            <v>HP CP 1Y SWsptM-F Strg Low $23.5k-26.5</v>
          </cell>
          <cell r="F1714">
            <v>7563000</v>
          </cell>
        </row>
        <row r="1715">
          <cell r="C1715" t="str">
            <v>U6293A</v>
          </cell>
          <cell r="E1715" t="str">
            <v>HP CP 1Y SWspt24x7 Strg Low $23.5k-26.5</v>
          </cell>
          <cell r="F1715">
            <v>9453000</v>
          </cell>
        </row>
        <row r="1716">
          <cell r="C1716" t="str">
            <v>U6294A</v>
          </cell>
          <cell r="E1716" t="str">
            <v>HP CP 3Y SWsptM-F Strg Low $23.5k-26.5</v>
          </cell>
          <cell r="F1716">
            <v>22007000</v>
          </cell>
        </row>
        <row r="1717">
          <cell r="C1717" t="str">
            <v>U6295A</v>
          </cell>
          <cell r="E1717" t="str">
            <v>HP CP 3Y SWspt24x7 Strg Low $23.5k-26.5</v>
          </cell>
          <cell r="F1717">
            <v>27508000</v>
          </cell>
        </row>
        <row r="1720">
          <cell r="C1720" t="str">
            <v>UA294E</v>
          </cell>
          <cell r="E1720" t="str">
            <v>HP CP 3Y SW Spt OV SM wkgp LTU1</v>
          </cell>
          <cell r="F1720">
            <v>741000</v>
          </cell>
        </row>
        <row r="1721">
          <cell r="A1721" t="str">
            <v xml:space="preserve">344954-B21                </v>
          </cell>
          <cell r="B1721" t="str">
            <v xml:space="preserve">HP OV SM wrkgr LTU 1 </v>
          </cell>
          <cell r="C1721" t="str">
            <v>UA295E</v>
          </cell>
          <cell r="E1721" t="str">
            <v>HP CP 3Y 24x7 SW Spt OV SM wkgp LTU1</v>
          </cell>
          <cell r="F1721">
            <v>1023000</v>
          </cell>
        </row>
        <row r="1722">
          <cell r="C1722" t="str">
            <v>UA296E</v>
          </cell>
          <cell r="E1722" t="str">
            <v>HP CP 1Y 24x7 SW Spt OV SM wkgp LTU1</v>
          </cell>
          <cell r="F1722">
            <v>97000</v>
          </cell>
        </row>
        <row r="1727">
          <cell r="C1727" t="str">
            <v>U8266E</v>
          </cell>
          <cell r="E1727" t="str">
            <v>HP CP 3Y SWsptM-F OV SM svr LTU1</v>
          </cell>
          <cell r="F1727">
            <v>1442000</v>
          </cell>
        </row>
        <row r="1728">
          <cell r="A1728" t="str">
            <v>336243-B21</v>
          </cell>
          <cell r="B1728" t="str">
            <v xml:space="preserve">HP OV SM Svr LTU 1 </v>
          </cell>
          <cell r="C1728" t="str">
            <v>U8267E</v>
          </cell>
          <cell r="E1728" t="str">
            <v>HP CP 3Y SWspt24x7 OV SM svr LTU1</v>
          </cell>
          <cell r="F1728">
            <v>1925000</v>
          </cell>
        </row>
        <row r="1729">
          <cell r="C1729" t="str">
            <v>U8268E</v>
          </cell>
          <cell r="E1729" t="str">
            <v>HP CP 1Y SWspt24x7 OV SM svr LTU1</v>
          </cell>
          <cell r="F1729">
            <v>166000</v>
          </cell>
        </row>
        <row r="1732">
          <cell r="C1732" t="str">
            <v>UA297E</v>
          </cell>
          <cell r="E1732" t="str">
            <v>HP CP 3Y SW Spt OV SM wkgp LTU10</v>
          </cell>
          <cell r="F1732">
            <v>9216000</v>
          </cell>
        </row>
        <row r="1733">
          <cell r="A1733" t="str">
            <v xml:space="preserve">344955-B21            </v>
          </cell>
          <cell r="B1733" t="str">
            <v xml:space="preserve">HP OV SM wrkgr LTU 10 </v>
          </cell>
          <cell r="C1733" t="str">
            <v>UA298E</v>
          </cell>
          <cell r="E1733" t="str">
            <v>HP CP 3Y 24x7 SW Spt OV SM wkgp LTU10</v>
          </cell>
          <cell r="F1733">
            <v>12304000</v>
          </cell>
        </row>
        <row r="1734">
          <cell r="C1734" t="str">
            <v>UA299E</v>
          </cell>
          <cell r="E1734" t="str">
            <v>HP CP 1Y 24x7 SW Spt OV SM wkgp LTU10</v>
          </cell>
          <cell r="F1734">
            <v>1062000</v>
          </cell>
        </row>
        <row r="1739">
          <cell r="C1739" t="str">
            <v>U8269E</v>
          </cell>
          <cell r="E1739" t="str">
            <v>HP CP 3Y SWsptM-F OV SM wkgp/svr LTU10</v>
          </cell>
          <cell r="F1739">
            <v>14416000</v>
          </cell>
        </row>
        <row r="1740">
          <cell r="A1740" t="str">
            <v>336244-B21</v>
          </cell>
          <cell r="B1740" t="str">
            <v xml:space="preserve">HP OV SM v4.2 Svr LTU 10 </v>
          </cell>
          <cell r="C1740" t="str">
            <v>U8270E</v>
          </cell>
          <cell r="E1740" t="str">
            <v>HP CP 3Y SWspt24x7 OV SM wkgp/svr LTU10</v>
          </cell>
          <cell r="F1740">
            <v>19248000</v>
          </cell>
        </row>
        <row r="1741">
          <cell r="C1741" t="str">
            <v>U8271E</v>
          </cell>
          <cell r="E1741" t="str">
            <v>HP CP 1Y SWspt24x7 OV SM wkgp/svr LTU10</v>
          </cell>
          <cell r="F1741">
            <v>1660000</v>
          </cell>
        </row>
        <row r="1745">
          <cell r="A1745" t="str">
            <v>336245-B21</v>
          </cell>
          <cell r="B1745" t="str">
            <v xml:space="preserve">HP OV SM v4.2 Svr LTU 25 </v>
          </cell>
          <cell r="C1745" t="str">
            <v>U8272E</v>
          </cell>
          <cell r="E1745" t="str">
            <v>HP CP 3Y SWsptM-F OV SM svr LTU25</v>
          </cell>
          <cell r="F1745">
            <v>32434000</v>
          </cell>
        </row>
        <row r="1746">
          <cell r="C1746" t="str">
            <v>U8273E</v>
          </cell>
          <cell r="E1746" t="str">
            <v>HP CP 3Y SWspt24x7 OV SM svr LTU25</v>
          </cell>
          <cell r="F1746">
            <v>44789000</v>
          </cell>
        </row>
        <row r="1747">
          <cell r="C1747" t="str">
            <v>U8274E</v>
          </cell>
          <cell r="E1747" t="str">
            <v>HP CP 1Y SWspt24x7 OV SM svr LTU25</v>
          </cell>
          <cell r="F1747">
            <v>4246000</v>
          </cell>
        </row>
        <row r="1751">
          <cell r="A1751" t="str">
            <v>T2536AA</v>
          </cell>
          <cell r="B1751" t="str">
            <v xml:space="preserve">HP OV Storage Mirroring NAS Wrkgroup LTU 25 </v>
          </cell>
          <cell r="C1751" t="str">
            <v>UA287E</v>
          </cell>
          <cell r="E1751" t="str">
            <v>HP CP 3Y SW Spt OV SM NAS LTU25</v>
          </cell>
          <cell r="F1751">
            <v>17592000</v>
          </cell>
        </row>
        <row r="1752">
          <cell r="C1752" t="str">
            <v>UA288E</v>
          </cell>
          <cell r="E1752" t="str">
            <v>HP CP 3Y 24x7 SW Spt OV SM NAS LTU25</v>
          </cell>
          <cell r="F1752">
            <v>24293000</v>
          </cell>
        </row>
        <row r="1753">
          <cell r="C1753" t="str">
            <v>UA289E</v>
          </cell>
          <cell r="E1753" t="str">
            <v>HP CP 1Y 24x7 SW Spt OV SM NAS LTU25</v>
          </cell>
          <cell r="F1753">
            <v>2303000</v>
          </cell>
        </row>
        <row r="1757">
          <cell r="A1757" t="str">
            <v>336247-B21</v>
          </cell>
          <cell r="B1757" t="str">
            <v xml:space="preserve">HP OV SM v4.2 AdvSvr LTU 1 </v>
          </cell>
          <cell r="C1757" t="str">
            <v>U8275E</v>
          </cell>
          <cell r="E1757" t="str">
            <v>HP CP 3Y SWsptM-F OV SM Advsvr LTU1</v>
          </cell>
          <cell r="F1757">
            <v>2597000</v>
          </cell>
        </row>
        <row r="1758">
          <cell r="C1758" t="str">
            <v>U8276E</v>
          </cell>
          <cell r="E1758" t="str">
            <v>HP CP 3Y SWspt24x7 OV SM Advsvr LTU1</v>
          </cell>
          <cell r="F1758">
            <v>3468000</v>
          </cell>
        </row>
        <row r="1759">
          <cell r="C1759" t="str">
            <v>U8277E</v>
          </cell>
          <cell r="E1759" t="str">
            <v>HP CP 1Y SWspt24x7 OV SM Advsvr LTU1</v>
          </cell>
          <cell r="F1759">
            <v>299000</v>
          </cell>
        </row>
        <row r="1763">
          <cell r="A1763" t="str">
            <v>336248-B21</v>
          </cell>
          <cell r="B1763" t="str">
            <v xml:space="preserve">HP OV SM v4.2 AdvSvr LTU 10 </v>
          </cell>
          <cell r="C1763" t="str">
            <v>U8278E</v>
          </cell>
          <cell r="E1763" t="str">
            <v>HP CP 3Y SWsptM-F OV SM Advsvr LTU10</v>
          </cell>
          <cell r="F1763">
            <v>25971000</v>
          </cell>
        </row>
        <row r="1764">
          <cell r="C1764" t="str">
            <v>U8279E</v>
          </cell>
          <cell r="E1764" t="str">
            <v>HP CP 3Y SWspt24x7 OV SM Advsvr LTU10</v>
          </cell>
          <cell r="F1764">
            <v>34677000</v>
          </cell>
        </row>
        <row r="1765">
          <cell r="C1765" t="str">
            <v>U8280E</v>
          </cell>
          <cell r="E1765" t="str">
            <v>HP CP 1Y SWspt24x7 OV SM Advsvr LTU10</v>
          </cell>
          <cell r="F1765">
            <v>2991000</v>
          </cell>
        </row>
        <row r="1769">
          <cell r="A1769" t="str">
            <v>336249-B21</v>
          </cell>
          <cell r="B1769" t="str">
            <v xml:space="preserve">HP OV SM v4.2 AdvSvr LTU 25 </v>
          </cell>
          <cell r="C1769" t="str">
            <v>U8281E</v>
          </cell>
          <cell r="E1769" t="str">
            <v>HP CP 3Y SWsptM-F OV SM Advsvr LTU25</v>
          </cell>
          <cell r="F1769">
            <v>51943000</v>
          </cell>
        </row>
        <row r="1770">
          <cell r="C1770" t="str">
            <v>U8282E</v>
          </cell>
          <cell r="E1770" t="str">
            <v>HP CP 3Y SWspt24x7 OV SM Advsvr LTU25</v>
          </cell>
          <cell r="F1770">
            <v>71728000</v>
          </cell>
        </row>
        <row r="1771">
          <cell r="C1771" t="str">
            <v>U8283E</v>
          </cell>
          <cell r="E1771" t="str">
            <v>HP CP 1Y SWspt24x7 OV SM Advsvr LTU25</v>
          </cell>
          <cell r="F1771">
            <v>6799000</v>
          </cell>
        </row>
        <row r="1775">
          <cell r="A1775" t="str">
            <v>336250-B21</v>
          </cell>
          <cell r="B1775" t="str">
            <v xml:space="preserve">HP OV SM v4.2 AdvSvr LTU 50 </v>
          </cell>
          <cell r="C1775" t="str">
            <v>U8284E</v>
          </cell>
          <cell r="E1775" t="str">
            <v>HP CP 3Y SWsptM-F OV SM Advsvr LTU50</v>
          </cell>
          <cell r="F1775">
            <v>129857000</v>
          </cell>
        </row>
        <row r="1776">
          <cell r="C1776" t="str">
            <v>U8285E</v>
          </cell>
          <cell r="E1776" t="str">
            <v>HP CP 3Y SWspt24x7 OV SM Advsvr LTU50</v>
          </cell>
          <cell r="F1776">
            <v>173383000</v>
          </cell>
        </row>
        <row r="1777">
          <cell r="C1777" t="str">
            <v>U8286E</v>
          </cell>
          <cell r="E1777" t="str">
            <v>HP CP 1Y SWspt24x7 OV SM Advsvr LTU50</v>
          </cell>
          <cell r="F1777">
            <v>14957000</v>
          </cell>
        </row>
        <row r="1781">
          <cell r="A1781" t="str">
            <v>336251-B21</v>
          </cell>
          <cell r="B1781" t="str">
            <v xml:space="preserve">HP OV SM v4.2 AdvSvr LTU 100 </v>
          </cell>
          <cell r="C1781" t="str">
            <v>U8287E</v>
          </cell>
          <cell r="E1781" t="str">
            <v>HP CP 3Y SWsptM-F OV SM Advsvr LTU100</v>
          </cell>
          <cell r="F1781">
            <v>259715000</v>
          </cell>
        </row>
        <row r="1782">
          <cell r="C1782" t="str">
            <v>U8288E</v>
          </cell>
          <cell r="E1782" t="str">
            <v>HP CP 3Y SWspt24x7 OV SM Advsvr LTU100</v>
          </cell>
          <cell r="F1782">
            <v>346767000</v>
          </cell>
        </row>
        <row r="1783">
          <cell r="C1783" t="str">
            <v>U8289E</v>
          </cell>
          <cell r="E1783" t="str">
            <v>HP CP 1Y SWspt24x7 OV SM Advsvr LTU100</v>
          </cell>
          <cell r="F1783">
            <v>29915000</v>
          </cell>
        </row>
        <row r="1787">
          <cell r="A1787" t="str">
            <v>336252-B21</v>
          </cell>
          <cell r="B1787" t="str">
            <v xml:space="preserve">HP OV SM v4.2 AdvSvr LTU 250 </v>
          </cell>
          <cell r="C1787" t="str">
            <v>U8290E</v>
          </cell>
          <cell r="E1787" t="str">
            <v>HP CP 3Y SWsptM-F OV SM Advsvr LTU250</v>
          </cell>
          <cell r="F1787">
            <v>649286000</v>
          </cell>
        </row>
        <row r="1788">
          <cell r="C1788" t="str">
            <v>U8291E</v>
          </cell>
          <cell r="E1788" t="str">
            <v>HP CP 3Y SWspt24x7 OV SM Advsvr LTU250</v>
          </cell>
          <cell r="F1788">
            <v>866916000</v>
          </cell>
        </row>
        <row r="1789">
          <cell r="C1789" t="str">
            <v>U8292E</v>
          </cell>
          <cell r="E1789" t="str">
            <v>HP CP 1Y SWspt24x7 OV SM Advsvr LTU250</v>
          </cell>
          <cell r="F1789">
            <v>74787000</v>
          </cell>
        </row>
        <row r="1792">
          <cell r="C1792" t="str">
            <v>U4308E</v>
          </cell>
          <cell r="E1792" t="str">
            <v>HP CP 1Y SWsptM-F Fabric/SAN swtch 2/32</v>
          </cell>
          <cell r="F1792">
            <v>20952000</v>
          </cell>
        </row>
        <row r="1793">
          <cell r="A1793" t="str">
            <v>313455-B21</v>
          </cell>
          <cell r="B1793" t="str">
            <v>hp StorageWorks SAN Switch 2/32 Fabric Manager</v>
          </cell>
          <cell r="C1793" t="str">
            <v>U4309E</v>
          </cell>
          <cell r="E1793" t="str">
            <v>HP CP 3Y SWsptM-F Fabric/SAN swtch 2/32</v>
          </cell>
          <cell r="F1793">
            <v>21708000</v>
          </cell>
        </row>
        <row r="1794">
          <cell r="C1794" t="str">
            <v>U4310E</v>
          </cell>
          <cell r="E1794" t="str">
            <v>HP CP 1Y SWspt24x7 Fabric/SAN swtch 2/32</v>
          </cell>
          <cell r="F1794">
            <v>43812000</v>
          </cell>
        </row>
        <row r="1795">
          <cell r="C1795" t="str">
            <v>U4311E</v>
          </cell>
          <cell r="E1795" t="str">
            <v>HP CP 3Y SWspt24x7 Fabric/SAN swtch 2/32</v>
          </cell>
          <cell r="F1795">
            <v>46345000</v>
          </cell>
        </row>
        <row r="1798">
          <cell r="A1798" t="str">
            <v>A7512A</v>
          </cell>
          <cell r="B1798" t="str">
            <v>MDS 9100 Fab Mgr Server Lic for 1 Switch</v>
          </cell>
          <cell r="C1798" t="str">
            <v>UB142E</v>
          </cell>
          <cell r="E1798" t="str">
            <v>HP CP 3Y SW Supp MDS 9100 Fabric Mgr SVC</v>
          </cell>
          <cell r="F1798">
            <v>5777000</v>
          </cell>
        </row>
        <row r="1799">
          <cell r="C1799" t="str">
            <v>UB143E</v>
          </cell>
          <cell r="E1799" t="str">
            <v>HP 3Y SW Supp 24X7 MDS 9100FabricMgr SVC</v>
          </cell>
          <cell r="F1799">
            <v>7978000</v>
          </cell>
        </row>
        <row r="1802">
          <cell r="A1802" t="str">
            <v>A7515A</v>
          </cell>
          <cell r="B1802" t="str">
            <v>MDS 9100 Enterprise Package License</v>
          </cell>
          <cell r="C1802" t="str">
            <v>UB145E</v>
          </cell>
          <cell r="E1802" t="str">
            <v>HP 3Y SW Supp MDS 9100 EnterprisePkg SVC</v>
          </cell>
          <cell r="F1802">
            <v>6356000</v>
          </cell>
        </row>
        <row r="1803">
          <cell r="C1803" t="str">
            <v>UB146E</v>
          </cell>
          <cell r="E1803" t="str">
            <v>HP 3Y SW Supp 24X7 MDS 9100 EntprPkg SVC</v>
          </cell>
          <cell r="F1803">
            <v>8776000</v>
          </cell>
        </row>
        <row r="1806">
          <cell r="A1806" t="str">
            <v>345690-B21</v>
          </cell>
          <cell r="B1806" t="str">
            <v xml:space="preserve">HP StorageWorks Fabric Mgr V4.0 </v>
          </cell>
          <cell r="C1806" t="str">
            <v>U9266E</v>
          </cell>
          <cell r="E1806" t="str">
            <v xml:space="preserve">HP CP 3Y SW Support 24x7 Fabric Manager </v>
          </cell>
          <cell r="F1806">
            <v>19941000</v>
          </cell>
        </row>
        <row r="1807">
          <cell r="A1807" t="str">
            <v>345691-B21</v>
          </cell>
          <cell r="B1807" t="str">
            <v xml:space="preserve">Fabric Manager v3.x - v4.x </v>
          </cell>
          <cell r="C1807" t="str">
            <v>U9265E</v>
          </cell>
          <cell r="E1807" t="str">
            <v>HP CP 3Y SW Support M-F Fabric Manager</v>
          </cell>
          <cell r="F1807">
            <v>2608000</v>
          </cell>
        </row>
        <row r="1808">
          <cell r="A1808" t="str">
            <v>345690-B22</v>
          </cell>
          <cell r="B1808" t="str">
            <v>HP StorageWorks Fabric Mgr V4.1</v>
          </cell>
        </row>
        <row r="1809">
          <cell r="A1809" t="str">
            <v>345691-B22</v>
          </cell>
          <cell r="B1809" t="str">
            <v>Fabric Manager v3.x - v4.1</v>
          </cell>
        </row>
        <row r="1813">
          <cell r="A1813" t="str">
            <v>A7389A</v>
          </cell>
          <cell r="B1813" t="str">
            <v>Fabric Manager Enterprise Edition</v>
          </cell>
          <cell r="C1813" t="str">
            <v>UB149E</v>
          </cell>
          <cell r="E1813" t="str">
            <v>HP 3Y SW Support 24x7 FM Enterprise SVC</v>
          </cell>
          <cell r="F1813">
            <v>15675000</v>
          </cell>
        </row>
        <row r="1817">
          <cell r="A1817" t="str">
            <v>A7390A</v>
          </cell>
          <cell r="B1817" t="str">
            <v>Fabric Manager Base Edition</v>
          </cell>
          <cell r="C1817" t="str">
            <v>UB150E</v>
          </cell>
          <cell r="E1817" t="str">
            <v>HP 3Y SW Support24x7 FM Base Edition SVC</v>
          </cell>
          <cell r="F1817">
            <v>10048000</v>
          </cell>
        </row>
        <row r="1821">
          <cell r="A1821" t="str">
            <v>A7391A</v>
          </cell>
          <cell r="B1821" t="str">
            <v xml:space="preserve">V3-V4 Upgrade License </v>
          </cell>
          <cell r="C1821" t="str">
            <v>UB151E</v>
          </cell>
          <cell r="E1821" t="str">
            <v>HP 3Y SW Support 24x7 FM V3-V4 Lic  SVC</v>
          </cell>
          <cell r="F1821">
            <v>8118000</v>
          </cell>
        </row>
        <row r="1825">
          <cell r="A1825" t="str">
            <v>A7392A</v>
          </cell>
          <cell r="B1825" t="str">
            <v>Fabric Manager Base to Enterprise</v>
          </cell>
          <cell r="C1825" t="str">
            <v>UB152E</v>
          </cell>
          <cell r="E1825" t="str">
            <v>HP 3Y SW Support 24x7 FM Base -Enter SVC</v>
          </cell>
          <cell r="F1825">
            <v>11128000</v>
          </cell>
        </row>
        <row r="1828">
          <cell r="C1828" t="str">
            <v>UB095E</v>
          </cell>
          <cell r="E1828" t="str">
            <v>HP 1y SW Supp Element Mgr2/24PFE SVC</v>
          </cell>
          <cell r="F1828">
            <v>202000</v>
          </cell>
        </row>
        <row r="1829">
          <cell r="A1829" t="str">
            <v>A7496A</v>
          </cell>
          <cell r="B1829" t="str">
            <v>ELEMENT MANAGER 2/24,PFE</v>
          </cell>
          <cell r="C1829" t="str">
            <v>UB096E</v>
          </cell>
          <cell r="E1829" t="str">
            <v>HP 1y SW Supp 24X7 Element Mgr 2/24 SVC</v>
          </cell>
          <cell r="F1829">
            <v>431000</v>
          </cell>
        </row>
        <row r="1830">
          <cell r="C1830" t="str">
            <v>UB097E</v>
          </cell>
          <cell r="E1830" t="str">
            <v>HP 3y SW Supp Element Mgr2/24PFE SVC</v>
          </cell>
          <cell r="F1830">
            <v>2364000</v>
          </cell>
        </row>
        <row r="1831">
          <cell r="C1831" t="str">
            <v>UB098E</v>
          </cell>
          <cell r="E1831" t="str">
            <v>HP 3y SW Supp 24X7 Element Mgr 2/24 SVC</v>
          </cell>
          <cell r="F1831">
            <v>3031000</v>
          </cell>
        </row>
        <row r="1832">
          <cell r="C1832" t="str">
            <v>UB099E</v>
          </cell>
          <cell r="E1832" t="str">
            <v>HP 1y SW Supp Element Mgr2/32PFE SVC</v>
          </cell>
          <cell r="F1832">
            <v>278000</v>
          </cell>
        </row>
        <row r="1833">
          <cell r="A1833" t="str">
            <v>A7497A</v>
          </cell>
          <cell r="B1833" t="str">
            <v>ELEMENT MANAGER 2/32,PFE</v>
          </cell>
          <cell r="C1833" t="str">
            <v>UB100E</v>
          </cell>
          <cell r="E1833" t="str">
            <v>HP 1y SW Supp 24X7 Element Mgr 2/32 SVC</v>
          </cell>
          <cell r="F1833">
            <v>665000</v>
          </cell>
        </row>
        <row r="1834">
          <cell r="C1834" t="str">
            <v>UB101E</v>
          </cell>
          <cell r="E1834" t="str">
            <v>HP 3y SW Supp Element Mgr2/32PFE SVC</v>
          </cell>
          <cell r="F1834">
            <v>3954000</v>
          </cell>
        </row>
        <row r="1835">
          <cell r="C1835" t="str">
            <v>UB102E</v>
          </cell>
          <cell r="E1835" t="str">
            <v>HP 3y SW Supp 24X7 Element Mgr 2/32 SVC</v>
          </cell>
          <cell r="F1835">
            <v>5085000</v>
          </cell>
        </row>
        <row r="1836">
          <cell r="C1836" t="str">
            <v>UB103E</v>
          </cell>
          <cell r="E1836" t="str">
            <v>HP 1y SW Supp Full Volatily PFE SVC</v>
          </cell>
          <cell r="F1836">
            <v>529000</v>
          </cell>
        </row>
        <row r="1837">
          <cell r="A1837" t="str">
            <v>A7498A</v>
          </cell>
          <cell r="B1837" t="str">
            <v>FULL VOLATILITY PFE</v>
          </cell>
          <cell r="C1837" t="str">
            <v>UB104E</v>
          </cell>
          <cell r="E1837" t="str">
            <v>HP 1y SW Supp 24X7 Full Volatily PFE SVC</v>
          </cell>
          <cell r="F1837">
            <v>917000</v>
          </cell>
        </row>
        <row r="1838">
          <cell r="C1838" t="str">
            <v>UB105E</v>
          </cell>
          <cell r="E1838" t="str">
            <v>HP 3y SW Supp Full Volatily PFE SVC</v>
          </cell>
          <cell r="F1838">
            <v>4206000</v>
          </cell>
        </row>
        <row r="1839">
          <cell r="C1839" t="str">
            <v>UB106E</v>
          </cell>
          <cell r="E1839" t="str">
            <v>HP 3y SW Supp 24X7 Full Volatily PFE SVC</v>
          </cell>
          <cell r="F1839">
            <v>5337000</v>
          </cell>
        </row>
        <row r="1840">
          <cell r="C1840" t="str">
            <v>UB127E</v>
          </cell>
          <cell r="E1840" t="str">
            <v>HP 1y SW Supp HAFM Software upgrade SVC</v>
          </cell>
          <cell r="F1840">
            <v>4030000</v>
          </cell>
        </row>
        <row r="1841">
          <cell r="A1841" t="str">
            <v>A7490A</v>
          </cell>
          <cell r="B1841" t="str">
            <v>HAFM FABRIC MANAGER SW UPGRADE KIT</v>
          </cell>
          <cell r="C1841" t="str">
            <v>UB128E</v>
          </cell>
          <cell r="E1841" t="str">
            <v>HP 1y SW Supp HAFM 24X7 Software upg SVC</v>
          </cell>
          <cell r="F1841">
            <v>5036000</v>
          </cell>
        </row>
        <row r="1842">
          <cell r="C1842" t="str">
            <v>UB129E</v>
          </cell>
          <cell r="E1842" t="str">
            <v>HP 3y SW Supp HAFM Software upgrade SVC</v>
          </cell>
          <cell r="F1842">
            <v>11725000</v>
          </cell>
        </row>
        <row r="1843">
          <cell r="C1843" t="str">
            <v>UB130E</v>
          </cell>
          <cell r="E1843" t="str">
            <v>HP 3y SW Supp HAFM 24X7 Software upg SVC</v>
          </cell>
          <cell r="F1843">
            <v>14656000</v>
          </cell>
        </row>
        <row r="1844">
          <cell r="C1844" t="str">
            <v>UB083E</v>
          </cell>
          <cell r="E1844" t="str">
            <v>HP 1y SW Supp HAFM EventMgt 512p SVC</v>
          </cell>
          <cell r="F1844">
            <v>2770000</v>
          </cell>
        </row>
        <row r="1845">
          <cell r="A1845" t="str">
            <v>A7493A</v>
          </cell>
          <cell r="B1845" t="str">
            <v>HAFM EVENT MANAGEMENT-512 PORTS,PFE</v>
          </cell>
          <cell r="C1845" t="str">
            <v>UB084E</v>
          </cell>
          <cell r="E1845" t="str">
            <v>HP 1y SW Supp 24X7 HAFM Event 512p SVC</v>
          </cell>
          <cell r="F1845">
            <v>5187000</v>
          </cell>
        </row>
        <row r="1846">
          <cell r="C1846" t="str">
            <v>UB085E</v>
          </cell>
          <cell r="E1846" t="str">
            <v>HP 3y SW Supp HAFM EventMgt 512p SVC</v>
          </cell>
          <cell r="F1846">
            <v>25628000</v>
          </cell>
        </row>
        <row r="1847">
          <cell r="C1847" t="str">
            <v>UB086E</v>
          </cell>
          <cell r="E1847" t="str">
            <v>HP 3y SW Supp 24X7 HAFM Event 512p SVC</v>
          </cell>
          <cell r="F1847">
            <v>32661000</v>
          </cell>
        </row>
        <row r="1848">
          <cell r="C1848" t="str">
            <v>UB091E</v>
          </cell>
          <cell r="E1848" t="str">
            <v>HP 1y SW Supp HAFM EventMgt 64p SVC</v>
          </cell>
          <cell r="F1848">
            <v>111000</v>
          </cell>
        </row>
        <row r="1849">
          <cell r="A1849" t="str">
            <v>A7495A</v>
          </cell>
          <cell r="B1849" t="str">
            <v>HAFM EVENT MANAGEMENT-64 PORTS,PFE,</v>
          </cell>
          <cell r="C1849" t="str">
            <v>UB092E</v>
          </cell>
          <cell r="E1849" t="str">
            <v>HP 1y SW Supp 24X7 HAFM EventMgt 64p SVC</v>
          </cell>
          <cell r="F1849">
            <v>409000</v>
          </cell>
        </row>
        <row r="1850">
          <cell r="C1850" t="str">
            <v>UB093E</v>
          </cell>
          <cell r="E1850" t="str">
            <v>HP  3y SW Supp HAFM EventMgt 64p SVC</v>
          </cell>
          <cell r="F1850">
            <v>2923000</v>
          </cell>
        </row>
        <row r="1851">
          <cell r="C1851" t="str">
            <v>UB094E</v>
          </cell>
          <cell r="E1851" t="str">
            <v>HP  3y SW Supp 24X7 HAFM Event 64p SVC</v>
          </cell>
          <cell r="F1851">
            <v>3789000</v>
          </cell>
        </row>
        <row r="1852">
          <cell r="C1852" t="str">
            <v>UB115E</v>
          </cell>
          <cell r="E1852" t="str">
            <v>HP 1y SW Supp HAFM Perf&amp;Event 512p SVC</v>
          </cell>
          <cell r="F1852">
            <v>6661000</v>
          </cell>
        </row>
        <row r="1853">
          <cell r="A1853" t="str">
            <v>A7507A</v>
          </cell>
          <cell r="B1853" t="str">
            <v>HAFM PERF MGT, Event MGT -512 port, PFE</v>
          </cell>
          <cell r="C1853" t="str">
            <v>UB116E</v>
          </cell>
          <cell r="E1853" t="str">
            <v>HP 1y SW Supp 24X7 HAFM PerfEvent512 SVC</v>
          </cell>
          <cell r="F1853">
            <v>12486000</v>
          </cell>
        </row>
        <row r="1854">
          <cell r="C1854" t="str">
            <v>UB117E</v>
          </cell>
          <cell r="E1854" t="str">
            <v>HP 3y SW Supp HAFM Perf&amp;Event 512p SVC</v>
          </cell>
          <cell r="F1854">
            <v>61751000</v>
          </cell>
        </row>
        <row r="1855">
          <cell r="C1855" t="str">
            <v>UB118E</v>
          </cell>
          <cell r="E1855" t="str">
            <v>HP 3y SW Supp 24X7 HAFM PerfEvent512 SVC</v>
          </cell>
          <cell r="F1855">
            <v>78699000</v>
          </cell>
        </row>
        <row r="1856">
          <cell r="C1856" t="str">
            <v>UB119E</v>
          </cell>
          <cell r="E1856" t="str">
            <v>HP 1y SW Supp HAFM Perf&amp;Event 64p SVC</v>
          </cell>
          <cell r="F1856">
            <v>989000</v>
          </cell>
        </row>
        <row r="1857">
          <cell r="A1857" t="str">
            <v>A7508A</v>
          </cell>
          <cell r="B1857" t="str">
            <v>HAFM PERF MGT,EVNT MGT64PRT,PFE</v>
          </cell>
          <cell r="C1857" t="str">
            <v>UB120E</v>
          </cell>
          <cell r="E1857" t="str">
            <v>HP 1y SW Supp 24X7 HAFM Perf&amp;Event64 SVC</v>
          </cell>
          <cell r="F1857">
            <v>1843000</v>
          </cell>
        </row>
        <row r="1858">
          <cell r="C1858" t="str">
            <v>UB121E</v>
          </cell>
          <cell r="E1858" t="str">
            <v>HP 3y SW Supp HAFM Perf&amp;Event 64p SVC</v>
          </cell>
          <cell r="F1858">
            <v>9064000</v>
          </cell>
        </row>
        <row r="1859">
          <cell r="C1859" t="str">
            <v>UB122E</v>
          </cell>
          <cell r="E1859" t="str">
            <v>HP 3y SW Supp 24X7 HAFM PerfEvent64p SVC</v>
          </cell>
          <cell r="F1859">
            <v>11549000</v>
          </cell>
        </row>
        <row r="1860">
          <cell r="C1860" t="str">
            <v>UA787E</v>
          </cell>
          <cell r="E1860" t="str">
            <v>HP 1y SW Supp HAFM PerfMon 512p SVC</v>
          </cell>
          <cell r="F1860">
            <v>5535000</v>
          </cell>
        </row>
        <row r="1861">
          <cell r="A1861" t="str">
            <v>A7492A</v>
          </cell>
          <cell r="B1861" t="str">
            <v>HAFM PERFORMANCE MONITORING-512 PORT,PFE</v>
          </cell>
          <cell r="C1861" t="str">
            <v>UA788E</v>
          </cell>
          <cell r="E1861" t="str">
            <v>HP 1y SW Supp 24X7 HAFM PerfMon 512p SVC</v>
          </cell>
          <cell r="F1861">
            <v>10421000</v>
          </cell>
        </row>
        <row r="1862">
          <cell r="C1862" t="str">
            <v>UA789E</v>
          </cell>
          <cell r="E1862" t="str">
            <v>HP 3y SW Supp HAFM PerfMon 512p SVC</v>
          </cell>
          <cell r="F1862">
            <v>51756000</v>
          </cell>
        </row>
        <row r="1863">
          <cell r="C1863" t="str">
            <v>UA790E</v>
          </cell>
          <cell r="E1863" t="str">
            <v>HP 3y SW Supp 24X7 HAFM PerfMon 512p SVC</v>
          </cell>
          <cell r="F1863">
            <v>65976000</v>
          </cell>
        </row>
        <row r="1864">
          <cell r="C1864" t="str">
            <v>UB087E</v>
          </cell>
          <cell r="E1864" t="str">
            <v>HP 1y SW Supp HAFM PerfMon 64p SVC</v>
          </cell>
          <cell r="F1864">
            <v>357000</v>
          </cell>
        </row>
        <row r="1865">
          <cell r="A1865" t="str">
            <v>A7494A</v>
          </cell>
          <cell r="B1865" t="str">
            <v>HAFM PERFORMANCE MONITORING-64 PORTS,PFE</v>
          </cell>
          <cell r="C1865" t="str">
            <v>UB088E</v>
          </cell>
          <cell r="E1865" t="str">
            <v>HP 1y SW Supp 24X7 HAFM PerfMon 64p SVC</v>
          </cell>
          <cell r="F1865">
            <v>1059000</v>
          </cell>
        </row>
        <row r="1866">
          <cell r="C1866" t="str">
            <v>UB089E</v>
          </cell>
          <cell r="E1866" t="str">
            <v>HP 3y SW Supp HAFM PerfMon 64p SVC</v>
          </cell>
          <cell r="F1866">
            <v>6992000</v>
          </cell>
        </row>
        <row r="1867">
          <cell r="C1867" t="str">
            <v>UB090E</v>
          </cell>
          <cell r="E1867" t="str">
            <v>HP 3y SW Supp 24X7 HAFM PerfMon 64p SVC</v>
          </cell>
          <cell r="F1867">
            <v>9032000</v>
          </cell>
        </row>
        <row r="1868">
          <cell r="C1868" t="str">
            <v>UA783E</v>
          </cell>
          <cell r="E1868" t="str">
            <v>HP 1y SW Supp HAFM Planning PFE SVC</v>
          </cell>
          <cell r="F1868">
            <v>316000</v>
          </cell>
        </row>
        <row r="1869">
          <cell r="A1869" t="str">
            <v>A7491A</v>
          </cell>
          <cell r="B1869" t="str">
            <v>HAFM PLANNING,PFE</v>
          </cell>
          <cell r="C1869" t="str">
            <v>UA784E</v>
          </cell>
          <cell r="E1869" t="str">
            <v>HP 1y SW Supp 24X7 HAFM Planning PFE SVC</v>
          </cell>
          <cell r="F1869">
            <v>736000</v>
          </cell>
        </row>
        <row r="1870">
          <cell r="C1870" t="str">
            <v>UA785E</v>
          </cell>
          <cell r="E1870" t="str">
            <v>HP 3y SW Supp HAFM Planning PFE SVC</v>
          </cell>
          <cell r="F1870">
            <v>4283000</v>
          </cell>
        </row>
        <row r="1871">
          <cell r="C1871" t="str">
            <v>UA786E</v>
          </cell>
          <cell r="E1871" t="str">
            <v>HP 3y SW Supp 24X7 HAFM Planning PFE SVC</v>
          </cell>
          <cell r="F1871">
            <v>5502000</v>
          </cell>
        </row>
        <row r="1872">
          <cell r="C1872" t="str">
            <v>UB107E</v>
          </cell>
          <cell r="E1872" t="str">
            <v>HP 1y SW Supp Open Trunking 2/24 SVC</v>
          </cell>
          <cell r="F1872">
            <v>329000</v>
          </cell>
        </row>
        <row r="1873">
          <cell r="A1873" t="str">
            <v>A7503A</v>
          </cell>
          <cell r="B1873" t="str">
            <v>OPEN TRUNKING,2/24,PFE</v>
          </cell>
          <cell r="C1873" t="str">
            <v>UB108E</v>
          </cell>
          <cell r="E1873" t="str">
            <v>HP 1y SW Supp 24X7 Open Trunking2/24 SVC</v>
          </cell>
          <cell r="F1873">
            <v>565000</v>
          </cell>
        </row>
        <row r="1874">
          <cell r="C1874" t="str">
            <v>UB109E</v>
          </cell>
          <cell r="E1874" t="str">
            <v>HP 3y SW Supp Open Trunking 2/24 SVC</v>
          </cell>
          <cell r="F1874">
            <v>2565000</v>
          </cell>
        </row>
        <row r="1875">
          <cell r="C1875" t="str">
            <v>UB110E</v>
          </cell>
          <cell r="E1875" t="str">
            <v>HP 3y SW Supp 24X7 Open Trunking2/24 SVC</v>
          </cell>
          <cell r="F1875">
            <v>3252000</v>
          </cell>
        </row>
        <row r="1876">
          <cell r="C1876" t="str">
            <v>UB111E</v>
          </cell>
          <cell r="E1876" t="str">
            <v>HP 1y SW Supp Open Trunking 2/32 SVC</v>
          </cell>
          <cell r="F1876">
            <v>620000</v>
          </cell>
        </row>
        <row r="1877">
          <cell r="A1877" t="str">
            <v>A7504A</v>
          </cell>
          <cell r="B1877" t="str">
            <v>OPEN TRUNKING,2/32,PFE</v>
          </cell>
          <cell r="C1877" t="str">
            <v>UB112E</v>
          </cell>
          <cell r="E1877" t="str">
            <v>HP 1y SW Supp 24X7 Open Trunking2/32 SVC</v>
          </cell>
          <cell r="F1877">
            <v>1085000</v>
          </cell>
        </row>
        <row r="1878">
          <cell r="C1878" t="str">
            <v>UB113E</v>
          </cell>
          <cell r="E1878" t="str">
            <v>HP  3y SW Supp Open Trunking 2/32 SVC</v>
          </cell>
          <cell r="F1878">
            <v>5019000</v>
          </cell>
        </row>
        <row r="1879">
          <cell r="C1879" t="str">
            <v>UB114E</v>
          </cell>
          <cell r="E1879" t="str">
            <v>HP 3y SW Supp 24X7 Open Trunking2/32 SVC</v>
          </cell>
          <cell r="F1879">
            <v>6373000</v>
          </cell>
        </row>
        <row r="1881">
          <cell r="B1881" t="str">
            <v xml:space="preserve"> </v>
          </cell>
        </row>
        <row r="1882">
          <cell r="A1882" t="str">
            <v>T3662A</v>
          </cell>
          <cell r="B1882" t="str">
            <v>HP Storageworks NAS ISCSI Feature Pack SW</v>
          </cell>
          <cell r="C1882" t="str">
            <v>UA290E</v>
          </cell>
          <cell r="E1882" t="str">
            <v>HP 1y 24x7 NAS ISCSI SW Support</v>
          </cell>
          <cell r="F1882">
            <v>127000</v>
          </cell>
        </row>
        <row r="1883">
          <cell r="C1883" t="str">
            <v>UA291E</v>
          </cell>
          <cell r="E1883" t="str">
            <v>HP 3y 9x5 NAS ISCSI SW Support</v>
          </cell>
          <cell r="F1883">
            <v>1187000</v>
          </cell>
        </row>
        <row r="1884">
          <cell r="C1884" t="str">
            <v>UA292E</v>
          </cell>
          <cell r="E1884" t="str">
            <v>HP 3y 24x7 NAS ISCSI SW Support</v>
          </cell>
          <cell r="F1884">
            <v>1610000</v>
          </cell>
        </row>
        <row r="1888">
          <cell r="A1888" t="str">
            <v>T3649A</v>
          </cell>
          <cell r="B1888" t="str">
            <v>HP File System Extender client for Microsoft Windows</v>
          </cell>
          <cell r="C1888" t="str">
            <v>UB943E</v>
          </cell>
          <cell r="E1888" t="str">
            <v>HP 1y 24x7 FSE MS Client SW Support</v>
          </cell>
          <cell r="F1888">
            <v>303000</v>
          </cell>
        </row>
        <row r="1889">
          <cell r="C1889" t="str">
            <v>UB944E</v>
          </cell>
          <cell r="E1889" t="str">
            <v>HP 3y 9x5 FSE MS Client SW Support</v>
          </cell>
          <cell r="F1889">
            <v>2841000</v>
          </cell>
        </row>
        <row r="1890">
          <cell r="C1890" t="str">
            <v>UB945E</v>
          </cell>
          <cell r="E1890" t="str">
            <v>HP 3y 24x7 FSE MS Client SW Support</v>
          </cell>
          <cell r="F1890">
            <v>3854000</v>
          </cell>
        </row>
        <row r="1892">
          <cell r="A1892" t="str">
            <v>T3651A</v>
          </cell>
          <cell r="B1892" t="str">
            <v xml:space="preserve">HP File System Extender client for Linux </v>
          </cell>
          <cell r="C1892" t="str">
            <v>UB946E</v>
          </cell>
          <cell r="E1892" t="str">
            <v>HP 1y 24x7 FSE Linux Client SW Support</v>
          </cell>
          <cell r="F1892">
            <v>454000</v>
          </cell>
        </row>
        <row r="1893">
          <cell r="C1893" t="str">
            <v>UB947E</v>
          </cell>
          <cell r="E1893" t="str">
            <v>HP 3y 9x5 FSE Linux Client SW Support</v>
          </cell>
          <cell r="F1893">
            <v>4261000</v>
          </cell>
        </row>
        <row r="1894">
          <cell r="C1894" t="str">
            <v>UB966E</v>
          </cell>
          <cell r="E1894" t="str">
            <v>HP 3y 24x7 FSE Linux Client SW Support</v>
          </cell>
          <cell r="F1894">
            <v>5780000</v>
          </cell>
        </row>
        <row r="1896">
          <cell r="A1896" t="str">
            <v>T3659A</v>
          </cell>
          <cell r="B1896" t="str">
            <v>HP File System Extender read only (WORM) file system upgrade (1TB)(</v>
          </cell>
          <cell r="C1896" t="str">
            <v>UB967E</v>
          </cell>
          <cell r="E1896" t="str">
            <v>HP 1y 24x7 FSE cap upg SW Support</v>
          </cell>
          <cell r="F1896">
            <v>227000</v>
          </cell>
        </row>
        <row r="1897">
          <cell r="A1897" t="str">
            <v>T3656A</v>
          </cell>
          <cell r="B1897" t="str">
            <v xml:space="preserve">HP File System Extender server 1TB incremental capacity license (1 to 20TB) LTU </v>
          </cell>
          <cell r="C1897" t="str">
            <v>UB968E</v>
          </cell>
          <cell r="E1897" t="str">
            <v>HP 3y 9x5 FSE cap upg SW Support</v>
          </cell>
          <cell r="F1897">
            <v>2131000</v>
          </cell>
        </row>
        <row r="1898">
          <cell r="C1898" t="str">
            <v>UB969E</v>
          </cell>
          <cell r="E1898" t="str">
            <v>HP 3y 24x7 FSE cap upg SW Support</v>
          </cell>
          <cell r="F1898">
            <v>2891000</v>
          </cell>
        </row>
        <row r="1900">
          <cell r="A1900" t="str">
            <v>T3653A</v>
          </cell>
          <cell r="B1900" t="str">
            <v>HP File System Extender server base license for Microsoft Windows</v>
          </cell>
          <cell r="C1900" t="str">
            <v>UB970E</v>
          </cell>
          <cell r="E1900" t="str">
            <v>HP 1y 24x7 FSE srvr lic1TB Support</v>
          </cell>
          <cell r="F1900">
            <v>1134000</v>
          </cell>
        </row>
        <row r="1901">
          <cell r="A1901" t="str">
            <v>T3655A</v>
          </cell>
          <cell r="B1901" t="str">
            <v xml:space="preserve">HP File System Extender server base license for Linux </v>
          </cell>
          <cell r="C1901" t="str">
            <v>UB971E</v>
          </cell>
          <cell r="E1901" t="str">
            <v>HP 3y 9x5 FSE srvr lic1TB SW Support</v>
          </cell>
          <cell r="F1901">
            <v>10654000</v>
          </cell>
        </row>
        <row r="1902">
          <cell r="C1902" t="str">
            <v>UB972E</v>
          </cell>
          <cell r="E1902" t="str">
            <v>HP 3y 24x7 FSE srvr lic1TB SW Support</v>
          </cell>
          <cell r="F1902">
            <v>14452000</v>
          </cell>
        </row>
        <row r="1904">
          <cell r="A1904" t="str">
            <v>T3657A</v>
          </cell>
          <cell r="B1904" t="str">
            <v xml:space="preserve">HP File System Extender server 1TB incremental capacity license (21 to 100TB) LTU </v>
          </cell>
          <cell r="C1904" t="str">
            <v>UB973E</v>
          </cell>
          <cell r="E1904" t="str">
            <v>HP 1y 24x7 FSE cap 21-100TB Support</v>
          </cell>
          <cell r="F1904">
            <v>76000</v>
          </cell>
        </row>
        <row r="1905">
          <cell r="C1905" t="str">
            <v>UB974E</v>
          </cell>
          <cell r="E1905" t="str">
            <v>HP 3y 9x5 FSE cap 21-100TB SW Support</v>
          </cell>
          <cell r="F1905">
            <v>710000</v>
          </cell>
        </row>
        <row r="1906">
          <cell r="C1906" t="str">
            <v>UB975E</v>
          </cell>
          <cell r="E1906" t="str">
            <v>HP 3y 24x7 FSE cap 21-100TB SW Support</v>
          </cell>
          <cell r="F1906">
            <v>963000</v>
          </cell>
        </row>
        <row r="1908">
          <cell r="A1908" t="str">
            <v>T3658A</v>
          </cell>
          <cell r="B1908" t="str">
            <v xml:space="preserve">HP File System Extender server 1TB incremental capacity license (100TB+) LTU </v>
          </cell>
          <cell r="C1908" t="str">
            <v>UB976E</v>
          </cell>
          <cell r="E1908" t="str">
            <v>HP 1y 24x7 FSE cap 100TB+ Support</v>
          </cell>
          <cell r="F1908">
            <v>39000</v>
          </cell>
        </row>
        <row r="1909">
          <cell r="C1909" t="str">
            <v>UB977E</v>
          </cell>
          <cell r="E1909" t="str">
            <v>HP 3y 9x5 FSE cap 100TB+ SW Support</v>
          </cell>
          <cell r="F1909">
            <v>355000</v>
          </cell>
        </row>
        <row r="1910">
          <cell r="C1910" t="str">
            <v>UB978E</v>
          </cell>
          <cell r="E1910" t="str">
            <v>HP 3y 24x7 FSE cap 100TB+ SW Support</v>
          </cell>
          <cell r="F1910">
            <v>482000</v>
          </cell>
        </row>
        <row r="1912">
          <cell r="A1912" t="str">
            <v>T3669A</v>
          </cell>
          <cell r="B1912" t="str">
            <v>ProLiant SS iSCSI Feature Pack</v>
          </cell>
          <cell r="C1912" t="str">
            <v>UB979E</v>
          </cell>
          <cell r="E1912" t="str">
            <v>HP 3y 9x5 PL SS iSCSI fpack SW Supp</v>
          </cell>
          <cell r="F1912">
            <v>826000</v>
          </cell>
        </row>
        <row r="1913">
          <cell r="C1913" t="str">
            <v>UB980E</v>
          </cell>
          <cell r="E1913" t="str">
            <v>HP 3y 24x7 PL SS iSCSI fpack SW Supp</v>
          </cell>
          <cell r="F1913">
            <v>1181000</v>
          </cell>
        </row>
        <row r="1914">
          <cell r="A1914" t="str">
            <v>T3670A</v>
          </cell>
          <cell r="B1914" t="str">
            <v>ProLiant SS iSCSI Feature Pack Gateway</v>
          </cell>
          <cell r="C1914" t="str">
            <v>UB981E</v>
          </cell>
          <cell r="E1914" t="str">
            <v>HP 3y 9x5 PL SS iSCSI fpack gtwy SW Supp</v>
          </cell>
          <cell r="F1914">
            <v>988000</v>
          </cell>
        </row>
        <row r="1915">
          <cell r="C1915" t="str">
            <v>UB982E</v>
          </cell>
          <cell r="E1915" t="str">
            <v>HP 3y 24x7 PL SS iSCSI fpck gtwy SW Supp</v>
          </cell>
          <cell r="F1915">
            <v>1442000</v>
          </cell>
        </row>
        <row r="1916">
          <cell r="A1916" t="str">
            <v>T3671A</v>
          </cell>
          <cell r="B1916" t="str">
            <v>ProLiant SS iSCSI Snapshots</v>
          </cell>
          <cell r="C1916" t="str">
            <v>UB983E</v>
          </cell>
          <cell r="E1916" t="str">
            <v>HP 3y 9x5 PL SS iSCSI snapshot SW Supp</v>
          </cell>
          <cell r="F1916">
            <v>931000</v>
          </cell>
        </row>
        <row r="1917">
          <cell r="C1917" t="str">
            <v>UB984E</v>
          </cell>
          <cell r="E1917" t="str">
            <v>HP 3y 24x7 PL SS iSCSI snapshot SW Supp</v>
          </cell>
          <cell r="F1917">
            <v>1434000</v>
          </cell>
        </row>
        <row r="1918">
          <cell r="A1918" t="str">
            <v>T3672A</v>
          </cell>
          <cell r="B1918" t="str">
            <v xml:space="preserve">ProLiant SS iSCSI Snapshots for Gateway </v>
          </cell>
          <cell r="C1918" t="str">
            <v>UB985E</v>
          </cell>
          <cell r="E1918" t="str">
            <v>HP 3y 9x5 PL SS iSCSI gtwy snap SW Supp</v>
          </cell>
          <cell r="F1918">
            <v>1111000</v>
          </cell>
        </row>
        <row r="1919">
          <cell r="C1919" t="str">
            <v>UB986E</v>
          </cell>
          <cell r="E1919" t="str">
            <v>HP 3y 24x7 PL SS iSCSI gtwy snap SW Supp</v>
          </cell>
          <cell r="F1919">
            <v>1758000</v>
          </cell>
        </row>
        <row r="1920">
          <cell r="A1920" t="str">
            <v>T3673A</v>
          </cell>
          <cell r="B1920" t="str">
            <v>ProLiant SS iSCSI Clustering for Gateway</v>
          </cell>
          <cell r="C1920" t="str">
            <v>UB987E</v>
          </cell>
          <cell r="E1920" t="str">
            <v>HP 3y 9x5 PL SS iSCSI gtwy clstr SW Supp</v>
          </cell>
          <cell r="F1920">
            <v>1296000</v>
          </cell>
        </row>
        <row r="1921">
          <cell r="C1921" t="str">
            <v>UB988E</v>
          </cell>
          <cell r="E1921" t="str">
            <v>HP 3y 24x7 PL SS iSCSI gtwy clst SW Supp</v>
          </cell>
          <cell r="F1921">
            <v>1960000</v>
          </cell>
        </row>
        <row r="1922">
          <cell r="A1922" t="str">
            <v>T3674A</v>
          </cell>
          <cell r="B1922" t="str">
            <v>ProLiant SS iSCSI Backup Enabler</v>
          </cell>
          <cell r="C1922" t="str">
            <v>UB989E</v>
          </cell>
          <cell r="E1922" t="str">
            <v>HP 3y 9x5 PL SS iSCSI backup SW Supp</v>
          </cell>
          <cell r="F1922">
            <v>403000</v>
          </cell>
        </row>
        <row r="1923">
          <cell r="C1923" t="str">
            <v>UB990E</v>
          </cell>
          <cell r="E1923" t="str">
            <v>HP 3y 24x7 PL SS iSCSI backup SW Supp</v>
          </cell>
          <cell r="F1923">
            <v>648000</v>
          </cell>
        </row>
        <row r="1924">
          <cell r="A1924" t="str">
            <v>T3675A</v>
          </cell>
          <cell r="B1924" t="str">
            <v>ProLiant SS iSCSI Backup Enabler for Gateway</v>
          </cell>
          <cell r="C1924" t="str">
            <v>UB991E</v>
          </cell>
          <cell r="E1924" t="str">
            <v>HP 3y 9x5 PL SS iSCSI gtwy bkup SW Supp</v>
          </cell>
          <cell r="F1924">
            <v>486000</v>
          </cell>
        </row>
        <row r="1925">
          <cell r="C1925" t="str">
            <v>UB992E</v>
          </cell>
          <cell r="E1925" t="str">
            <v>HP 3y 24x7 PL SS iSCSI gtwy bkup SW Supp</v>
          </cell>
          <cell r="F1925">
            <v>810000</v>
          </cell>
        </row>
        <row r="1926">
          <cell r="A1926" t="str">
            <v>T3696A</v>
          </cell>
          <cell r="B1926" t="str">
            <v>HP Proliant Storage Server iSCSI Agents Pack SW</v>
          </cell>
          <cell r="C1926" t="str">
            <v>UC647E</v>
          </cell>
          <cell r="E1926" t="str">
            <v>HP 3y 9x5 PL SS iSCSI Agtspk SW Supp</v>
          </cell>
          <cell r="F1926">
            <v>292000</v>
          </cell>
        </row>
        <row r="1927">
          <cell r="C1927" t="str">
            <v>UC648E</v>
          </cell>
          <cell r="E1927" t="str">
            <v>HP 3y 24x7 PL SS iSCSI Agtspk SW Supp</v>
          </cell>
          <cell r="F1927">
            <v>514000</v>
          </cell>
        </row>
        <row r="1932">
          <cell r="A1932" t="str">
            <v>T3649A</v>
          </cell>
          <cell r="B1932" t="str">
            <v>HP File System Extender client for Microsoft Windows</v>
          </cell>
          <cell r="C1932" t="str">
            <v>UB943E</v>
          </cell>
          <cell r="E1932" t="str">
            <v>HP 1y 24x7 FSE MS Client SW Support</v>
          </cell>
          <cell r="F1932">
            <v>303000</v>
          </cell>
        </row>
        <row r="1933">
          <cell r="C1933" t="str">
            <v>UB944E</v>
          </cell>
          <cell r="E1933" t="str">
            <v>HP 3y 9x5 FSE MS Client SW Support</v>
          </cell>
          <cell r="F1933">
            <v>2841000</v>
          </cell>
        </row>
        <row r="1934">
          <cell r="C1934" t="str">
            <v>UB945E</v>
          </cell>
          <cell r="E1934" t="str">
            <v>HP 3y 24x7 FSE MS Client SW Support</v>
          </cell>
          <cell r="F1934">
            <v>3854000</v>
          </cell>
        </row>
        <row r="1936">
          <cell r="A1936" t="str">
            <v>T3651A</v>
          </cell>
          <cell r="B1936" t="str">
            <v xml:space="preserve">HP File System Extender client for Linux </v>
          </cell>
          <cell r="C1936" t="str">
            <v>UB946E</v>
          </cell>
          <cell r="E1936" t="str">
            <v>HP 1y 24x7 FSE Linux Client SW Support</v>
          </cell>
          <cell r="F1936">
            <v>454000</v>
          </cell>
        </row>
        <row r="1937">
          <cell r="C1937" t="str">
            <v>UB947E</v>
          </cell>
          <cell r="E1937" t="str">
            <v>HP 3y 9x5 FSE Linux Client SW Support</v>
          </cell>
          <cell r="F1937">
            <v>4261000</v>
          </cell>
        </row>
        <row r="1938">
          <cell r="C1938" t="str">
            <v>UB966E</v>
          </cell>
          <cell r="E1938" t="str">
            <v>HP 3y 24x7 FSE Linux Client SW Support</v>
          </cell>
          <cell r="F1938">
            <v>5780000</v>
          </cell>
        </row>
        <row r="1940">
          <cell r="A1940" t="str">
            <v>T3659A</v>
          </cell>
          <cell r="B1940" t="str">
            <v>HP File System Extender read only (WORM) file system upgrade (1TB)(</v>
          </cell>
          <cell r="C1940" t="str">
            <v>UB967E</v>
          </cell>
          <cell r="E1940" t="str">
            <v>HP 1y 24x7 FSE cap upg SW Support</v>
          </cell>
          <cell r="F1940">
            <v>227000</v>
          </cell>
        </row>
        <row r="1941">
          <cell r="A1941" t="str">
            <v>T3656A</v>
          </cell>
          <cell r="B1941" t="str">
            <v xml:space="preserve">HP File System Extender server 1TB incremental capacity license (1 to 20TB) LTU </v>
          </cell>
          <cell r="C1941" t="str">
            <v>UB968E</v>
          </cell>
          <cell r="E1941" t="str">
            <v>HP 3y 9x5 FSE cap upg SW Support</v>
          </cell>
          <cell r="F1941">
            <v>2131000</v>
          </cell>
        </row>
        <row r="1942">
          <cell r="C1942" t="str">
            <v>UB969E</v>
          </cell>
          <cell r="E1942" t="str">
            <v>HP 3y 24x7 FSE cap upg SW Support</v>
          </cell>
          <cell r="F1942">
            <v>2891000</v>
          </cell>
        </row>
        <row r="1944">
          <cell r="A1944" t="str">
            <v>T3653A</v>
          </cell>
          <cell r="B1944" t="str">
            <v>HP File System Extender server base license for Microsoft Windows</v>
          </cell>
          <cell r="C1944" t="str">
            <v>UB970E</v>
          </cell>
          <cell r="E1944" t="str">
            <v>HP 1y 24x7 FSE srvr lic1TB Support</v>
          </cell>
          <cell r="F1944">
            <v>1134000</v>
          </cell>
        </row>
        <row r="1945">
          <cell r="A1945" t="str">
            <v>T3655A</v>
          </cell>
          <cell r="B1945" t="str">
            <v xml:space="preserve">HP File System Extender server base license for Linux </v>
          </cell>
          <cell r="C1945" t="str">
            <v>UB971E</v>
          </cell>
          <cell r="E1945" t="str">
            <v>HP 3y 9x5 FSE srvr lic1TB SW Support</v>
          </cell>
          <cell r="F1945">
            <v>10654000</v>
          </cell>
        </row>
        <row r="1946">
          <cell r="C1946" t="str">
            <v>UB972E</v>
          </cell>
          <cell r="E1946" t="str">
            <v>HP 3y 24x7 FSE srvr lic1TB SW Support</v>
          </cell>
          <cell r="F1946">
            <v>14452000</v>
          </cell>
        </row>
        <row r="1948">
          <cell r="A1948" t="str">
            <v>T3657A</v>
          </cell>
          <cell r="B1948" t="str">
            <v xml:space="preserve">HP File System Extender server 1TB incremental capacity license (21 to 100TB) LTU </v>
          </cell>
          <cell r="C1948" t="str">
            <v>UB973E</v>
          </cell>
          <cell r="E1948" t="str">
            <v>HP 1y 24x7 FSE cap 21-100TB Support</v>
          </cell>
          <cell r="F1948">
            <v>76000</v>
          </cell>
        </row>
        <row r="1949">
          <cell r="C1949" t="str">
            <v>UB974E</v>
          </cell>
          <cell r="E1949" t="str">
            <v>HP 3y 9x5 FSE cap 21-100TB SW Support</v>
          </cell>
          <cell r="F1949">
            <v>710000</v>
          </cell>
        </row>
        <row r="1950">
          <cell r="C1950" t="str">
            <v>UB975E</v>
          </cell>
          <cell r="E1950" t="str">
            <v>HP 3y 24x7 FSE cap 21-100TB SW Support</v>
          </cell>
          <cell r="F1950">
            <v>963000</v>
          </cell>
        </row>
        <row r="1952">
          <cell r="A1952" t="str">
            <v>T3658A</v>
          </cell>
          <cell r="B1952" t="str">
            <v xml:space="preserve">HP File System Extender server 1TB incremental capacity license (100TB+) LTU </v>
          </cell>
          <cell r="C1952" t="str">
            <v>UB976E</v>
          </cell>
          <cell r="E1952" t="str">
            <v>HP 1y 24x7 FSE cap 100TB+ Support</v>
          </cell>
          <cell r="F1952">
            <v>39000</v>
          </cell>
        </row>
        <row r="1953">
          <cell r="C1953" t="str">
            <v>UB977E</v>
          </cell>
          <cell r="E1953" t="str">
            <v>HP 3y 9x5 FSE cap 100TB+ SW Support</v>
          </cell>
          <cell r="F1953">
            <v>355000</v>
          </cell>
        </row>
        <row r="1954">
          <cell r="C1954" t="str">
            <v>UB978E</v>
          </cell>
          <cell r="E1954" t="str">
            <v>HP 3y 24x7 FSE cap 100TB+ SW Support</v>
          </cell>
          <cell r="F1954">
            <v>482000</v>
          </cell>
        </row>
        <row r="1956">
          <cell r="A1956" t="str">
            <v>261715-B21</v>
          </cell>
          <cell r="C1956" t="str">
            <v>U9541E</v>
          </cell>
          <cell r="E1956" t="str">
            <v>HP 1y 24x7 SPWIN WE LTU4.0C SW Supp</v>
          </cell>
          <cell r="F1956">
            <v>159000</v>
          </cell>
        </row>
        <row r="1957">
          <cell r="A1957" t="str">
            <v>261715-B22</v>
          </cell>
          <cell r="C1957" t="str">
            <v>UC515E</v>
          </cell>
          <cell r="E1957" t="str">
            <v xml:space="preserve">HP 1y SP WIN WE LTU4.0C SW Support </v>
          </cell>
          <cell r="F1957">
            <v>151000</v>
          </cell>
        </row>
        <row r="1958">
          <cell r="A1958" t="str">
            <v>261715-B23</v>
          </cell>
          <cell r="C1958" t="str">
            <v>U9542E</v>
          </cell>
          <cell r="E1958" t="str">
            <v>HP 3y 24x7 SPWIN WE LTU4.0C SW Supp</v>
          </cell>
          <cell r="F1958">
            <v>465000</v>
          </cell>
        </row>
        <row r="1959">
          <cell r="A1959" t="str">
            <v>261715-B24</v>
          </cell>
          <cell r="C1959" t="str">
            <v>UC516E</v>
          </cell>
          <cell r="E1959" t="str">
            <v xml:space="preserve">HP 3y SP WIN WE LTU4.0C SW Support </v>
          </cell>
          <cell r="F1959">
            <v>440000</v>
          </cell>
        </row>
        <row r="1960">
          <cell r="A1960" t="str">
            <v>325634-292</v>
          </cell>
        </row>
        <row r="1961">
          <cell r="A1961" t="str">
            <v>325634-293</v>
          </cell>
        </row>
        <row r="1963">
          <cell r="A1963" t="str">
            <v>213076-B22</v>
          </cell>
          <cell r="C1963" t="str">
            <v>U9543E</v>
          </cell>
          <cell r="E1963" t="str">
            <v>HP 1y 24x7 SPWI/LX/HP/Nt WE1LT SW Supp</v>
          </cell>
          <cell r="F1963">
            <v>607000</v>
          </cell>
        </row>
        <row r="1964">
          <cell r="A1964" t="str">
            <v>213076-B23</v>
          </cell>
          <cell r="C1964" t="str">
            <v>UC517E</v>
          </cell>
          <cell r="E1964" t="str">
            <v xml:space="preserve">HP 1y SPWI/LX/HP/Nt WE1LT SW Supp </v>
          </cell>
          <cell r="F1964">
            <v>574000</v>
          </cell>
        </row>
        <row r="1965">
          <cell r="A1965" t="str">
            <v>213076-B24</v>
          </cell>
          <cell r="C1965" t="str">
            <v>U9544E</v>
          </cell>
          <cell r="E1965" t="str">
            <v>HP 3y 24x7 SPWI/LX/HP/Nt WE1LT SW Supp</v>
          </cell>
          <cell r="F1965">
            <v>1767000</v>
          </cell>
        </row>
        <row r="1966">
          <cell r="A1966" t="str">
            <v>213076-B25</v>
          </cell>
          <cell r="C1966" t="str">
            <v>UC518E</v>
          </cell>
          <cell r="E1966" t="str">
            <v xml:space="preserve">HP 3y SPWI/LX/HP/Nt WE1LT SW Supp </v>
          </cell>
          <cell r="F1966">
            <v>1671000</v>
          </cell>
        </row>
        <row r="1967">
          <cell r="A1967" t="str">
            <v>213076-B26</v>
          </cell>
        </row>
        <row r="1968">
          <cell r="A1968" t="str">
            <v>222411-B22</v>
          </cell>
        </row>
        <row r="1969">
          <cell r="A1969" t="str">
            <v>291536-B21</v>
          </cell>
        </row>
        <row r="1970">
          <cell r="A1970" t="str">
            <v>291536-B22</v>
          </cell>
        </row>
        <row r="1971">
          <cell r="A1971" t="str">
            <v>291869-293</v>
          </cell>
        </row>
        <row r="1972">
          <cell r="A1972" t="str">
            <v>291869-294</v>
          </cell>
        </row>
        <row r="1973">
          <cell r="A1973" t="str">
            <v>347079-B21</v>
          </cell>
        </row>
        <row r="1974">
          <cell r="A1974" t="str">
            <v>T1094A</v>
          </cell>
        </row>
        <row r="1975">
          <cell r="A1975" t="str">
            <v>T3554A</v>
          </cell>
        </row>
        <row r="1976">
          <cell r="A1976" t="str">
            <v>T3554B</v>
          </cell>
        </row>
        <row r="1977">
          <cell r="A1977" t="str">
            <v>T3581A</v>
          </cell>
        </row>
        <row r="1979">
          <cell r="A1979" t="str">
            <v>325634-B21</v>
          </cell>
          <cell r="C1979" t="str">
            <v>U9545E</v>
          </cell>
          <cell r="E1979" t="str">
            <v>HP 1y 24x7 SPWIN/LNX WE 8 LTU SW Support</v>
          </cell>
          <cell r="F1979">
            <v>2558000</v>
          </cell>
        </row>
        <row r="1980">
          <cell r="A1980" t="str">
            <v>325634-B22</v>
          </cell>
          <cell r="C1980" t="str">
            <v>UC519E</v>
          </cell>
          <cell r="E1980" t="str">
            <v xml:space="preserve">HP 1y SPWIN/LNX WE 8 LTU SW Support </v>
          </cell>
          <cell r="F1980">
            <v>2420000</v>
          </cell>
        </row>
        <row r="1981">
          <cell r="A1981" t="str">
            <v>325634-B23</v>
          </cell>
          <cell r="C1981" t="str">
            <v>U9546E</v>
          </cell>
          <cell r="E1981" t="str">
            <v>HP 3y 24x7 SPWIN/LNX WE 8 LTU SW Support</v>
          </cell>
          <cell r="F1981">
            <v>7443000</v>
          </cell>
        </row>
        <row r="1982">
          <cell r="A1982" t="str">
            <v>326267-B21</v>
          </cell>
          <cell r="C1982" t="str">
            <v>UC520E</v>
          </cell>
          <cell r="E1982" t="str">
            <v xml:space="preserve">HP 3y SPWIN/LNX WE 8 LTU SW Support </v>
          </cell>
          <cell r="F1982">
            <v>7043000</v>
          </cell>
        </row>
        <row r="1983">
          <cell r="A1983" t="str">
            <v>326267-B22</v>
          </cell>
        </row>
        <row r="1984">
          <cell r="A1984" t="str">
            <v>T1100A</v>
          </cell>
        </row>
        <row r="1985">
          <cell r="A1985" t="str">
            <v>T3583A</v>
          </cell>
        </row>
        <row r="1987">
          <cell r="A1987" t="str">
            <v>231316-B23</v>
          </cell>
          <cell r="C1987" t="str">
            <v>U9547E</v>
          </cell>
          <cell r="E1987" t="str">
            <v>HP 1y 24x7 SPWIN/LX/HP WE 5LT SW Supp</v>
          </cell>
          <cell r="F1987">
            <v>2878000</v>
          </cell>
        </row>
        <row r="1988">
          <cell r="A1988" t="str">
            <v>231316-B24</v>
          </cell>
          <cell r="C1988" t="str">
            <v>UC521E</v>
          </cell>
          <cell r="E1988" t="str">
            <v xml:space="preserve">HP 1y SPWIN/LX/HP WE 5LT SW Support </v>
          </cell>
          <cell r="F1988">
            <v>2723000</v>
          </cell>
        </row>
        <row r="1989">
          <cell r="A1989" t="str">
            <v>231316-B25</v>
          </cell>
          <cell r="C1989" t="str">
            <v>U9548E</v>
          </cell>
          <cell r="E1989" t="str">
            <v>HP 3y 24x7 APWIN/LX/HP WE 5LT SW Supp</v>
          </cell>
          <cell r="F1989">
            <v>8361000</v>
          </cell>
        </row>
        <row r="1990">
          <cell r="A1990" t="str">
            <v>231316-B26</v>
          </cell>
          <cell r="C1990" t="str">
            <v>UC522E</v>
          </cell>
          <cell r="E1990" t="str">
            <v xml:space="preserve">HP 3y SPWIN/LX/HP WE 5LT SW Support </v>
          </cell>
          <cell r="F1990">
            <v>7922000</v>
          </cell>
        </row>
        <row r="1991">
          <cell r="A1991" t="str">
            <v>231324-B22</v>
          </cell>
        </row>
        <row r="1992">
          <cell r="A1992" t="str">
            <v>291537-B21</v>
          </cell>
        </row>
        <row r="1993">
          <cell r="A1993" t="str">
            <v>291537-B22</v>
          </cell>
        </row>
        <row r="1994">
          <cell r="A1994" t="str">
            <v>291870-293</v>
          </cell>
        </row>
        <row r="1995">
          <cell r="A1995" t="str">
            <v>291870-294</v>
          </cell>
        </row>
        <row r="1996">
          <cell r="A1996" t="str">
            <v>347080-B21</v>
          </cell>
        </row>
        <row r="1997">
          <cell r="A1997" t="str">
            <v>T1095A</v>
          </cell>
        </row>
        <row r="1998">
          <cell r="A1998" t="str">
            <v>T3555A</v>
          </cell>
        </row>
        <row r="1999">
          <cell r="A1999" t="str">
            <v>T3555B</v>
          </cell>
        </row>
        <row r="2000">
          <cell r="A2000" t="str">
            <v>T3582A</v>
          </cell>
        </row>
        <row r="2002">
          <cell r="A2002" t="str">
            <v>231317-B23</v>
          </cell>
          <cell r="C2002" t="str">
            <v>U9549E</v>
          </cell>
          <cell r="E2002" t="str">
            <v>HP 1y 24x7 SPWIN/LX/HP WE10LT SW Support</v>
          </cell>
          <cell r="F2002">
            <v>5275000</v>
          </cell>
        </row>
        <row r="2003">
          <cell r="A2003" t="str">
            <v>231317-B24</v>
          </cell>
          <cell r="C2003" t="str">
            <v>UC523E</v>
          </cell>
          <cell r="E2003" t="str">
            <v xml:space="preserve">HP 1y SPWIN/LX/HP WE10LT SW Support </v>
          </cell>
          <cell r="F2003">
            <v>4991000</v>
          </cell>
        </row>
        <row r="2004">
          <cell r="A2004" t="str">
            <v>231317-B25</v>
          </cell>
          <cell r="C2004" t="str">
            <v>U9550E</v>
          </cell>
          <cell r="E2004" t="str">
            <v>HP 3y 24x7 SPWIN/LX/HP WE10LT SW Support</v>
          </cell>
          <cell r="F2004">
            <v>15352000</v>
          </cell>
        </row>
        <row r="2005">
          <cell r="A2005" t="str">
            <v>231317-B26</v>
          </cell>
          <cell r="C2005" t="str">
            <v>UC524E</v>
          </cell>
          <cell r="E2005" t="str">
            <v>HP 3y SPWIN/LX/HP WE10LT SW Support</v>
          </cell>
          <cell r="F2005">
            <v>14525000</v>
          </cell>
        </row>
        <row r="2006">
          <cell r="A2006" t="str">
            <v>231325-B22</v>
          </cell>
        </row>
        <row r="2007">
          <cell r="A2007" t="str">
            <v>291538-B21</v>
          </cell>
        </row>
        <row r="2008">
          <cell r="A2008" t="str">
            <v>291538-B22</v>
          </cell>
        </row>
        <row r="2009">
          <cell r="A2009" t="str">
            <v>291871-293</v>
          </cell>
        </row>
        <row r="2010">
          <cell r="A2010" t="str">
            <v>291871-294</v>
          </cell>
        </row>
        <row r="2011">
          <cell r="A2011" t="str">
            <v>347081-B21</v>
          </cell>
        </row>
        <row r="2012">
          <cell r="A2012" t="str">
            <v>T1096A</v>
          </cell>
        </row>
        <row r="2013">
          <cell r="A2013" t="str">
            <v>T3556A</v>
          </cell>
        </row>
        <row r="2014">
          <cell r="A2014" t="str">
            <v>T3556B</v>
          </cell>
        </row>
        <row r="2015">
          <cell r="A2015" t="str">
            <v>T3584A</v>
          </cell>
        </row>
        <row r="2017">
          <cell r="A2017" t="str">
            <v>231318-B23</v>
          </cell>
          <cell r="C2017" t="str">
            <v>UA826E</v>
          </cell>
          <cell r="E2017" t="str">
            <v>HP 1y 24x7 SPWIN/LX/HP WE25LT SW Support</v>
          </cell>
          <cell r="F2017">
            <v>11031000</v>
          </cell>
        </row>
        <row r="2018">
          <cell r="A2018" t="str">
            <v>231318-B24</v>
          </cell>
          <cell r="C2018" t="str">
            <v>UC525E</v>
          </cell>
          <cell r="E2018" t="str">
            <v>HP 1y SPWIN/LX/HP WE25LT SW Support</v>
          </cell>
          <cell r="F2018">
            <v>10436000</v>
          </cell>
        </row>
        <row r="2019">
          <cell r="A2019" t="str">
            <v>231318-B25</v>
          </cell>
          <cell r="C2019" t="str">
            <v>UA827E</v>
          </cell>
          <cell r="E2019" t="str">
            <v>HP 3y 24x7 SPWIN/LX/HP WE25LT SW Support</v>
          </cell>
          <cell r="F2019">
            <v>32101000</v>
          </cell>
        </row>
        <row r="2020">
          <cell r="A2020" t="str">
            <v>231318-B26</v>
          </cell>
          <cell r="C2020" t="str">
            <v>UC526E</v>
          </cell>
          <cell r="E2020" t="str">
            <v>HP 3y SPWIN/LX/HP WE25LT SW Support</v>
          </cell>
          <cell r="F2020">
            <v>30369000</v>
          </cell>
        </row>
        <row r="2021">
          <cell r="A2021" t="str">
            <v>231326-B22</v>
          </cell>
        </row>
        <row r="2022">
          <cell r="A2022" t="str">
            <v>291539-B21</v>
          </cell>
        </row>
        <row r="2023">
          <cell r="A2023" t="str">
            <v>291539-B22</v>
          </cell>
        </row>
        <row r="2024">
          <cell r="A2024" t="str">
            <v>347082-B21</v>
          </cell>
        </row>
        <row r="2025">
          <cell r="A2025" t="str">
            <v>T1097A</v>
          </cell>
        </row>
        <row r="2026">
          <cell r="A2026" t="str">
            <v>T3557A</v>
          </cell>
        </row>
        <row r="2027">
          <cell r="A2027" t="str">
            <v>T3557B</v>
          </cell>
        </row>
        <row r="2028">
          <cell r="A2028" t="str">
            <v>T3585A</v>
          </cell>
        </row>
        <row r="2030">
          <cell r="A2030" t="str">
            <v>231319-B23</v>
          </cell>
          <cell r="C2030" t="str">
            <v>UA828E</v>
          </cell>
          <cell r="E2030" t="str">
            <v>HP 1y 24x7 SPWIN/LX/HP WE50LT SW Support</v>
          </cell>
          <cell r="F2030">
            <v>19984000</v>
          </cell>
        </row>
        <row r="2031">
          <cell r="A2031" t="str">
            <v>231319-B24</v>
          </cell>
          <cell r="C2031" t="str">
            <v>UC527E</v>
          </cell>
          <cell r="E2031" t="str">
            <v>HP 1y SPWIN/LX/HP WE50LT SW Support</v>
          </cell>
          <cell r="F2031">
            <v>18907000</v>
          </cell>
        </row>
        <row r="2032">
          <cell r="A2032" t="str">
            <v>231319-B25</v>
          </cell>
          <cell r="C2032" t="str">
            <v>UA829E</v>
          </cell>
          <cell r="E2032" t="str">
            <v>HP 3y 24x7 SPWIN/LX/HP WE50LT SW Support</v>
          </cell>
          <cell r="F2032">
            <v>58155000</v>
          </cell>
        </row>
        <row r="2033">
          <cell r="A2033" t="str">
            <v>231319-B26</v>
          </cell>
          <cell r="C2033" t="str">
            <v>UC528E</v>
          </cell>
          <cell r="E2033" t="str">
            <v>HP 3y SPWIN/LX/HP WE50LT SW Support</v>
          </cell>
          <cell r="F2033">
            <v>55017000</v>
          </cell>
        </row>
        <row r="2034">
          <cell r="A2034" t="str">
            <v>231327-B22</v>
          </cell>
        </row>
        <row r="2035">
          <cell r="A2035" t="str">
            <v>291540-B21</v>
          </cell>
        </row>
        <row r="2036">
          <cell r="A2036" t="str">
            <v>291540-B22</v>
          </cell>
        </row>
        <row r="2037">
          <cell r="A2037" t="str">
            <v>347083-B21</v>
          </cell>
        </row>
        <row r="2038">
          <cell r="A2038" t="str">
            <v>T1098A</v>
          </cell>
        </row>
        <row r="2039">
          <cell r="A2039" t="str">
            <v>T3558A</v>
          </cell>
        </row>
        <row r="2040">
          <cell r="A2040" t="str">
            <v>T3558B</v>
          </cell>
        </row>
        <row r="2041">
          <cell r="A2041" t="str">
            <v>T3586A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HandlerView"/>
      <sheetName val="Settings"/>
      <sheetName val="SystemFW_DATE"/>
      <sheetName val="AIXPATCH_DATE"/>
      <sheetName val="Disk_RPM"/>
      <sheetName val="PMSheet"/>
      <sheetName val="시스템파라미터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220R외"/>
      <sheetName val="3월가격"/>
      <sheetName val="List(삭제금지)"/>
      <sheetName val="UNIERP"/>
      <sheetName val="studio"/>
      <sheetName val="test"/>
      <sheetName val="Sheet2"/>
      <sheetName val="손익"/>
    </sheetNames>
    <sheetDataSet>
      <sheetData sheetId="0"/>
      <sheetData sheetId="1">
        <row r="1">
          <cell r="A1" t="str">
            <v>Mkt Part number</v>
          </cell>
        </row>
        <row r="2">
          <cell r="A2" t="str">
            <v>1018A</v>
          </cell>
        </row>
        <row r="3">
          <cell r="A3" t="str">
            <v>1032A</v>
          </cell>
        </row>
        <row r="4">
          <cell r="A4" t="str">
            <v>1033A</v>
          </cell>
        </row>
        <row r="5">
          <cell r="A5" t="str">
            <v>1034A</v>
          </cell>
        </row>
        <row r="6">
          <cell r="A6" t="str">
            <v>1049A</v>
          </cell>
        </row>
        <row r="7">
          <cell r="A7" t="str">
            <v>1059A</v>
          </cell>
        </row>
        <row r="8">
          <cell r="A8" t="str">
            <v>1063A</v>
          </cell>
        </row>
        <row r="9">
          <cell r="A9" t="str">
            <v>1065A</v>
          </cell>
        </row>
        <row r="10">
          <cell r="A10" t="str">
            <v>1071A</v>
          </cell>
        </row>
        <row r="11">
          <cell r="A11" t="str">
            <v>1080A</v>
          </cell>
        </row>
        <row r="12">
          <cell r="A12" t="str">
            <v>1098A</v>
          </cell>
        </row>
        <row r="13">
          <cell r="A13" t="str">
            <v>1099A</v>
          </cell>
        </row>
        <row r="14">
          <cell r="A14" t="str">
            <v>1132A</v>
          </cell>
        </row>
        <row r="15">
          <cell r="A15" t="str">
            <v>1134A</v>
          </cell>
        </row>
        <row r="16">
          <cell r="A16" t="str">
            <v>1139A</v>
          </cell>
        </row>
        <row r="17">
          <cell r="A17" t="str">
            <v>1140A</v>
          </cell>
        </row>
        <row r="18">
          <cell r="A18" t="str">
            <v>1141A</v>
          </cell>
        </row>
        <row r="19">
          <cell r="A19" t="str">
            <v>1150A</v>
          </cell>
        </row>
        <row r="20">
          <cell r="A20" t="str">
            <v>1151A</v>
          </cell>
        </row>
        <row r="21">
          <cell r="A21" t="str">
            <v>1157A</v>
          </cell>
        </row>
        <row r="22">
          <cell r="A22" t="str">
            <v>1158A</v>
          </cell>
        </row>
        <row r="23">
          <cell r="A23" t="str">
            <v>1159A</v>
          </cell>
        </row>
        <row r="24">
          <cell r="A24" t="str">
            <v>1194A</v>
          </cell>
        </row>
        <row r="25">
          <cell r="A25" t="str">
            <v>1195A</v>
          </cell>
        </row>
        <row r="26">
          <cell r="A26" t="str">
            <v>1197A</v>
          </cell>
        </row>
        <row r="27">
          <cell r="A27" t="str">
            <v>1232A</v>
          </cell>
        </row>
        <row r="28">
          <cell r="A28" t="str">
            <v>1234A</v>
          </cell>
        </row>
        <row r="29">
          <cell r="A29" t="str">
            <v>1261A</v>
          </cell>
        </row>
        <row r="30">
          <cell r="A30" t="str">
            <v>1266A</v>
          </cell>
        </row>
        <row r="31">
          <cell r="A31" t="str">
            <v>1268A</v>
          </cell>
        </row>
        <row r="32">
          <cell r="A32" t="str">
            <v>1311A</v>
          </cell>
        </row>
        <row r="33">
          <cell r="A33" t="str">
            <v>1312A</v>
          </cell>
        </row>
        <row r="34">
          <cell r="A34" t="str">
            <v>15K-PL-KOREAN</v>
          </cell>
        </row>
        <row r="35">
          <cell r="A35" t="str">
            <v>1871A</v>
          </cell>
        </row>
        <row r="36">
          <cell r="A36" t="str">
            <v>2069A</v>
          </cell>
        </row>
        <row r="37">
          <cell r="A37" t="str">
            <v>2132A</v>
          </cell>
        </row>
        <row r="38">
          <cell r="A38" t="str">
            <v>2151A</v>
          </cell>
        </row>
        <row r="39">
          <cell r="A39" t="str">
            <v>2156A</v>
          </cell>
        </row>
        <row r="40">
          <cell r="A40" t="str">
            <v>2244A</v>
          </cell>
        </row>
        <row r="41">
          <cell r="A41" t="str">
            <v>2248A</v>
          </cell>
        </row>
        <row r="42">
          <cell r="A42" t="str">
            <v>250M9-100-W999</v>
          </cell>
        </row>
        <row r="43">
          <cell r="A43" t="str">
            <v>2560A</v>
          </cell>
        </row>
        <row r="44">
          <cell r="A44" t="str">
            <v>2580A</v>
          </cell>
        </row>
        <row r="45">
          <cell r="A45" t="str">
            <v>2590A</v>
          </cell>
        </row>
        <row r="46">
          <cell r="A46" t="str">
            <v>2602A</v>
          </cell>
        </row>
        <row r="47">
          <cell r="A47" t="str">
            <v>2602A-P62</v>
          </cell>
        </row>
        <row r="48">
          <cell r="A48" t="str">
            <v>2602A-P82</v>
          </cell>
        </row>
        <row r="49">
          <cell r="A49" t="str">
            <v>2602A-P83</v>
          </cell>
        </row>
        <row r="50">
          <cell r="A50" t="str">
            <v>2602A-P84A</v>
          </cell>
        </row>
        <row r="51">
          <cell r="A51" t="str">
            <v>2602A-P84B</v>
          </cell>
        </row>
        <row r="52">
          <cell r="A52" t="str">
            <v>2602A-P85A</v>
          </cell>
        </row>
        <row r="53">
          <cell r="A53" t="str">
            <v>2602A-P85B</v>
          </cell>
        </row>
        <row r="54">
          <cell r="A54" t="str">
            <v>2602A-P92</v>
          </cell>
        </row>
        <row r="55">
          <cell r="A55" t="str">
            <v>2602A-P93</v>
          </cell>
        </row>
        <row r="56">
          <cell r="A56" t="str">
            <v>2602A-P94A</v>
          </cell>
        </row>
        <row r="57">
          <cell r="A57" t="str">
            <v>2602A-P94B</v>
          </cell>
        </row>
        <row r="58">
          <cell r="A58" t="str">
            <v>2602A-P95A</v>
          </cell>
        </row>
        <row r="59">
          <cell r="A59" t="str">
            <v>2602A-P95B</v>
          </cell>
        </row>
        <row r="60">
          <cell r="A60" t="str">
            <v>2612A</v>
          </cell>
        </row>
        <row r="61">
          <cell r="A61" t="str">
            <v>2612A-SS-A</v>
          </cell>
        </row>
        <row r="62">
          <cell r="A62" t="str">
            <v>2622A</v>
          </cell>
        </row>
        <row r="63">
          <cell r="A63" t="str">
            <v>2632A</v>
          </cell>
        </row>
        <row r="64">
          <cell r="A64" t="str">
            <v>2632A-PP-A</v>
          </cell>
        </row>
        <row r="65">
          <cell r="A65" t="str">
            <v>2642A-SG-A</v>
          </cell>
        </row>
        <row r="66">
          <cell r="A66" t="str">
            <v>2652A</v>
          </cell>
        </row>
        <row r="67">
          <cell r="A67" t="str">
            <v>2730A</v>
          </cell>
        </row>
        <row r="68">
          <cell r="A68" t="str">
            <v>2731A</v>
          </cell>
        </row>
        <row r="69">
          <cell r="A69" t="str">
            <v>2755A</v>
          </cell>
        </row>
        <row r="70">
          <cell r="A70" t="str">
            <v>2757A</v>
          </cell>
        </row>
        <row r="71">
          <cell r="A71" t="str">
            <v>2761A</v>
          </cell>
        </row>
        <row r="72">
          <cell r="A72" t="str">
            <v>2862A</v>
          </cell>
        </row>
        <row r="73">
          <cell r="A73" t="str">
            <v>2863A</v>
          </cell>
        </row>
        <row r="74">
          <cell r="A74" t="str">
            <v>2866A</v>
          </cell>
        </row>
        <row r="75">
          <cell r="A75" t="str">
            <v>2869A</v>
          </cell>
        </row>
        <row r="76">
          <cell r="A76" t="str">
            <v>319YA</v>
          </cell>
        </row>
        <row r="77">
          <cell r="A77" t="str">
            <v>3668A</v>
          </cell>
        </row>
        <row r="78">
          <cell r="A78" t="str">
            <v>3256A</v>
          </cell>
        </row>
        <row r="79">
          <cell r="A79" t="str">
            <v>3670A</v>
          </cell>
        </row>
        <row r="80">
          <cell r="A80" t="str">
            <v>3671A</v>
          </cell>
        </row>
        <row r="81">
          <cell r="A81" t="str">
            <v>3678A</v>
          </cell>
        </row>
        <row r="82">
          <cell r="A82" t="str">
            <v>3678A-F</v>
          </cell>
        </row>
        <row r="83">
          <cell r="A83" t="str">
            <v>3679A</v>
          </cell>
        </row>
        <row r="84">
          <cell r="A84" t="str">
            <v>3684A</v>
          </cell>
        </row>
        <row r="85">
          <cell r="A85" t="str">
            <v>3768A</v>
          </cell>
        </row>
        <row r="86">
          <cell r="A86" t="str">
            <v>3800A</v>
          </cell>
        </row>
        <row r="87">
          <cell r="A87" t="str">
            <v>3830A</v>
          </cell>
        </row>
        <row r="88">
          <cell r="A88" t="str">
            <v>3831A</v>
          </cell>
        </row>
        <row r="89">
          <cell r="A89" t="str">
            <v>3832A</v>
          </cell>
        </row>
        <row r="90">
          <cell r="A90" t="str">
            <v>3837A</v>
          </cell>
        </row>
        <row r="91">
          <cell r="A91" t="str">
            <v>3848A</v>
          </cell>
        </row>
        <row r="92">
          <cell r="A92" t="str">
            <v>3851A</v>
          </cell>
        </row>
        <row r="93">
          <cell r="A93" t="str">
            <v>3858A</v>
          </cell>
        </row>
        <row r="94">
          <cell r="A94" t="str">
            <v>3859A</v>
          </cell>
        </row>
        <row r="95">
          <cell r="A95" t="str">
            <v>3865A</v>
          </cell>
        </row>
        <row r="96">
          <cell r="A96" t="str">
            <v>3872A</v>
          </cell>
        </row>
        <row r="97">
          <cell r="A97" t="str">
            <v>3875A</v>
          </cell>
        </row>
        <row r="98">
          <cell r="A98" t="str">
            <v>4030A</v>
          </cell>
        </row>
        <row r="99">
          <cell r="A99" t="str">
            <v>4050A</v>
          </cell>
        </row>
        <row r="100">
          <cell r="A100" t="str">
            <v>4340A</v>
          </cell>
        </row>
        <row r="101">
          <cell r="A101" t="str">
            <v>4341A</v>
          </cell>
        </row>
        <row r="102">
          <cell r="A102" t="str">
            <v>4347A</v>
          </cell>
        </row>
        <row r="103">
          <cell r="A103" t="str">
            <v>4525A</v>
          </cell>
        </row>
        <row r="104">
          <cell r="A104" t="str">
            <v>4575A</v>
          </cell>
        </row>
        <row r="105">
          <cell r="A105" t="str">
            <v>4610A</v>
          </cell>
        </row>
        <row r="106">
          <cell r="A106" t="str">
            <v>4615A</v>
          </cell>
        </row>
        <row r="107">
          <cell r="A107" t="str">
            <v>4810A</v>
          </cell>
        </row>
        <row r="108">
          <cell r="A108" t="str">
            <v>5164A</v>
          </cell>
        </row>
        <row r="109">
          <cell r="A109" t="str">
            <v>5237A</v>
          </cell>
        </row>
        <row r="110">
          <cell r="A110" t="str">
            <v>5238A</v>
          </cell>
        </row>
        <row r="111">
          <cell r="A111" t="str">
            <v>5239A</v>
          </cell>
        </row>
        <row r="112">
          <cell r="A112" t="str">
            <v>5242A</v>
          </cell>
        </row>
        <row r="113">
          <cell r="A113" t="str">
            <v>5244A</v>
          </cell>
        </row>
        <row r="114">
          <cell r="A114" t="str">
            <v>5247A</v>
          </cell>
        </row>
        <row r="115">
          <cell r="A115" t="str">
            <v>5248A</v>
          </cell>
        </row>
        <row r="116">
          <cell r="A116" t="str">
            <v>5249A</v>
          </cell>
        </row>
        <row r="117">
          <cell r="A117" t="str">
            <v>5250A</v>
          </cell>
        </row>
        <row r="118">
          <cell r="A118" t="str">
            <v>6005A</v>
          </cell>
        </row>
        <row r="119">
          <cell r="A119" t="str">
            <v>6006A</v>
          </cell>
        </row>
        <row r="120">
          <cell r="A120" t="str">
            <v>6168A</v>
          </cell>
        </row>
        <row r="121">
          <cell r="A121" t="str">
            <v>6283A</v>
          </cell>
        </row>
        <row r="122">
          <cell r="A122" t="str">
            <v>6286A</v>
          </cell>
        </row>
        <row r="123">
          <cell r="A123" t="str">
            <v>6295A</v>
          </cell>
        </row>
        <row r="124">
          <cell r="A124" t="str">
            <v>6296A</v>
          </cell>
        </row>
        <row r="125">
          <cell r="A125" t="str">
            <v>6540A</v>
          </cell>
        </row>
        <row r="126">
          <cell r="A126" t="str">
            <v>6541A</v>
          </cell>
        </row>
        <row r="127">
          <cell r="A127" t="str">
            <v>6601A</v>
          </cell>
        </row>
        <row r="128">
          <cell r="A128" t="str">
            <v>6724A</v>
          </cell>
        </row>
        <row r="129">
          <cell r="A129" t="str">
            <v>6727A</v>
          </cell>
        </row>
        <row r="130">
          <cell r="A130" t="str">
            <v>6729A</v>
          </cell>
        </row>
        <row r="131">
          <cell r="A131" t="str">
            <v>6730A</v>
          </cell>
        </row>
        <row r="132">
          <cell r="A132" t="str">
            <v>6731A</v>
          </cell>
        </row>
        <row r="133">
          <cell r="A133" t="str">
            <v>6732A</v>
          </cell>
        </row>
        <row r="134">
          <cell r="A134" t="str">
            <v>6732AR5</v>
          </cell>
        </row>
        <row r="135">
          <cell r="A135" t="str">
            <v>6735A</v>
          </cell>
        </row>
        <row r="136">
          <cell r="A136" t="str">
            <v>6735AR5</v>
          </cell>
        </row>
        <row r="137">
          <cell r="A137" t="str">
            <v>6741A</v>
          </cell>
        </row>
        <row r="138">
          <cell r="A138" t="str">
            <v>6742A</v>
          </cell>
        </row>
        <row r="139">
          <cell r="A139" t="str">
            <v>6747A</v>
          </cell>
        </row>
        <row r="140">
          <cell r="A140" t="str">
            <v>6748A</v>
          </cell>
        </row>
        <row r="141">
          <cell r="A141" t="str">
            <v>6749A</v>
          </cell>
        </row>
        <row r="142">
          <cell r="A142" t="str">
            <v>6757A</v>
          </cell>
        </row>
        <row r="143">
          <cell r="A143" t="str">
            <v>6758A</v>
          </cell>
        </row>
        <row r="144">
          <cell r="A144" t="str">
            <v>6766A</v>
          </cell>
        </row>
        <row r="145">
          <cell r="A145" t="str">
            <v>6799A</v>
          </cell>
        </row>
        <row r="146">
          <cell r="A146" t="str">
            <v>6898A</v>
          </cell>
        </row>
        <row r="147">
          <cell r="A147" t="str">
            <v>6912A</v>
          </cell>
        </row>
        <row r="148">
          <cell r="A148" t="str">
            <v>6973A</v>
          </cell>
        </row>
        <row r="149">
          <cell r="A149" t="str">
            <v>6988A</v>
          </cell>
        </row>
        <row r="150">
          <cell r="A150" t="str">
            <v>6990A</v>
          </cell>
        </row>
        <row r="151">
          <cell r="A151" t="str">
            <v>7000A</v>
          </cell>
        </row>
        <row r="152">
          <cell r="A152" t="str">
            <v>7003A</v>
          </cell>
        </row>
        <row r="153">
          <cell r="A153" t="str">
            <v>7004A</v>
          </cell>
        </row>
        <row r="154">
          <cell r="A154" t="str">
            <v>7005A</v>
          </cell>
        </row>
        <row r="155">
          <cell r="A155" t="str">
            <v>7009A</v>
          </cell>
        </row>
        <row r="156">
          <cell r="A156" t="str">
            <v>7023A</v>
          </cell>
        </row>
        <row r="157">
          <cell r="A157" t="str">
            <v>7025A</v>
          </cell>
        </row>
        <row r="158">
          <cell r="A158" t="str">
            <v>7026A</v>
          </cell>
        </row>
        <row r="159">
          <cell r="A159" t="str">
            <v>7043A</v>
          </cell>
        </row>
        <row r="160">
          <cell r="A160" t="str">
            <v>7050A</v>
          </cell>
        </row>
        <row r="161">
          <cell r="A161" t="str">
            <v>7051A</v>
          </cell>
        </row>
        <row r="162">
          <cell r="A162" t="str">
            <v>7052A</v>
          </cell>
        </row>
        <row r="163">
          <cell r="A163" t="str">
            <v>7053A</v>
          </cell>
        </row>
        <row r="164">
          <cell r="A164" t="str">
            <v>7088A</v>
          </cell>
        </row>
        <row r="165">
          <cell r="A165" t="str">
            <v>7091A</v>
          </cell>
        </row>
        <row r="166">
          <cell r="A166" t="str">
            <v>7092A</v>
          </cell>
        </row>
        <row r="167">
          <cell r="A167" t="str">
            <v>7288A</v>
          </cell>
        </row>
        <row r="168">
          <cell r="A168" t="str">
            <v>902A</v>
          </cell>
        </row>
        <row r="169">
          <cell r="A169" t="str">
            <v>9524A</v>
          </cell>
        </row>
        <row r="170">
          <cell r="A170" t="str">
            <v>953A</v>
          </cell>
        </row>
        <row r="171">
          <cell r="A171" t="str">
            <v>954A</v>
          </cell>
        </row>
        <row r="172">
          <cell r="A172" t="str">
            <v>9604A</v>
          </cell>
        </row>
        <row r="173">
          <cell r="A173" t="str">
            <v>9622A</v>
          </cell>
        </row>
        <row r="174">
          <cell r="A174" t="str">
            <v>9623A</v>
          </cell>
        </row>
        <row r="175">
          <cell r="A175" t="str">
            <v>9630A</v>
          </cell>
        </row>
        <row r="176">
          <cell r="A176" t="str">
            <v>9643A</v>
          </cell>
        </row>
        <row r="177">
          <cell r="A177" t="str">
            <v>9660A</v>
          </cell>
        </row>
        <row r="178">
          <cell r="A178" t="str">
            <v>9671A</v>
          </cell>
        </row>
        <row r="179">
          <cell r="A179" t="str">
            <v>9681A</v>
          </cell>
        </row>
        <row r="180">
          <cell r="A180" t="str">
            <v>9682A</v>
          </cell>
        </row>
        <row r="181">
          <cell r="A181" t="str">
            <v>9683A</v>
          </cell>
        </row>
        <row r="182">
          <cell r="A182" t="str">
            <v>9684A</v>
          </cell>
        </row>
        <row r="183">
          <cell r="A183" t="str">
            <v>9685A</v>
          </cell>
        </row>
        <row r="184">
          <cell r="A184" t="str">
            <v>9686A</v>
          </cell>
        </row>
        <row r="185">
          <cell r="A185" t="str">
            <v>9689A</v>
          </cell>
        </row>
        <row r="186">
          <cell r="A186" t="str">
            <v>9693A</v>
          </cell>
        </row>
        <row r="187">
          <cell r="A187" t="str">
            <v>9715A</v>
          </cell>
        </row>
        <row r="188">
          <cell r="A188" t="str">
            <v>973A</v>
          </cell>
        </row>
        <row r="189">
          <cell r="A189" t="str">
            <v>978A</v>
          </cell>
        </row>
        <row r="190">
          <cell r="A190" t="str">
            <v>979A</v>
          </cell>
        </row>
        <row r="191">
          <cell r="A191" t="str">
            <v>9818A</v>
          </cell>
        </row>
        <row r="192">
          <cell r="A192" t="str">
            <v>9819AR5</v>
          </cell>
        </row>
        <row r="193">
          <cell r="A193" t="str">
            <v>9940A</v>
          </cell>
        </row>
        <row r="194">
          <cell r="A194" t="str">
            <v>A21UJC1Z9P-C128CY</v>
          </cell>
        </row>
        <row r="195">
          <cell r="A195" t="str">
            <v>A21UJC1Z9P-C256CY</v>
          </cell>
        </row>
        <row r="196">
          <cell r="A196" t="str">
            <v>A22UKC1A9Z-C512CY</v>
          </cell>
        </row>
        <row r="197">
          <cell r="A197" t="str">
            <v>A22UKC1B9Z-C512CY</v>
          </cell>
        </row>
        <row r="198">
          <cell r="A198" t="str">
            <v>A22UKC1Z9L-C256CY</v>
          </cell>
        </row>
        <row r="199">
          <cell r="A199" t="str">
            <v>A22UKC1Z9L-C512CY</v>
          </cell>
        </row>
        <row r="200">
          <cell r="A200" t="str">
            <v>A22UKC1Z9P-C256CY</v>
          </cell>
        </row>
        <row r="201">
          <cell r="A201" t="str">
            <v>A22UKC1Z9P-C512CY</v>
          </cell>
        </row>
        <row r="202">
          <cell r="A202" t="str">
            <v>A22UKC1Z9Z-C512CY</v>
          </cell>
        </row>
        <row r="203">
          <cell r="A203" t="str">
            <v>A23-ULD1-9A-512AV</v>
          </cell>
        </row>
        <row r="204">
          <cell r="A204" t="str">
            <v>A23-ULD1-9L-512AV</v>
          </cell>
        </row>
        <row r="205">
          <cell r="A205" t="str">
            <v>A23-ULD1-9L-512DD</v>
          </cell>
        </row>
        <row r="206">
          <cell r="A206" t="str">
            <v>A23-ULD1-9Z-512AV</v>
          </cell>
        </row>
        <row r="207">
          <cell r="A207" t="str">
            <v>A23-ULD2-9A-512AV</v>
          </cell>
        </row>
        <row r="208">
          <cell r="A208" t="str">
            <v>A23-ULD2-9L-1024EL</v>
          </cell>
        </row>
        <row r="209">
          <cell r="A209" t="str">
            <v>A23-ULD2-9L-512AV</v>
          </cell>
        </row>
        <row r="210">
          <cell r="A210" t="str">
            <v>A25-CA</v>
          </cell>
        </row>
        <row r="211">
          <cell r="A211" t="str">
            <v>A25-UJD1-1GFA1</v>
          </cell>
        </row>
        <row r="212">
          <cell r="A212" t="str">
            <v>A25-UJD2-2GGB1</v>
          </cell>
        </row>
        <row r="213">
          <cell r="A213" t="str">
            <v>A25-UMF2-2GGB1</v>
          </cell>
        </row>
        <row r="214">
          <cell r="A214" t="str">
            <v>A25-UMF4-4GGD1</v>
          </cell>
        </row>
        <row r="215">
          <cell r="A215" t="str">
            <v>A26-BA</v>
          </cell>
        </row>
        <row r="216">
          <cell r="A216" t="str">
            <v>A26-BA-R</v>
          </cell>
        </row>
        <row r="217">
          <cell r="A217" t="str">
            <v>A26-UJC1-512MFA1</v>
          </cell>
        </row>
        <row r="218">
          <cell r="A218" t="str">
            <v>A26-UJC2-1GGB1</v>
          </cell>
        </row>
        <row r="219">
          <cell r="A219" t="str">
            <v>A26-UJC2-2GGD1</v>
          </cell>
        </row>
        <row r="220">
          <cell r="A220" t="str">
            <v>A27-ULD1-9A-1024AV</v>
          </cell>
        </row>
        <row r="221">
          <cell r="A221" t="str">
            <v>A27-ULD1-9V-1024AV</v>
          </cell>
        </row>
        <row r="222">
          <cell r="A222" t="str">
            <v>A27-ULD1-9Z-1024AV</v>
          </cell>
        </row>
        <row r="223">
          <cell r="A223" t="str">
            <v>A27-ULD2-9A-1024AV</v>
          </cell>
        </row>
        <row r="224">
          <cell r="A224" t="str">
            <v>A27-ULD2-9V-1024AV</v>
          </cell>
        </row>
        <row r="225">
          <cell r="A225" t="str">
            <v>A27-ULD2-9V-2048EL</v>
          </cell>
        </row>
        <row r="226">
          <cell r="A226" t="str">
            <v>A27-ULD2-9Z-1024AV</v>
          </cell>
        </row>
        <row r="227">
          <cell r="A227" t="str">
            <v>A27-ULD4-9A-1024AV</v>
          </cell>
        </row>
        <row r="228">
          <cell r="A228" t="str">
            <v>A27-ULD4-9V-4096EL</v>
          </cell>
        </row>
        <row r="229">
          <cell r="A229" t="str">
            <v>A27ULD2-9A-1024AVV</v>
          </cell>
        </row>
        <row r="230">
          <cell r="A230" t="str">
            <v>A27ULD2-9V-1024AVV</v>
          </cell>
        </row>
        <row r="231">
          <cell r="A231" t="str">
            <v>A27ULD2-9Z-1024AVV</v>
          </cell>
        </row>
        <row r="232">
          <cell r="A232" t="str">
            <v>A27ULD4-9A-1024AVV</v>
          </cell>
        </row>
        <row r="233">
          <cell r="A233" t="str">
            <v>A28-AA</v>
          </cell>
        </row>
        <row r="234">
          <cell r="A234" t="str">
            <v>A28-AAV</v>
          </cell>
        </row>
        <row r="235">
          <cell r="A235" t="str">
            <v>A28-UNF1-9C-D512JB</v>
          </cell>
        </row>
        <row r="236">
          <cell r="A236" t="str">
            <v>A28-UNF2-9C-D512JB</v>
          </cell>
        </row>
        <row r="237">
          <cell r="A237" t="str">
            <v>A28UNF29A-D1024JBP</v>
          </cell>
        </row>
        <row r="238">
          <cell r="A238" t="str">
            <v>A28USF1-9L-D1024JB</v>
          </cell>
        </row>
        <row r="239">
          <cell r="A239" t="str">
            <v>A29-AA</v>
          </cell>
        </row>
        <row r="240">
          <cell r="A240" t="str">
            <v>A29-AAV</v>
          </cell>
        </row>
        <row r="241">
          <cell r="A241" t="str">
            <v>A29-PS1-9C-1GAJ</v>
          </cell>
        </row>
        <row r="242">
          <cell r="A242" t="str">
            <v>A29-PS1-9V-1GAJN</v>
          </cell>
        </row>
        <row r="243">
          <cell r="A243" t="str">
            <v>A29-PS1-9Z-2GAJN</v>
          </cell>
        </row>
        <row r="244">
          <cell r="A244" t="str">
            <v>A29-PS2-9C-2GAJ</v>
          </cell>
        </row>
        <row r="245">
          <cell r="A245" t="str">
            <v>A29-PS2-9Z-4GAJN</v>
          </cell>
        </row>
        <row r="246">
          <cell r="A246" t="str">
            <v>A30-WRF2-04GQF</v>
          </cell>
        </row>
        <row r="247">
          <cell r="A247" t="str">
            <v>A30-WRF4-08GQF</v>
          </cell>
        </row>
        <row r="248">
          <cell r="A248" t="str">
            <v>A30-WRF8-32GQM</v>
          </cell>
        </row>
        <row r="249">
          <cell r="A249" t="str">
            <v>A31-TCF4XBAS16-420</v>
          </cell>
        </row>
        <row r="250">
          <cell r="A250" t="str">
            <v>A31-TCF4XEXP36-420</v>
          </cell>
        </row>
        <row r="251">
          <cell r="A251" t="str">
            <v>A33-BA</v>
          </cell>
        </row>
        <row r="252">
          <cell r="A252" t="str">
            <v>A33-SI-ULD2-2GFB1</v>
          </cell>
        </row>
        <row r="253">
          <cell r="A253" t="str">
            <v>A33-SI-ULD4-4GGB1</v>
          </cell>
        </row>
        <row r="254">
          <cell r="A254" t="str">
            <v>A33-ULD1-1GFA1</v>
          </cell>
        </row>
        <row r="255">
          <cell r="A255" t="str">
            <v>A33-ULD1-2GFB1</v>
          </cell>
        </row>
        <row r="256">
          <cell r="A256" t="str">
            <v>A33-ULD2-2GFB1</v>
          </cell>
        </row>
        <row r="257">
          <cell r="A257" t="str">
            <v>A33-ULD2-4GGB1</v>
          </cell>
        </row>
        <row r="258">
          <cell r="A258" t="str">
            <v>A33-ULD4-4GGB1</v>
          </cell>
        </row>
        <row r="259">
          <cell r="A259" t="str">
            <v>A34-BA</v>
          </cell>
        </row>
        <row r="260">
          <cell r="A260" t="str">
            <v>A34-SI-ULD2-2GGB1</v>
          </cell>
        </row>
        <row r="261">
          <cell r="A261" t="str">
            <v>A34-UGD1-256MFA1</v>
          </cell>
        </row>
        <row r="262">
          <cell r="A262" t="str">
            <v>A34-ULD1-1GGB1</v>
          </cell>
        </row>
        <row r="263">
          <cell r="A263" t="str">
            <v>A34-ULD1-512MFA1</v>
          </cell>
        </row>
        <row r="264">
          <cell r="A264" t="str">
            <v>A34-ULD2-2GGB1</v>
          </cell>
        </row>
        <row r="265">
          <cell r="A265" t="str">
            <v>A35-WRF1-1GQA1</v>
          </cell>
        </row>
        <row r="266">
          <cell r="A266" t="str">
            <v>A35-WRF1-2GQB1</v>
          </cell>
        </row>
        <row r="267">
          <cell r="A267" t="str">
            <v>A35-WRF1-512PA1</v>
          </cell>
        </row>
        <row r="268">
          <cell r="A268" t="str">
            <v>A35-WRF2-4GQB1</v>
          </cell>
        </row>
        <row r="269">
          <cell r="A269" t="str">
            <v>A35-WRF2-8GQB1</v>
          </cell>
        </row>
        <row r="270">
          <cell r="A270" t="str">
            <v>A35-WSPF1-1GQA1</v>
          </cell>
        </row>
        <row r="271">
          <cell r="A271" t="str">
            <v>A35-WSPF2-2GQB1</v>
          </cell>
        </row>
        <row r="272">
          <cell r="A272" t="str">
            <v>A35-WSPF2-4GRB1</v>
          </cell>
        </row>
        <row r="273">
          <cell r="A273" t="str">
            <v>A35-WSPF2-8GRB1</v>
          </cell>
        </row>
        <row r="274">
          <cell r="A274" t="str">
            <v>A36UQE1Z9A-D256DF</v>
          </cell>
        </row>
        <row r="275">
          <cell r="A275" t="str">
            <v>A36UQE1Z9A-D512DF</v>
          </cell>
        </row>
        <row r="276">
          <cell r="A276" t="str">
            <v>A36UQE1Z9A-D2GBDJ</v>
          </cell>
        </row>
        <row r="277">
          <cell r="A277" t="str">
            <v>A36UQE1Z9A-D512DJ</v>
          </cell>
        </row>
        <row r="278">
          <cell r="A278" t="str">
            <v>A36UQE1Z9U-D128CY</v>
          </cell>
        </row>
        <row r="279">
          <cell r="A279" t="str">
            <v>A36UQE1Z9U-D128CZ</v>
          </cell>
        </row>
        <row r="280">
          <cell r="A280" t="str">
            <v>A36UQE1Z9U-D256CZ</v>
          </cell>
        </row>
        <row r="281">
          <cell r="A281" t="str">
            <v>A36UQE1Z9U-D128CYP</v>
          </cell>
        </row>
        <row r="282">
          <cell r="A282" t="str">
            <v>A36UQE1Z9U-D256CY</v>
          </cell>
        </row>
        <row r="283">
          <cell r="A283" t="str">
            <v>ALW-02-AP-E</v>
          </cell>
        </row>
        <row r="284">
          <cell r="A284" t="str">
            <v>ALW-02-AP-S</v>
          </cell>
        </row>
        <row r="285">
          <cell r="A285" t="str">
            <v>ALW-02-AP-V</v>
          </cell>
        </row>
        <row r="286">
          <cell r="A286" t="str">
            <v>ALW-03-AP-E</v>
          </cell>
        </row>
        <row r="287">
          <cell r="A287" t="str">
            <v>ALW-03-AP-S</v>
          </cell>
        </row>
        <row r="288">
          <cell r="A288" t="str">
            <v>ALW-03-AP-V</v>
          </cell>
        </row>
        <row r="289">
          <cell r="A289" t="str">
            <v>ALW-04-AP-E</v>
          </cell>
        </row>
        <row r="290">
          <cell r="A290" t="str">
            <v>ALW-04-AP-S</v>
          </cell>
        </row>
        <row r="291">
          <cell r="A291" t="str">
            <v>ALW-04-AP-V</v>
          </cell>
        </row>
        <row r="292">
          <cell r="A292" t="str">
            <v>ALW-05-AP-E</v>
          </cell>
        </row>
        <row r="293">
          <cell r="A293" t="str">
            <v>ALW-05-AP-S</v>
          </cell>
        </row>
        <row r="294">
          <cell r="A294" t="str">
            <v>ALW-05-AP-V</v>
          </cell>
        </row>
        <row r="295">
          <cell r="A295" t="str">
            <v>ALW-06-AP-E</v>
          </cell>
        </row>
        <row r="296">
          <cell r="A296" t="str">
            <v>ALW-06-AP-S</v>
          </cell>
        </row>
        <row r="297">
          <cell r="A297" t="str">
            <v>ALW-06-AP-V</v>
          </cell>
        </row>
        <row r="298">
          <cell r="A298" t="str">
            <v>ALW-07-AP-E</v>
          </cell>
        </row>
        <row r="299">
          <cell r="A299" t="str">
            <v>ALW-07-AP-S</v>
          </cell>
        </row>
        <row r="300">
          <cell r="A300" t="str">
            <v>ALW-07-AP-V</v>
          </cell>
        </row>
        <row r="301">
          <cell r="A301" t="str">
            <v>ALW-08-AP-E</v>
          </cell>
        </row>
        <row r="302">
          <cell r="A302" t="str">
            <v>ALW-08-AP-S</v>
          </cell>
        </row>
        <row r="303">
          <cell r="A303" t="str">
            <v>ALW-08-AP-V</v>
          </cell>
        </row>
        <row r="304">
          <cell r="A304" t="str">
            <v>ALW-09-AP-E</v>
          </cell>
        </row>
        <row r="305">
          <cell r="A305" t="str">
            <v>ALW-09-AP-S</v>
          </cell>
        </row>
        <row r="306">
          <cell r="A306" t="str">
            <v>ALW-09-AP-V</v>
          </cell>
        </row>
        <row r="307">
          <cell r="A307" t="str">
            <v>ALW-10-AP-E</v>
          </cell>
        </row>
        <row r="308">
          <cell r="A308" t="str">
            <v>ALW-10-AP-S</v>
          </cell>
        </row>
        <row r="309">
          <cell r="A309" t="str">
            <v>ALW-10-AP-V</v>
          </cell>
        </row>
        <row r="310">
          <cell r="A310" t="str">
            <v>ALW-11-AP-E</v>
          </cell>
        </row>
        <row r="311">
          <cell r="A311" t="str">
            <v>ALW-11-AP-S</v>
          </cell>
        </row>
        <row r="312">
          <cell r="A312" t="str">
            <v>ALW-11-AP-V</v>
          </cell>
        </row>
        <row r="313">
          <cell r="A313" t="str">
            <v>ALW-12-AP-E</v>
          </cell>
        </row>
        <row r="314">
          <cell r="A314" t="str">
            <v>ALW-12-AP-S</v>
          </cell>
        </row>
        <row r="315">
          <cell r="A315" t="str">
            <v>ALW-12-AP-V</v>
          </cell>
        </row>
        <row r="316">
          <cell r="A316" t="str">
            <v>ALW-13-AP-E</v>
          </cell>
        </row>
        <row r="317">
          <cell r="A317" t="str">
            <v>ALW-13-AP-S</v>
          </cell>
        </row>
        <row r="318">
          <cell r="A318" t="str">
            <v>ALW-13-AP-V</v>
          </cell>
        </row>
        <row r="319">
          <cell r="A319" t="str">
            <v>ALW-14-AP-E</v>
          </cell>
        </row>
        <row r="320">
          <cell r="A320" t="str">
            <v>ALW-14-AP-S</v>
          </cell>
        </row>
        <row r="321">
          <cell r="A321" t="str">
            <v>ALW-14-AP-V</v>
          </cell>
        </row>
        <row r="322">
          <cell r="A322" t="str">
            <v>ALW-15-AP-E</v>
          </cell>
        </row>
        <row r="323">
          <cell r="A323" t="str">
            <v>ALW-15-AP-S</v>
          </cell>
        </row>
        <row r="324">
          <cell r="A324" t="str">
            <v>ALW-15-AP-V</v>
          </cell>
        </row>
        <row r="325">
          <cell r="A325" t="str">
            <v>ALW-16-AP-E</v>
          </cell>
        </row>
        <row r="326">
          <cell r="A326" t="str">
            <v>ALW-16-AP-S</v>
          </cell>
        </row>
        <row r="327">
          <cell r="A327" t="str">
            <v>ALW-16-AP-V</v>
          </cell>
        </row>
        <row r="328">
          <cell r="A328" t="str">
            <v>ALW-17-AP-E</v>
          </cell>
        </row>
        <row r="329">
          <cell r="A329" t="str">
            <v>ALW-17-AP-S</v>
          </cell>
        </row>
        <row r="330">
          <cell r="A330" t="str">
            <v>ALW-17-AP-V</v>
          </cell>
        </row>
        <row r="331">
          <cell r="A331" t="str">
            <v>ALW-18-AP-E</v>
          </cell>
        </row>
        <row r="332">
          <cell r="A332" t="str">
            <v>ALW-18-AP-S</v>
          </cell>
        </row>
        <row r="333">
          <cell r="A333" t="str">
            <v>ALW-18-AP-V</v>
          </cell>
        </row>
        <row r="334">
          <cell r="A334" t="str">
            <v>ALW-19-AP-E</v>
          </cell>
        </row>
        <row r="335">
          <cell r="A335" t="str">
            <v>ALW-19-AP-S</v>
          </cell>
        </row>
        <row r="336">
          <cell r="A336" t="str">
            <v>ALW-19-AP-V</v>
          </cell>
        </row>
        <row r="337">
          <cell r="A337" t="str">
            <v>ALW-20-AP-E</v>
          </cell>
        </row>
        <row r="338">
          <cell r="A338" t="str">
            <v>ALW-20-AP-S</v>
          </cell>
        </row>
        <row r="339">
          <cell r="A339" t="str">
            <v>ALW-20-AP-V</v>
          </cell>
        </row>
        <row r="340">
          <cell r="A340" t="str">
            <v>ALW-21-AP-E</v>
          </cell>
        </row>
        <row r="341">
          <cell r="A341" t="str">
            <v>ALW-21-AP-S</v>
          </cell>
        </row>
        <row r="342">
          <cell r="A342" t="str">
            <v>ALW-21-AP-V</v>
          </cell>
        </row>
        <row r="343">
          <cell r="A343" t="str">
            <v>ALW-22-AP-E</v>
          </cell>
        </row>
        <row r="344">
          <cell r="A344" t="str">
            <v>ALW-22-AP-S</v>
          </cell>
        </row>
        <row r="345">
          <cell r="A345" t="str">
            <v>ALW-22-AP-V</v>
          </cell>
        </row>
        <row r="346">
          <cell r="A346" t="str">
            <v>ALW-23-AP-E</v>
          </cell>
        </row>
        <row r="347">
          <cell r="A347" t="str">
            <v>ALW-23-AP-S</v>
          </cell>
        </row>
        <row r="348">
          <cell r="A348" t="str">
            <v>ALW-23-AP-V</v>
          </cell>
        </row>
        <row r="349">
          <cell r="A349" t="str">
            <v>ALW-24-AP-E</v>
          </cell>
        </row>
        <row r="350">
          <cell r="A350" t="str">
            <v>ALW-24-AP-S</v>
          </cell>
        </row>
        <row r="351">
          <cell r="A351" t="str">
            <v>ALW-24-AP-V</v>
          </cell>
        </row>
        <row r="352">
          <cell r="A352" t="str">
            <v>ALW-25-AP-E</v>
          </cell>
        </row>
        <row r="353">
          <cell r="A353" t="str">
            <v>ALW-25-AP-S</v>
          </cell>
        </row>
        <row r="354">
          <cell r="A354" t="str">
            <v>ALW-25-AP-V</v>
          </cell>
        </row>
        <row r="355">
          <cell r="A355" t="str">
            <v>ALW-26-AP-V</v>
          </cell>
        </row>
        <row r="356">
          <cell r="A356" t="str">
            <v>ALW-27-AP-V</v>
          </cell>
        </row>
        <row r="357">
          <cell r="A357" t="str">
            <v>ALW-28-AP-V</v>
          </cell>
        </row>
        <row r="358">
          <cell r="A358" t="str">
            <v>ALW-29-AP-V</v>
          </cell>
        </row>
        <row r="359">
          <cell r="A359" t="str">
            <v>ALW-30-AP-E</v>
          </cell>
        </row>
        <row r="360">
          <cell r="A360" t="str">
            <v>ALW-30-AP-S</v>
          </cell>
        </row>
        <row r="361">
          <cell r="A361" t="str">
            <v>ALW-30-AP-V</v>
          </cell>
        </row>
        <row r="362">
          <cell r="A362" t="str">
            <v>ANSB9-080-99Y9</v>
          </cell>
        </row>
        <row r="363">
          <cell r="A363" t="str">
            <v>AP-PS-LSC-SETUP</v>
          </cell>
        </row>
        <row r="364">
          <cell r="A364" t="str">
            <v>APP-PDB-DEV</v>
          </cell>
        </row>
        <row r="365">
          <cell r="A365" t="str">
            <v>APP-HA-DEV</v>
          </cell>
        </row>
        <row r="366">
          <cell r="A366" t="str">
            <v>ARRAYNT-6221-B</v>
          </cell>
        </row>
        <row r="367">
          <cell r="A367" t="str">
            <v>ASMC9-300-E92S</v>
          </cell>
        </row>
        <row r="368">
          <cell r="A368" t="str">
            <v>ASMC9-300-E9US</v>
          </cell>
        </row>
        <row r="369">
          <cell r="A369" t="str">
            <v>ASME9-300-D92S</v>
          </cell>
        </row>
        <row r="370">
          <cell r="A370" t="str">
            <v>ASME9-300-D9US</v>
          </cell>
        </row>
        <row r="371">
          <cell r="A371" t="str">
            <v>ASME9-300-W92S</v>
          </cell>
        </row>
        <row r="372">
          <cell r="A372" t="str">
            <v>ASME9-300-W9US</v>
          </cell>
        </row>
        <row r="373">
          <cell r="A373" t="str">
            <v>ASMG9-300-D92S</v>
          </cell>
        </row>
        <row r="374">
          <cell r="A374" t="str">
            <v>ASMG9-300-D9US</v>
          </cell>
        </row>
        <row r="375">
          <cell r="A375" t="str">
            <v>ASMI9-300-992S</v>
          </cell>
        </row>
        <row r="376">
          <cell r="A376" t="str">
            <v>ASML9-300-S92S</v>
          </cell>
        </row>
        <row r="377">
          <cell r="A377" t="str">
            <v>ASML9-300-S9US</v>
          </cell>
        </row>
        <row r="378">
          <cell r="A378" t="str">
            <v>ASML9-300-W92S</v>
          </cell>
        </row>
        <row r="379">
          <cell r="A379" t="str">
            <v>ASML9-300-W9US</v>
          </cell>
        </row>
        <row r="380">
          <cell r="A380" t="str">
            <v>ASMV9-300-S92S</v>
          </cell>
        </row>
        <row r="381">
          <cell r="A381" t="str">
            <v>ASMV9-300-S9US</v>
          </cell>
        </row>
        <row r="382">
          <cell r="A382" t="str">
            <v>ASMX9-300-E92S</v>
          </cell>
        </row>
        <row r="383">
          <cell r="A383" t="str">
            <v>ASMX9-300-E9US</v>
          </cell>
        </row>
        <row r="384">
          <cell r="A384" t="str">
            <v>ASMX9-300-S92S</v>
          </cell>
        </row>
        <row r="385">
          <cell r="A385" t="str">
            <v>ASMX9-300-S9US</v>
          </cell>
        </row>
        <row r="386">
          <cell r="A386" t="str">
            <v>ASMX9-300-W92S</v>
          </cell>
        </row>
        <row r="387">
          <cell r="A387" t="str">
            <v>ASMX9-300-W9US</v>
          </cell>
        </row>
        <row r="388">
          <cell r="A388" t="str">
            <v>ASMY9-300-D92S</v>
          </cell>
        </row>
        <row r="389">
          <cell r="A389" t="str">
            <v>ASMY9-300-D9US</v>
          </cell>
        </row>
        <row r="390">
          <cell r="A390" t="str">
            <v>ASMY9-300-E92S</v>
          </cell>
        </row>
        <row r="391">
          <cell r="A391" t="str">
            <v>ASMY9-300-E9US</v>
          </cell>
        </row>
        <row r="392">
          <cell r="A392" t="str">
            <v>BAE-100-00</v>
          </cell>
        </row>
        <row r="393">
          <cell r="A393" t="str">
            <v>BAE-200-00</v>
          </cell>
        </row>
        <row r="394">
          <cell r="A394" t="str">
            <v>BAE-300-00</v>
          </cell>
        </row>
        <row r="395">
          <cell r="A395" t="str">
            <v>BCB9S-200-9999</v>
          </cell>
        </row>
        <row r="396">
          <cell r="A396" t="str">
            <v>BCB9S-999-D999</v>
          </cell>
        </row>
        <row r="397">
          <cell r="A397" t="str">
            <v>BCB9S-999-E999</v>
          </cell>
        </row>
        <row r="398">
          <cell r="A398" t="str">
            <v>BCB9S-999-S999</v>
          </cell>
        </row>
        <row r="399">
          <cell r="A399" t="str">
            <v>BCB9S-999-W999</v>
          </cell>
        </row>
        <row r="400">
          <cell r="A400" t="str">
            <v>C1018A</v>
          </cell>
        </row>
        <row r="401">
          <cell r="A401" t="str">
            <v>C1030A</v>
          </cell>
        </row>
        <row r="402">
          <cell r="A402" t="str">
            <v>C1049A</v>
          </cell>
        </row>
        <row r="403">
          <cell r="A403" t="str">
            <v>C1059A</v>
          </cell>
        </row>
        <row r="404">
          <cell r="A404" t="str">
            <v>C1140A</v>
          </cell>
        </row>
        <row r="405">
          <cell r="A405" t="str">
            <v>C1157A</v>
          </cell>
        </row>
        <row r="406">
          <cell r="A406" t="str">
            <v>C1158A</v>
          </cell>
        </row>
        <row r="407">
          <cell r="A407" t="str">
            <v>C1159A</v>
          </cell>
        </row>
        <row r="408">
          <cell r="A408" t="str">
            <v>C2069A</v>
          </cell>
        </row>
        <row r="409">
          <cell r="A409" t="str">
            <v>C2602A</v>
          </cell>
        </row>
        <row r="410">
          <cell r="A410" t="str">
            <v>C2761A</v>
          </cell>
        </row>
        <row r="411">
          <cell r="A411" t="str">
            <v>C2862A</v>
          </cell>
        </row>
        <row r="412">
          <cell r="A412" t="str">
            <v>C2863A</v>
          </cell>
        </row>
        <row r="413">
          <cell r="A413" t="str">
            <v>C2866A</v>
          </cell>
        </row>
        <row r="414">
          <cell r="A414" t="str">
            <v>C2869A</v>
          </cell>
        </row>
        <row r="415">
          <cell r="A415" t="str">
            <v>C3684A</v>
          </cell>
        </row>
        <row r="416">
          <cell r="A416" t="str">
            <v>C3851A</v>
          </cell>
        </row>
        <row r="417">
          <cell r="A417" t="str">
            <v>C3865A</v>
          </cell>
        </row>
        <row r="418">
          <cell r="A418" t="str">
            <v>C3875A</v>
          </cell>
        </row>
        <row r="419">
          <cell r="A419" t="str">
            <v>C6167A</v>
          </cell>
        </row>
        <row r="420">
          <cell r="A420" t="str">
            <v>C939A</v>
          </cell>
        </row>
        <row r="421">
          <cell r="A421" t="str">
            <v>C9671A</v>
          </cell>
        </row>
        <row r="422">
          <cell r="A422" t="str">
            <v>C9685A</v>
          </cell>
        </row>
        <row r="423">
          <cell r="A423" t="str">
            <v>C9686A</v>
          </cell>
        </row>
        <row r="424">
          <cell r="A424" t="str">
            <v>CBS9B-110-99N9</v>
          </cell>
        </row>
        <row r="425">
          <cell r="A425" t="str">
            <v>CBS9H-110-99N9</v>
          </cell>
        </row>
        <row r="426">
          <cell r="A426" t="str">
            <v>CBS9L-110-99N9</v>
          </cell>
        </row>
        <row r="427">
          <cell r="A427" t="str">
            <v>CBS9S-110-99N9</v>
          </cell>
        </row>
        <row r="428">
          <cell r="A428" t="str">
            <v>CBT-Q30202UPGCD</v>
          </cell>
        </row>
        <row r="429">
          <cell r="A429" t="str">
            <v>CBT-Q36CM4U20M</v>
          </cell>
        </row>
        <row r="430">
          <cell r="A430" t="str">
            <v>CBT-Q36CM4U20M-P</v>
          </cell>
        </row>
        <row r="431">
          <cell r="A431" t="str">
            <v>CBT-Q393J4PAM</v>
          </cell>
        </row>
        <row r="432">
          <cell r="A432" t="str">
            <v>CBT-Q39640T19M</v>
          </cell>
        </row>
        <row r="433">
          <cell r="A433" t="str">
            <v>CBT-Q39640T19M-P</v>
          </cell>
        </row>
        <row r="434">
          <cell r="A434" t="str">
            <v>CBT-Q3BUSMM</v>
          </cell>
        </row>
        <row r="435">
          <cell r="A435" t="str">
            <v>CBT-Q3PROMM</v>
          </cell>
        </row>
        <row r="436">
          <cell r="A436" t="str">
            <v>CBT-Q3STDMM</v>
          </cell>
        </row>
        <row r="437">
          <cell r="A437" t="str">
            <v>CBT-R466J4HIM</v>
          </cell>
        </row>
        <row r="438">
          <cell r="A438" t="str">
            <v>CBT-R46C40HIM</v>
          </cell>
        </row>
        <row r="439">
          <cell r="A439" t="str">
            <v>CBT-R46CJ4GIM</v>
          </cell>
        </row>
        <row r="440">
          <cell r="A440" t="str">
            <v>CBT-R46GH8RIM</v>
          </cell>
        </row>
        <row r="441">
          <cell r="A441" t="str">
            <v>CBT-R46GH8RIM-P</v>
          </cell>
        </row>
        <row r="442">
          <cell r="A442" t="str">
            <v>CBT-R46GJ4GIM</v>
          </cell>
        </row>
        <row r="443">
          <cell r="A443" t="str">
            <v>CBT-R46GJ4GIM-P</v>
          </cell>
        </row>
        <row r="444">
          <cell r="A444" t="str">
            <v>CBT-R46GJ4KCM</v>
          </cell>
        </row>
        <row r="445">
          <cell r="A445" t="str">
            <v>CBT-R46H40GIM</v>
          </cell>
        </row>
        <row r="446">
          <cell r="A446" t="str">
            <v>CBT-R46H40KCM</v>
          </cell>
        </row>
        <row r="447">
          <cell r="A447" t="str">
            <v>CBT-R46HM4RIM</v>
          </cell>
        </row>
        <row r="448">
          <cell r="A448" t="str">
            <v>CBT-RRCGL7VIE-P</v>
          </cell>
        </row>
        <row r="449">
          <cell r="A449" t="str">
            <v>CBT-RRCGL7VIU-P</v>
          </cell>
        </row>
        <row r="450">
          <cell r="A450" t="str">
            <v>CBT9B-360-99N9</v>
          </cell>
        </row>
        <row r="451">
          <cell r="A451" t="str">
            <v>CBT9H-360-99N9</v>
          </cell>
        </row>
        <row r="452">
          <cell r="A452" t="str">
            <v>CBT9L-360-99N9</v>
          </cell>
        </row>
        <row r="453">
          <cell r="A453" t="str">
            <v>CBT9N-342-99N9</v>
          </cell>
        </row>
        <row r="454">
          <cell r="A454" t="str">
            <v>CBT9S-360-99N9</v>
          </cell>
        </row>
        <row r="455">
          <cell r="A455" t="str">
            <v>CECMS-130A99JM</v>
          </cell>
        </row>
        <row r="456">
          <cell r="A456" t="str">
            <v>CECMS-130A99PM</v>
          </cell>
        </row>
        <row r="457">
          <cell r="A457" t="str">
            <v>CECMS-130AE99M</v>
          </cell>
        </row>
        <row r="458">
          <cell r="A458" t="str">
            <v>CECMS-130AI99M</v>
          </cell>
        </row>
        <row r="459">
          <cell r="A459" t="str">
            <v>CECMS-130AS99M</v>
          </cell>
        </row>
        <row r="460">
          <cell r="A460" t="str">
            <v>CECMS-130AW99M</v>
          </cell>
        </row>
        <row r="461">
          <cell r="A461" t="str">
            <v>CECMS-130C99JM</v>
          </cell>
        </row>
        <row r="462">
          <cell r="A462" t="str">
            <v>CECMS-130C99PM</v>
          </cell>
        </row>
        <row r="463">
          <cell r="A463" t="str">
            <v>CECMS-130CE99M</v>
          </cell>
        </row>
        <row r="464">
          <cell r="A464" t="str">
            <v>CECMS-130CI99M</v>
          </cell>
        </row>
        <row r="465">
          <cell r="A465" t="str">
            <v>CECMS-130CS99M</v>
          </cell>
        </row>
        <row r="466">
          <cell r="A466" t="str">
            <v>CECMS-130CW99M</v>
          </cell>
        </row>
        <row r="467">
          <cell r="A467" t="str">
            <v>CL0VS-22A-9999</v>
          </cell>
        </row>
        <row r="468">
          <cell r="A468" t="str">
            <v>CL1DS-22A-9999</v>
          </cell>
        </row>
        <row r="469">
          <cell r="A469" t="str">
            <v>CL1MS-22A-9999</v>
          </cell>
        </row>
        <row r="470">
          <cell r="A470" t="str">
            <v>CL2IS-22A-9999</v>
          </cell>
        </row>
        <row r="471">
          <cell r="A471" t="str">
            <v>CL3IS-22A-9999</v>
          </cell>
        </row>
        <row r="472">
          <cell r="A472" t="str">
            <v>CL4IS-22A-9999</v>
          </cell>
        </row>
        <row r="473">
          <cell r="A473" t="str">
            <v>CL5IS-22A-9999</v>
          </cell>
        </row>
        <row r="474">
          <cell r="A474" t="str">
            <v>CL6IS-22A-9999</v>
          </cell>
        </row>
        <row r="475">
          <cell r="A475" t="str">
            <v>CL7IS-22A-9999</v>
          </cell>
        </row>
        <row r="476">
          <cell r="A476" t="str">
            <v>CL9DS-229-999H</v>
          </cell>
        </row>
        <row r="477">
          <cell r="A477" t="str">
            <v>CL9MS-229-999H</v>
          </cell>
        </row>
        <row r="478">
          <cell r="A478" t="str">
            <v>CLA9S-301-99M9</v>
          </cell>
        </row>
        <row r="479">
          <cell r="A479" t="str">
            <v>CLA9S-302-99M9</v>
          </cell>
        </row>
        <row r="480">
          <cell r="A480" t="str">
            <v>CLA9S-309-99M9</v>
          </cell>
        </row>
        <row r="481">
          <cell r="A481" t="str">
            <v>CLA9S-30A-99M9</v>
          </cell>
        </row>
        <row r="482">
          <cell r="A482" t="str">
            <v>CLAIS-22A-9999</v>
          </cell>
        </row>
        <row r="483">
          <cell r="A483" t="str">
            <v>CLAIS-22I-9999</v>
          </cell>
        </row>
        <row r="484">
          <cell r="A484" t="str">
            <v>CLAIS-22L-9999</v>
          </cell>
        </row>
        <row r="485">
          <cell r="A485" t="str">
            <v>CLAIS-22N-9999</v>
          </cell>
        </row>
        <row r="486">
          <cell r="A486" t="str">
            <v>CLAIS-22O-9999</v>
          </cell>
        </row>
        <row r="487">
          <cell r="A487" t="str">
            <v>CLAIS-22T-9999</v>
          </cell>
        </row>
        <row r="488">
          <cell r="A488" t="str">
            <v>CLAIS-22Y-9999</v>
          </cell>
        </row>
        <row r="489">
          <cell r="A489" t="str">
            <v>CLAIS-30A-9999</v>
          </cell>
        </row>
        <row r="490">
          <cell r="A490" t="str">
            <v>CLAIS-30B-9999</v>
          </cell>
        </row>
        <row r="491">
          <cell r="A491" t="str">
            <v>CLAIS-30C-9999</v>
          </cell>
        </row>
        <row r="492">
          <cell r="A492" t="str">
            <v>CLAIS-30D-9999</v>
          </cell>
        </row>
        <row r="493">
          <cell r="A493" t="str">
            <v>CLAIS-30G-9999</v>
          </cell>
        </row>
        <row r="494">
          <cell r="A494" t="str">
            <v>CLAIS-30N-9999</v>
          </cell>
        </row>
        <row r="495">
          <cell r="A495" t="str">
            <v>CLAIS-30P-9999</v>
          </cell>
        </row>
        <row r="496">
          <cell r="A496" t="str">
            <v>CLAIS-30R-9999</v>
          </cell>
        </row>
        <row r="497">
          <cell r="A497" t="str">
            <v>CLAIS-30U-9999</v>
          </cell>
        </row>
        <row r="498">
          <cell r="A498" t="str">
            <v>CLAIS-30W-9999</v>
          </cell>
        </row>
        <row r="499">
          <cell r="A499" t="str">
            <v>CLAIS-30Y-9999</v>
          </cell>
        </row>
        <row r="500">
          <cell r="A500" t="str">
            <v>CLAIS-3DN-9999</v>
          </cell>
        </row>
        <row r="501">
          <cell r="A501" t="str">
            <v>CLAIS-3NF-9999</v>
          </cell>
        </row>
        <row r="502">
          <cell r="A502" t="str">
            <v>CLBIS-22S-9999</v>
          </cell>
        </row>
        <row r="503">
          <cell r="A503" t="str">
            <v>CLBIS-22X-9999</v>
          </cell>
        </row>
        <row r="504">
          <cell r="A504" t="str">
            <v>CLBIS-2AP-9999</v>
          </cell>
        </row>
        <row r="505">
          <cell r="A505" t="str">
            <v>CLBIS-2AV-9999</v>
          </cell>
        </row>
        <row r="506">
          <cell r="A506" t="str">
            <v>CLCIS-22S-9999</v>
          </cell>
        </row>
        <row r="507">
          <cell r="A507" t="str">
            <v>CLCIS-22X-9999</v>
          </cell>
        </row>
        <row r="508">
          <cell r="A508" t="str">
            <v>CLCIS-2AP-9999</v>
          </cell>
        </row>
        <row r="509">
          <cell r="A509" t="str">
            <v>CLCIS-2AV-9999</v>
          </cell>
        </row>
        <row r="510">
          <cell r="A510" t="str">
            <v>CLCIS-999-9999</v>
          </cell>
        </row>
        <row r="511">
          <cell r="A511" t="str">
            <v>CLDVS-22I-9999</v>
          </cell>
        </row>
        <row r="512">
          <cell r="A512" t="str">
            <v>CLDVS-22L-9999</v>
          </cell>
        </row>
        <row r="513">
          <cell r="A513" t="str">
            <v>CLDVS-22N-9999</v>
          </cell>
        </row>
        <row r="514">
          <cell r="A514" t="str">
            <v>CLDVS-22O-9999</v>
          </cell>
        </row>
        <row r="515">
          <cell r="A515" t="str">
            <v>CLDVS-22S-9999</v>
          </cell>
        </row>
        <row r="516">
          <cell r="A516" t="str">
            <v>CLDVS-22T-9999</v>
          </cell>
        </row>
        <row r="517">
          <cell r="A517" t="str">
            <v>CLDVS-22X-9999</v>
          </cell>
        </row>
        <row r="518">
          <cell r="A518" t="str">
            <v>CLDVS-22Y-9999</v>
          </cell>
        </row>
        <row r="519">
          <cell r="A519" t="str">
            <v>CLDVS-2AA-9999</v>
          </cell>
        </row>
        <row r="520">
          <cell r="A520" t="str">
            <v>CLDVS-2AP-9999</v>
          </cell>
        </row>
        <row r="521">
          <cell r="A521" t="str">
            <v>CLDVS-2AV-9999</v>
          </cell>
        </row>
        <row r="522">
          <cell r="A522" t="str">
            <v>CLFIS-22A-9999</v>
          </cell>
        </row>
        <row r="523">
          <cell r="A523" t="str">
            <v>CLGIS-22A-9999</v>
          </cell>
        </row>
        <row r="524">
          <cell r="A524" t="str">
            <v>CLNIS-300-B929</v>
          </cell>
        </row>
        <row r="525">
          <cell r="A525" t="str">
            <v>CLNIS-300-B999</v>
          </cell>
        </row>
        <row r="526">
          <cell r="A526" t="str">
            <v>CLNIS-300-G999</v>
          </cell>
        </row>
        <row r="527">
          <cell r="A527" t="str">
            <v>CLNIS-300-I999</v>
          </cell>
        </row>
        <row r="528">
          <cell r="A528" t="str">
            <v>CLQIS-22A-9999</v>
          </cell>
        </row>
        <row r="529">
          <cell r="A529" t="str">
            <v>CLRIS-22A-9999</v>
          </cell>
        </row>
        <row r="530">
          <cell r="A530" t="str">
            <v>CLRIS-300-B999</v>
          </cell>
        </row>
        <row r="531">
          <cell r="A531" t="str">
            <v>CLRIS-300-G999</v>
          </cell>
        </row>
        <row r="532">
          <cell r="A532" t="str">
            <v>CLRIS-300-G9C9</v>
          </cell>
        </row>
        <row r="533">
          <cell r="A533" t="str">
            <v>CLSIS-300-E9U9</v>
          </cell>
        </row>
        <row r="534">
          <cell r="A534" t="str">
            <v>CLSIS-300-K999</v>
          </cell>
        </row>
        <row r="535">
          <cell r="A535" t="str">
            <v>CLSIS-300-K9U9</v>
          </cell>
        </row>
        <row r="536">
          <cell r="A536" t="str">
            <v>CLSIS-300-L999</v>
          </cell>
        </row>
        <row r="537">
          <cell r="A537" t="str">
            <v>CLSIS-300-L9C9</v>
          </cell>
        </row>
        <row r="538">
          <cell r="A538" t="str">
            <v>CLSIS-300-L9U9</v>
          </cell>
        </row>
        <row r="539">
          <cell r="A539" t="str">
            <v>CLSIS-300-X999</v>
          </cell>
        </row>
        <row r="540">
          <cell r="A540" t="str">
            <v>CLSIS-300-X9U9</v>
          </cell>
        </row>
        <row r="541">
          <cell r="A541" t="str">
            <v>CLSIS-300-Y999</v>
          </cell>
        </row>
        <row r="542">
          <cell r="A542" t="str">
            <v>CLSIS-300-Y9C9</v>
          </cell>
        </row>
        <row r="543">
          <cell r="A543" t="str">
            <v>CLSIS-300-Y9U9</v>
          </cell>
        </row>
        <row r="544">
          <cell r="A544" t="str">
            <v>CLTIS-22A-9999</v>
          </cell>
        </row>
        <row r="545">
          <cell r="A545" t="str">
            <v>CLUIS-300-B999</v>
          </cell>
        </row>
        <row r="546">
          <cell r="A546" t="str">
            <v>CLUIS-300-C999</v>
          </cell>
        </row>
        <row r="547">
          <cell r="A547" t="str">
            <v>CLUIS-300-G999</v>
          </cell>
        </row>
        <row r="548">
          <cell r="A548" t="str">
            <v>CLUIS-300-L999</v>
          </cell>
        </row>
        <row r="549">
          <cell r="A549" t="str">
            <v>CLUIS-300-X999</v>
          </cell>
        </row>
        <row r="550">
          <cell r="A550" t="str">
            <v>CLUIS-300-Y999</v>
          </cell>
        </row>
        <row r="551">
          <cell r="A551" t="str">
            <v>CLUS-2.0-DOC</v>
          </cell>
        </row>
        <row r="552">
          <cell r="A552" t="str">
            <v>CLUZS-300-99M9</v>
          </cell>
        </row>
        <row r="553">
          <cell r="A553" t="str">
            <v>CLUZS-300-9DM9</v>
          </cell>
        </row>
        <row r="554">
          <cell r="A554" t="str">
            <v>CLUZS-301-99M9</v>
          </cell>
        </row>
        <row r="555">
          <cell r="A555" t="str">
            <v>CLUZS-302-99M9</v>
          </cell>
        </row>
        <row r="556">
          <cell r="A556" t="str">
            <v>CLUZS-309-99M9</v>
          </cell>
        </row>
        <row r="557">
          <cell r="A557" t="str">
            <v>CLUZS-99M9-MEDIA</v>
          </cell>
        </row>
        <row r="558">
          <cell r="A558" t="str">
            <v>CLWIS-300-B999</v>
          </cell>
        </row>
        <row r="559">
          <cell r="A559" t="str">
            <v>CLWIS-300-B9C9</v>
          </cell>
        </row>
        <row r="560">
          <cell r="A560" t="str">
            <v>CLWIS-300-X999</v>
          </cell>
        </row>
        <row r="561">
          <cell r="A561" t="str">
            <v>CMIP-RT-821-D</v>
          </cell>
        </row>
        <row r="562">
          <cell r="A562" t="str">
            <v>CMIP-RT-821-L1</v>
          </cell>
        </row>
        <row r="563">
          <cell r="A563" t="str">
            <v>CMIP-RT-821-L1H</v>
          </cell>
        </row>
        <row r="564">
          <cell r="A564" t="str">
            <v>CMIP-SDE-821-L1</v>
          </cell>
        </row>
        <row r="565">
          <cell r="A565" t="str">
            <v>CMPD9-821-9999</v>
          </cell>
        </row>
        <row r="566">
          <cell r="A566" t="str">
            <v>CMPII-821-R999</v>
          </cell>
        </row>
        <row r="567">
          <cell r="A567" t="str">
            <v>CMPII-821-T999</v>
          </cell>
        </row>
        <row r="568">
          <cell r="A568" t="str">
            <v>CMPIN-821-9999</v>
          </cell>
        </row>
        <row r="569">
          <cell r="A569" t="str">
            <v>CMPIN-821-R999</v>
          </cell>
        </row>
        <row r="570">
          <cell r="A570" t="str">
            <v>CMPIS-821-R999</v>
          </cell>
        </row>
        <row r="571">
          <cell r="A571" t="str">
            <v>CMPIS-821-R9U9</v>
          </cell>
        </row>
        <row r="572">
          <cell r="A572" t="str">
            <v>CMPIS-821-T999</v>
          </cell>
        </row>
        <row r="573">
          <cell r="A573" t="str">
            <v>CMPIS-821-T9U9</v>
          </cell>
        </row>
        <row r="574">
          <cell r="A574" t="str">
            <v>CMPIS-900-99D9</v>
          </cell>
        </row>
        <row r="575">
          <cell r="A575" t="str">
            <v>CMPIS-900-R929</v>
          </cell>
        </row>
        <row r="576">
          <cell r="A576" t="str">
            <v>CMPIS-900-R9A9</v>
          </cell>
        </row>
        <row r="577">
          <cell r="A577" t="str">
            <v>CMPIS-900-R9E9</v>
          </cell>
        </row>
        <row r="578">
          <cell r="A578" t="str">
            <v>CMPIS-900-T929</v>
          </cell>
        </row>
        <row r="579">
          <cell r="A579" t="str">
            <v>CMPIS-900-T9A9</v>
          </cell>
        </row>
        <row r="580">
          <cell r="A580" t="str">
            <v>CMPIS-900-T9E9</v>
          </cell>
        </row>
        <row r="581">
          <cell r="A581" t="str">
            <v>CPUBD-2029</v>
          </cell>
        </row>
        <row r="582">
          <cell r="A582" t="str">
            <v>CPUBD-2049</v>
          </cell>
        </row>
        <row r="583">
          <cell r="A583" t="str">
            <v>CPUBD-2089</v>
          </cell>
        </row>
        <row r="584">
          <cell r="A584" t="str">
            <v>CPUBD-4049</v>
          </cell>
        </row>
        <row r="585">
          <cell r="A585" t="str">
            <v>CPUBD-F4089</v>
          </cell>
        </row>
        <row r="586">
          <cell r="A586" t="str">
            <v>CPUBD-F4169</v>
          </cell>
        </row>
        <row r="587">
          <cell r="A587" t="str">
            <v>CPUBD-F4329</v>
          </cell>
        </row>
        <row r="588">
          <cell r="A588" t="str">
            <v>DATABASE-RACK</v>
          </cell>
        </row>
        <row r="589">
          <cell r="A589" t="str">
            <v>DATABASE-UNIT</v>
          </cell>
        </row>
        <row r="590">
          <cell r="A590" t="str">
            <v>DBP-420-M/KIT-1.2</v>
          </cell>
        </row>
        <row r="591">
          <cell r="A591" t="str">
            <v>DBP-6500-M/KIT-1.2</v>
          </cell>
        </row>
        <row r="592">
          <cell r="A592" t="str">
            <v>E1-SC2.X-GOLD</v>
          </cell>
        </row>
        <row r="593">
          <cell r="A593" t="str">
            <v>E1-SC2.X-PLT</v>
          </cell>
        </row>
        <row r="594">
          <cell r="A594" t="str">
            <v>E1-SC3.X-GOLD</v>
          </cell>
        </row>
        <row r="595">
          <cell r="A595" t="str">
            <v>E1-SC3.X-PLT</v>
          </cell>
        </row>
        <row r="596">
          <cell r="A596" t="str">
            <v>E10000-5</v>
          </cell>
        </row>
        <row r="597">
          <cell r="A597" t="str">
            <v>E10000-CTO</v>
          </cell>
        </row>
        <row r="598">
          <cell r="A598" t="str">
            <v>E10000-EXP</v>
          </cell>
        </row>
        <row r="599">
          <cell r="A599" t="str">
            <v>E10000-SC2.X-GOLD</v>
          </cell>
        </row>
        <row r="600">
          <cell r="A600" t="str">
            <v>E10000-SC2.X-PLT</v>
          </cell>
        </row>
        <row r="601">
          <cell r="A601" t="str">
            <v>E10000-SC3.X-PLT</v>
          </cell>
        </row>
        <row r="602">
          <cell r="A602" t="str">
            <v>E3000-SC2.X-GOLD</v>
          </cell>
        </row>
        <row r="603">
          <cell r="A603" t="str">
            <v>E3000-SC2.X-PLT</v>
          </cell>
        </row>
        <row r="604">
          <cell r="A604" t="str">
            <v>E3000-SC3.X-GOLD</v>
          </cell>
        </row>
        <row r="605">
          <cell r="A605" t="str">
            <v>E3000-SC3.X-PLT</v>
          </cell>
        </row>
        <row r="606">
          <cell r="A606" t="str">
            <v>E3503</v>
          </cell>
        </row>
        <row r="607">
          <cell r="A607" t="str">
            <v>E3503-C82</v>
          </cell>
        </row>
        <row r="608">
          <cell r="A608" t="str">
            <v>E3503-C83</v>
          </cell>
        </row>
        <row r="609">
          <cell r="A609" t="str">
            <v>E3503-C92</v>
          </cell>
        </row>
        <row r="610">
          <cell r="A610" t="str">
            <v>E3503-C93</v>
          </cell>
        </row>
        <row r="611">
          <cell r="A611" t="str">
            <v>E3503-P84</v>
          </cell>
        </row>
        <row r="612">
          <cell r="A612" t="str">
            <v>E3503-P94B</v>
          </cell>
        </row>
        <row r="613">
          <cell r="A613" t="str">
            <v>E3503-P94B</v>
          </cell>
        </row>
        <row r="614">
          <cell r="A614" t="str">
            <v>E4000-SC2.X-GOLD</v>
          </cell>
        </row>
        <row r="615">
          <cell r="A615" t="str">
            <v>E4000-SC2.X-PLT</v>
          </cell>
        </row>
        <row r="616">
          <cell r="A616" t="str">
            <v>E4000-SC3.X-GOLD</v>
          </cell>
        </row>
        <row r="617">
          <cell r="A617" t="str">
            <v>E4000-SC3.X-PLT</v>
          </cell>
        </row>
        <row r="618">
          <cell r="A618" t="str">
            <v>E450-SC2.X-GOLD(SC2.1)</v>
          </cell>
        </row>
        <row r="619">
          <cell r="A619" t="str">
            <v>E450-SC2.X-PLT</v>
          </cell>
        </row>
        <row r="620">
          <cell r="A620" t="str">
            <v>E450-SC3.X-GOLD</v>
          </cell>
        </row>
        <row r="621">
          <cell r="A621" t="str">
            <v>E450-SC3.X-PLT</v>
          </cell>
        </row>
        <row r="622">
          <cell r="A622" t="str">
            <v>E4503</v>
          </cell>
        </row>
        <row r="623">
          <cell r="A623" t="str">
            <v>E4503-P88</v>
          </cell>
        </row>
        <row r="624">
          <cell r="A624" t="str">
            <v>E4503-P98</v>
          </cell>
        </row>
        <row r="625">
          <cell r="A625" t="str">
            <v>E4503-R</v>
          </cell>
        </row>
        <row r="626">
          <cell r="A626" t="str">
            <v>E4503-RR1</v>
          </cell>
        </row>
        <row r="627">
          <cell r="A627" t="str">
            <v>E4503-S812</v>
          </cell>
        </row>
        <row r="628">
          <cell r="A628" t="str">
            <v>E4503-S84</v>
          </cell>
        </row>
        <row r="629">
          <cell r="A629" t="str">
            <v>E4503-S88</v>
          </cell>
        </row>
        <row r="630">
          <cell r="A630" t="str">
            <v>E5000-SC2.X-GOLD</v>
          </cell>
        </row>
        <row r="631">
          <cell r="A631" t="str">
            <v>E5000-SC2.X-PLT</v>
          </cell>
        </row>
        <row r="632">
          <cell r="A632" t="str">
            <v>E5000-SC3.X-GOLD</v>
          </cell>
        </row>
        <row r="633">
          <cell r="A633" t="str">
            <v>E5000-SC3.X-PLT</v>
          </cell>
        </row>
        <row r="634">
          <cell r="A634" t="str">
            <v>E5503</v>
          </cell>
        </row>
        <row r="635">
          <cell r="A635" t="str">
            <v>E5503-P98</v>
          </cell>
        </row>
        <row r="636">
          <cell r="A636" t="str">
            <v>E6000-SC2.X-GOLD</v>
          </cell>
        </row>
        <row r="637">
          <cell r="A637" t="str">
            <v>E6000-SC2.X-PLT</v>
          </cell>
        </row>
        <row r="638">
          <cell r="A638" t="str">
            <v>E6000-SC3.X-GOLD</v>
          </cell>
        </row>
        <row r="639">
          <cell r="A639" t="str">
            <v>E6000-SC3.X-PLT</v>
          </cell>
        </row>
        <row r="640">
          <cell r="A640" t="str">
            <v>E6503</v>
          </cell>
        </row>
        <row r="641">
          <cell r="A641" t="str">
            <v>E6503-P916</v>
          </cell>
        </row>
        <row r="642">
          <cell r="A642" t="str">
            <v>E6503-S816</v>
          </cell>
        </row>
        <row r="643">
          <cell r="A643" t="str">
            <v>EMAIS-400IR999</v>
          </cell>
        </row>
        <row r="644">
          <cell r="A644" t="str">
            <v>EMAIS-400IR9U9</v>
          </cell>
        </row>
        <row r="645">
          <cell r="A645" t="str">
            <v>EMAIS-410IR999</v>
          </cell>
        </row>
        <row r="646">
          <cell r="A646" t="str">
            <v>EMCMS-400I9999</v>
          </cell>
        </row>
        <row r="647">
          <cell r="A647" t="str">
            <v>EMCMS-410I9999</v>
          </cell>
        </row>
        <row r="648">
          <cell r="A648" t="str">
            <v>EMEDS-400IR999</v>
          </cell>
        </row>
        <row r="649">
          <cell r="A649" t="str">
            <v>EMEDS-410IR999</v>
          </cell>
        </row>
        <row r="650">
          <cell r="A650" t="str">
            <v>EMHIS-410IR999</v>
          </cell>
        </row>
        <row r="651">
          <cell r="A651" t="str">
            <v>EMJDS-300I9999</v>
          </cell>
        </row>
        <row r="652">
          <cell r="A652" t="str">
            <v>EMJDS-400I9999</v>
          </cell>
        </row>
        <row r="653">
          <cell r="A653" t="str">
            <v>EMJIS-30AIT999</v>
          </cell>
        </row>
        <row r="654">
          <cell r="A654" t="str">
            <v>EMJIS-400IR999</v>
          </cell>
        </row>
        <row r="655">
          <cell r="A655" t="str">
            <v>EMJIS-400IT999</v>
          </cell>
        </row>
        <row r="656">
          <cell r="A656" t="str">
            <v>EMKDS-400I9999</v>
          </cell>
        </row>
        <row r="657">
          <cell r="A657" t="str">
            <v>EMKIS-400IT999</v>
          </cell>
        </row>
        <row r="658">
          <cell r="A658" t="str">
            <v>EMKIS-400IT9U9</v>
          </cell>
        </row>
        <row r="659">
          <cell r="A659" t="str">
            <v>EMKIS-410IT999</v>
          </cell>
        </row>
        <row r="660">
          <cell r="A660" t="str">
            <v>EMMIS-400ID999</v>
          </cell>
        </row>
        <row r="661">
          <cell r="A661" t="str">
            <v>EMMIS-400ID9U9</v>
          </cell>
        </row>
        <row r="662">
          <cell r="A662" t="str">
            <v>EMMIS-400IE999</v>
          </cell>
        </row>
        <row r="663">
          <cell r="A663" t="str">
            <v>EMMIS-400IE9T9</v>
          </cell>
        </row>
        <row r="664">
          <cell r="A664" t="str">
            <v>EMMIS-400IE9U9</v>
          </cell>
        </row>
        <row r="665">
          <cell r="A665" t="str">
            <v>EMMIS-400IW999</v>
          </cell>
        </row>
        <row r="666">
          <cell r="A666" t="str">
            <v>EMMIS-400IW9T9</v>
          </cell>
        </row>
        <row r="667">
          <cell r="A667" t="str">
            <v>EMMIS-400IW9U9</v>
          </cell>
        </row>
        <row r="668">
          <cell r="A668" t="str">
            <v>EMMIS-410IE999</v>
          </cell>
        </row>
        <row r="669">
          <cell r="A669" t="str">
            <v>EMQIS-400IR999</v>
          </cell>
        </row>
        <row r="670">
          <cell r="A670" t="str">
            <v>EMQIS-400IR9U9</v>
          </cell>
        </row>
        <row r="671">
          <cell r="A671" t="str">
            <v>EMQIS-410IR999</v>
          </cell>
        </row>
        <row r="672">
          <cell r="A672" t="str">
            <v>EMUIS-410I9999</v>
          </cell>
        </row>
        <row r="673">
          <cell r="A673" t="str">
            <v>EN1VS-210-9999</v>
          </cell>
        </row>
        <row r="674">
          <cell r="A674" t="str">
            <v>EN2VS-210-9999</v>
          </cell>
        </row>
        <row r="675">
          <cell r="A675" t="str">
            <v>EN2VS-210-99T9</v>
          </cell>
        </row>
        <row r="676">
          <cell r="A676" t="str">
            <v>ET1VS-210-9999</v>
          </cell>
        </row>
        <row r="677">
          <cell r="A677" t="str">
            <v>ET2VS-210-9999</v>
          </cell>
        </row>
        <row r="678">
          <cell r="A678" t="str">
            <v>ET2VS-210-99T9</v>
          </cell>
        </row>
        <row r="679">
          <cell r="A679" t="str">
            <v>F15K-24</v>
          </cell>
        </row>
        <row r="680">
          <cell r="A680" t="str">
            <v>F15K-48</v>
          </cell>
        </row>
        <row r="681">
          <cell r="A681" t="str">
            <v>F15K-72</v>
          </cell>
        </row>
        <row r="682">
          <cell r="A682" t="str">
            <v>F15K-CAB2</v>
          </cell>
        </row>
        <row r="683">
          <cell r="A683" t="str">
            <v>F15K-T3B-24</v>
          </cell>
        </row>
        <row r="684">
          <cell r="A684" t="str">
            <v>F15K-T3B-48</v>
          </cell>
        </row>
        <row r="685">
          <cell r="A685" t="str">
            <v>F15K-T3B-72</v>
          </cell>
        </row>
        <row r="686">
          <cell r="A686" t="str">
            <v>F15K-T3B-RK-1</v>
          </cell>
        </row>
        <row r="687">
          <cell r="A687" t="str">
            <v>F15K-T3B-RK-2</v>
          </cell>
        </row>
        <row r="688">
          <cell r="A688" t="str">
            <v>F15K-T3B-RK-3</v>
          </cell>
        </row>
        <row r="689">
          <cell r="A689" t="str">
            <v>F3800-2029</v>
          </cell>
        </row>
        <row r="690">
          <cell r="A690" t="str">
            <v>F3800-2029-RM</v>
          </cell>
        </row>
        <row r="691">
          <cell r="A691" t="str">
            <v>F3800-227</v>
          </cell>
        </row>
        <row r="692">
          <cell r="A692" t="str">
            <v>F3800-227-RM</v>
          </cell>
        </row>
        <row r="693">
          <cell r="A693" t="str">
            <v>F3800-4049</v>
          </cell>
        </row>
        <row r="694">
          <cell r="A694" t="str">
            <v>F3800-4049-RM</v>
          </cell>
        </row>
        <row r="695">
          <cell r="A695" t="str">
            <v>F3800-4169</v>
          </cell>
        </row>
        <row r="696">
          <cell r="A696" t="str">
            <v>F3800-4169-RM</v>
          </cell>
        </row>
        <row r="697">
          <cell r="A697" t="str">
            <v>F3800-447</v>
          </cell>
        </row>
        <row r="698">
          <cell r="A698" t="str">
            <v>F3800-447-RM</v>
          </cell>
        </row>
        <row r="699">
          <cell r="A699" t="str">
            <v>F3800-SC2.X-GOLD</v>
          </cell>
        </row>
        <row r="700">
          <cell r="A700" t="str">
            <v>F3800-SC2.X-PLT</v>
          </cell>
        </row>
        <row r="701">
          <cell r="A701" t="str">
            <v>F3800-SC3.X-GOLD</v>
          </cell>
        </row>
        <row r="702">
          <cell r="A702" t="str">
            <v>F3800-SC3.X-PLT</v>
          </cell>
        </row>
        <row r="703">
          <cell r="A703" t="str">
            <v>F3800E-2029</v>
          </cell>
        </row>
        <row r="704">
          <cell r="A704" t="str">
            <v>F3800E-2029-RM</v>
          </cell>
        </row>
        <row r="705">
          <cell r="A705" t="str">
            <v>F3800E-4049</v>
          </cell>
        </row>
        <row r="706">
          <cell r="A706" t="str">
            <v>F3800E-4049-RM</v>
          </cell>
        </row>
        <row r="707">
          <cell r="A707" t="str">
            <v>F3800E-4169</v>
          </cell>
        </row>
        <row r="708">
          <cell r="A708" t="str">
            <v>F3800E-4169-RM</v>
          </cell>
        </row>
        <row r="709">
          <cell r="A709" t="str">
            <v>F4800</v>
          </cell>
        </row>
        <row r="710">
          <cell r="A710" t="str">
            <v>F4800-DS</v>
          </cell>
        </row>
        <row r="711">
          <cell r="A711" t="str">
            <v>F4800-RM</v>
          </cell>
        </row>
        <row r="712">
          <cell r="A712" t="str">
            <v>F4800-SC2.X-GOLD</v>
          </cell>
        </row>
        <row r="713">
          <cell r="A713" t="str">
            <v>F4800-SC2.X-PLT</v>
          </cell>
        </row>
        <row r="714">
          <cell r="A714" t="str">
            <v>F4800-SC3.X-GOLD</v>
          </cell>
        </row>
        <row r="715">
          <cell r="A715" t="str">
            <v>F4800-SC3.X-PLT</v>
          </cell>
        </row>
        <row r="716">
          <cell r="A716" t="str">
            <v>F4810</v>
          </cell>
        </row>
        <row r="717">
          <cell r="A717" t="str">
            <v>F4810-RM</v>
          </cell>
        </row>
        <row r="718">
          <cell r="A718" t="str">
            <v>F4810-SC2.X-GOLD</v>
          </cell>
        </row>
        <row r="719">
          <cell r="A719" t="str">
            <v>F4810-SC2.X-PLT</v>
          </cell>
        </row>
        <row r="720">
          <cell r="A720" t="str">
            <v>F4810-SC3.X-GOLD</v>
          </cell>
        </row>
        <row r="721">
          <cell r="A721" t="str">
            <v>F4810-SC3.X-PLT</v>
          </cell>
        </row>
        <row r="722">
          <cell r="A722" t="str">
            <v>F6800</v>
          </cell>
        </row>
        <row r="723">
          <cell r="A723" t="str">
            <v>F6800-SC2.X-GOLD</v>
          </cell>
        </row>
        <row r="724">
          <cell r="A724" t="str">
            <v>F6800-SC2.X-PLT</v>
          </cell>
        </row>
        <row r="725">
          <cell r="A725" t="str">
            <v>F6800-SC3.X-GOLD</v>
          </cell>
        </row>
        <row r="726">
          <cell r="A726" t="str">
            <v>F6800-SC3.X-PLT</v>
          </cell>
        </row>
        <row r="727">
          <cell r="A727" t="str">
            <v>FC9BI-600-TD99</v>
          </cell>
        </row>
        <row r="728">
          <cell r="A728" t="str">
            <v>FC9BS-600-TD99</v>
          </cell>
        </row>
        <row r="729">
          <cell r="A729" t="str">
            <v>FC9II-602-T999</v>
          </cell>
        </row>
        <row r="730">
          <cell r="A730" t="str">
            <v>FC9II-602-T9U9</v>
          </cell>
        </row>
        <row r="731">
          <cell r="A731" t="str">
            <v>FC9II-602-TL99</v>
          </cell>
        </row>
        <row r="732">
          <cell r="A732" t="str">
            <v>FC9IS-602-T999</v>
          </cell>
        </row>
        <row r="733">
          <cell r="A733" t="str">
            <v>FC9IS-602-T9U9</v>
          </cell>
        </row>
        <row r="734">
          <cell r="A734" t="str">
            <v>FC9IS-602-TL99</v>
          </cell>
        </row>
        <row r="735">
          <cell r="A735" t="str">
            <v>FC9XS-602-T999</v>
          </cell>
        </row>
        <row r="736">
          <cell r="A736" t="str">
            <v>FC9XS-602-T9U9</v>
          </cell>
        </row>
        <row r="737">
          <cell r="A737" t="str">
            <v>FC9XS-602-TL99</v>
          </cell>
        </row>
        <row r="738">
          <cell r="A738" t="str">
            <v>FCCII-602-TP99</v>
          </cell>
        </row>
        <row r="739">
          <cell r="A739" t="str">
            <v>FCCII-602-TP9C</v>
          </cell>
        </row>
        <row r="740">
          <cell r="A740" t="str">
            <v>FCCII-602PTL99</v>
          </cell>
        </row>
        <row r="741">
          <cell r="A741" t="str">
            <v>FCCIS-602-TP99</v>
          </cell>
        </row>
        <row r="742">
          <cell r="A742" t="str">
            <v>FCCIS-602-TP9C</v>
          </cell>
        </row>
        <row r="743">
          <cell r="A743" t="str">
            <v>FCCIS-602PTL99</v>
          </cell>
        </row>
        <row r="744">
          <cell r="A744" t="str">
            <v>FCEBI-600-TD99</v>
          </cell>
        </row>
        <row r="745">
          <cell r="A745" t="str">
            <v>FCEBS-600-TD99</v>
          </cell>
        </row>
        <row r="746">
          <cell r="A746" t="str">
            <v>FCEII-602-T999</v>
          </cell>
        </row>
        <row r="747">
          <cell r="A747" t="str">
            <v>FCEII-602-T9U9</v>
          </cell>
        </row>
        <row r="748">
          <cell r="A748" t="str">
            <v>FCEII-602-TL99</v>
          </cell>
        </row>
        <row r="749">
          <cell r="A749" t="str">
            <v>FCEIS-602-T999</v>
          </cell>
        </row>
        <row r="750">
          <cell r="A750" t="str">
            <v>FCEIS-602-T9U9</v>
          </cell>
        </row>
        <row r="751">
          <cell r="A751" t="str">
            <v>FCEIS-602-TL99</v>
          </cell>
        </row>
        <row r="752">
          <cell r="A752" t="str">
            <v>FCEXS-602-T999</v>
          </cell>
        </row>
        <row r="753">
          <cell r="A753" t="str">
            <v>FCEXS-602-T9U9</v>
          </cell>
        </row>
        <row r="754">
          <cell r="A754" t="str">
            <v>FCEXS-602-TL99</v>
          </cell>
        </row>
        <row r="755">
          <cell r="A755" t="str">
            <v>FCEYS-602-T999</v>
          </cell>
        </row>
        <row r="756">
          <cell r="A756" t="str">
            <v>FCEYS-602-TL99</v>
          </cell>
        </row>
        <row r="757">
          <cell r="A757" t="str">
            <v>FCPBI-600-TD99</v>
          </cell>
        </row>
        <row r="758">
          <cell r="A758" t="str">
            <v>FCPBS-600-TD99</v>
          </cell>
        </row>
        <row r="759">
          <cell r="A759" t="str">
            <v>FCPII-602-T999</v>
          </cell>
        </row>
        <row r="760">
          <cell r="A760" t="str">
            <v>FCPII-602-T9U9</v>
          </cell>
        </row>
        <row r="761">
          <cell r="A761" t="str">
            <v>FCPII-602-TL99</v>
          </cell>
        </row>
        <row r="762">
          <cell r="A762" t="str">
            <v>FCPIS-600-T999</v>
          </cell>
        </row>
        <row r="763">
          <cell r="A763" t="str">
            <v>FCPIS-600-T9U9</v>
          </cell>
        </row>
        <row r="764">
          <cell r="A764" t="str">
            <v>FCPIS-601-T999</v>
          </cell>
        </row>
        <row r="765">
          <cell r="A765" t="str">
            <v>FCPIS-601-T9U9</v>
          </cell>
        </row>
        <row r="766">
          <cell r="A766" t="str">
            <v>FCPIS-602-T999</v>
          </cell>
        </row>
        <row r="767">
          <cell r="A767" t="str">
            <v>FCPIS-602-T9U9</v>
          </cell>
        </row>
        <row r="768">
          <cell r="A768" t="str">
            <v>FCPIS-602-TL99</v>
          </cell>
        </row>
        <row r="769">
          <cell r="A769" t="str">
            <v>FDDD9-602-T999</v>
          </cell>
        </row>
        <row r="770">
          <cell r="A770" t="str">
            <v>FFDBS-600-TD99</v>
          </cell>
        </row>
        <row r="771">
          <cell r="A771" t="str">
            <v>FFDIS-602-T999</v>
          </cell>
        </row>
        <row r="772">
          <cell r="A772" t="str">
            <v>FFDIS-602-T9U9</v>
          </cell>
        </row>
        <row r="773">
          <cell r="A773" t="str">
            <v>FFDIS-602-TL99</v>
          </cell>
        </row>
        <row r="774">
          <cell r="A774" t="str">
            <v>FFHBS-600-TD99</v>
          </cell>
        </row>
        <row r="775">
          <cell r="A775" t="str">
            <v>FFHD9-601-T99C</v>
          </cell>
        </row>
        <row r="776">
          <cell r="A776" t="str">
            <v>FFHIS-602-T999</v>
          </cell>
        </row>
        <row r="777">
          <cell r="A777" t="str">
            <v>FFHIS-602-T9U9</v>
          </cell>
        </row>
        <row r="778">
          <cell r="A778" t="str">
            <v>FFHIS-602-TL99</v>
          </cell>
        </row>
        <row r="779">
          <cell r="A779" t="str">
            <v>FFHIS-6T1-T9T9</v>
          </cell>
        </row>
        <row r="780">
          <cell r="A780" t="str">
            <v>FFHXS-602-T999</v>
          </cell>
        </row>
        <row r="781">
          <cell r="A781" t="str">
            <v>FFHXS-602-T9U9</v>
          </cell>
        </row>
        <row r="782">
          <cell r="A782" t="str">
            <v>FFHXS-602-TL99</v>
          </cell>
        </row>
        <row r="783">
          <cell r="A783" t="str">
            <v>FFHYS-602-T999</v>
          </cell>
        </row>
        <row r="784">
          <cell r="A784" t="str">
            <v>FFHYS-602-TL99</v>
          </cell>
        </row>
        <row r="785">
          <cell r="A785" t="str">
            <v>FFJM9-300-T999</v>
          </cell>
        </row>
        <row r="786">
          <cell r="A786" t="str">
            <v>FIG-ECR-3.0G1-PU</v>
          </cell>
        </row>
        <row r="787">
          <cell r="A787" t="str">
            <v>FJCI9-300-TL99</v>
          </cell>
        </row>
        <row r="788">
          <cell r="A788" t="str">
            <v>FJEI9-300-T999</v>
          </cell>
        </row>
        <row r="789">
          <cell r="A789" t="str">
            <v>FJEI9-300-T9U9</v>
          </cell>
        </row>
        <row r="790">
          <cell r="A790" t="str">
            <v>FJEI9-300-TL99</v>
          </cell>
        </row>
        <row r="791">
          <cell r="A791" t="str">
            <v>FJEI9-300-TLU9</v>
          </cell>
        </row>
        <row r="792">
          <cell r="A792" t="str">
            <v>FMKMI-602-T999</v>
          </cell>
        </row>
        <row r="793">
          <cell r="A793" t="str">
            <v>FMKMS-602-T999</v>
          </cell>
        </row>
        <row r="794">
          <cell r="A794" t="str">
            <v>FR-2.0.1-D</v>
          </cell>
        </row>
        <row r="795">
          <cell r="A795" t="str">
            <v>FR-2.0.1-DT-S</v>
          </cell>
        </row>
        <row r="796">
          <cell r="A796" t="str">
            <v>FR-2.0.1-ES-S</v>
          </cell>
        </row>
        <row r="797">
          <cell r="A797" t="str">
            <v>FTAIS-900-T929</v>
          </cell>
        </row>
        <row r="798">
          <cell r="A798" t="str">
            <v>FTAIS-900-T9A9</v>
          </cell>
        </row>
        <row r="799">
          <cell r="A799" t="str">
            <v>FTAIS-900-T9D9</v>
          </cell>
        </row>
        <row r="800">
          <cell r="A800" t="str">
            <v>FTAIS-900-T9E9</v>
          </cell>
        </row>
        <row r="801">
          <cell r="A801" t="str">
            <v>FTAM-8.0.3-CD</v>
          </cell>
        </row>
        <row r="802">
          <cell r="A802" t="str">
            <v>FTAM-8.0.3-D</v>
          </cell>
        </row>
        <row r="803">
          <cell r="A803" t="str">
            <v>FTAM-8.0.3-S</v>
          </cell>
        </row>
        <row r="804">
          <cell r="A804" t="str">
            <v>FTAM-8.0.3-SU</v>
          </cell>
        </row>
        <row r="805">
          <cell r="A805" t="str">
            <v>FTWBI-600-TD99</v>
          </cell>
        </row>
        <row r="806">
          <cell r="A806" t="str">
            <v>FTWBS-600-TD99</v>
          </cell>
        </row>
        <row r="807">
          <cell r="A807" t="str">
            <v>FTWII-602-T999</v>
          </cell>
        </row>
        <row r="808">
          <cell r="A808" t="str">
            <v>FTWII-602-T9U9</v>
          </cell>
        </row>
        <row r="809">
          <cell r="A809" t="str">
            <v>FTWII-602-TL99</v>
          </cell>
        </row>
        <row r="810">
          <cell r="A810" t="str">
            <v>FTWIS-602-T999</v>
          </cell>
        </row>
        <row r="811">
          <cell r="A811" t="str">
            <v>FTWIS-602-T9U9</v>
          </cell>
        </row>
        <row r="812">
          <cell r="A812" t="str">
            <v>FTWIS-602-TL99</v>
          </cell>
        </row>
        <row r="813">
          <cell r="A813" t="str">
            <v>GDKM9-100-T999</v>
          </cell>
        </row>
        <row r="814">
          <cell r="A814" t="str">
            <v>GDMD9-100-9999</v>
          </cell>
        </row>
        <row r="815">
          <cell r="A815" t="str">
            <v>GDMIS-100-9999</v>
          </cell>
        </row>
        <row r="816">
          <cell r="A816" t="str">
            <v>GDMO-1.0-D</v>
          </cell>
        </row>
        <row r="817">
          <cell r="A817" t="str">
            <v>GDMO-1.0-S</v>
          </cell>
        </row>
        <row r="818">
          <cell r="A818" t="str">
            <v>HA-MULT</v>
          </cell>
        </row>
        <row r="819">
          <cell r="A819" t="str">
            <v>HA-SUPP</v>
          </cell>
        </row>
        <row r="820">
          <cell r="A820" t="str">
            <v>HPC-INSTALL</v>
          </cell>
        </row>
        <row r="821">
          <cell r="A821" t="str">
            <v>HPC-INSTALL-E10000</v>
          </cell>
        </row>
        <row r="822">
          <cell r="A822" t="str">
            <v>HPCIS-310-9999</v>
          </cell>
        </row>
        <row r="823">
          <cell r="A823" t="str">
            <v>HPCIS-400-9999</v>
          </cell>
        </row>
        <row r="824">
          <cell r="A824" t="str">
            <v>HSREX-403-99Y9</v>
          </cell>
        </row>
        <row r="825">
          <cell r="A825" t="str">
            <v>HSREX-403-X999</v>
          </cell>
        </row>
        <row r="826">
          <cell r="A826" t="str">
            <v>HSRMDBOI-500-B209</v>
          </cell>
        </row>
        <row r="827">
          <cell r="A827" t="str">
            <v>HSRMDBOI-500-B999</v>
          </cell>
        </row>
        <row r="828">
          <cell r="A828" t="str">
            <v>HSRMDBOI-500-G209</v>
          </cell>
        </row>
        <row r="829">
          <cell r="A829" t="str">
            <v>HSRMDBOI-500-G999</v>
          </cell>
        </row>
        <row r="830">
          <cell r="A830" t="str">
            <v>HSRMDBOI-500-I209</v>
          </cell>
        </row>
        <row r="831">
          <cell r="A831" t="str">
            <v>HSRMDBOI-500-I999</v>
          </cell>
        </row>
        <row r="832">
          <cell r="A832" t="str">
            <v>HSRMDBOI-500-X209</v>
          </cell>
        </row>
        <row r="833">
          <cell r="A833" t="str">
            <v>HSRMDBOI-500-X999</v>
          </cell>
        </row>
        <row r="834">
          <cell r="A834" t="str">
            <v>HSRMDBOU-500-C209</v>
          </cell>
        </row>
        <row r="835">
          <cell r="A835" t="str">
            <v>HSRMDBOU-500-C999</v>
          </cell>
        </row>
        <row r="836">
          <cell r="A836" t="str">
            <v>HSRMDBOU-500-G209</v>
          </cell>
        </row>
        <row r="837">
          <cell r="A837" t="str">
            <v>HSRMDBOU-500-G999</v>
          </cell>
        </row>
        <row r="838">
          <cell r="A838" t="str">
            <v>HSRMDBOU-500-I209</v>
          </cell>
        </row>
        <row r="839">
          <cell r="A839" t="str">
            <v>HSRMDBOU-500-I999</v>
          </cell>
        </row>
        <row r="840">
          <cell r="A840" t="str">
            <v>HSRMDBOU-500-Y209</v>
          </cell>
        </row>
        <row r="841">
          <cell r="A841" t="str">
            <v>HSRMDBOU-500-Y999</v>
          </cell>
        </row>
        <row r="842">
          <cell r="A842" t="str">
            <v>HSRMDBSU-500-C209</v>
          </cell>
        </row>
        <row r="843">
          <cell r="A843" t="str">
            <v>HSRMDBSU-500-C999</v>
          </cell>
        </row>
        <row r="844">
          <cell r="A844" t="str">
            <v>HSRMDBSU-500-G209</v>
          </cell>
        </row>
        <row r="845">
          <cell r="A845" t="str">
            <v>HSRMDBSU-500-G999</v>
          </cell>
        </row>
        <row r="846">
          <cell r="A846" t="str">
            <v>HSRMDBSU-500-I209</v>
          </cell>
        </row>
        <row r="847">
          <cell r="A847" t="str">
            <v>HSRMDBSU-500-I999</v>
          </cell>
        </row>
        <row r="848">
          <cell r="A848" t="str">
            <v>HSRMDBSU-500-Y209</v>
          </cell>
        </row>
        <row r="849">
          <cell r="A849" t="str">
            <v>HSRMDBSU-500-Y999</v>
          </cell>
        </row>
        <row r="850">
          <cell r="A850" t="str">
            <v>HSRME-500-99Y9</v>
          </cell>
        </row>
        <row r="851">
          <cell r="A851" t="str">
            <v>HSRMGR-100-99Y9</v>
          </cell>
        </row>
        <row r="852">
          <cell r="A852" t="str">
            <v>HSRMI-500-B209</v>
          </cell>
        </row>
        <row r="853">
          <cell r="A853" t="str">
            <v>HSRMI-500-B999</v>
          </cell>
        </row>
        <row r="854">
          <cell r="A854" t="str">
            <v>HSRMI-500-G209</v>
          </cell>
        </row>
        <row r="855">
          <cell r="A855" t="str">
            <v>HSRMI-500-G999</v>
          </cell>
        </row>
        <row r="856">
          <cell r="A856" t="str">
            <v>HSRMI-500-I209</v>
          </cell>
        </row>
        <row r="857">
          <cell r="A857" t="str">
            <v>HSRMI-500-I999</v>
          </cell>
        </row>
        <row r="858">
          <cell r="A858" t="str">
            <v>HSRMP-500-99Y9</v>
          </cell>
        </row>
        <row r="859">
          <cell r="A859" t="str">
            <v>HSRMS-402-9999</v>
          </cell>
        </row>
        <row r="860">
          <cell r="A860" t="str">
            <v>HSRMS-402-99Y9</v>
          </cell>
        </row>
        <row r="861">
          <cell r="A861" t="str">
            <v>HSRMU-500-C209</v>
          </cell>
        </row>
        <row r="862">
          <cell r="A862" t="str">
            <v>HSRMU-500-C999</v>
          </cell>
        </row>
        <row r="863">
          <cell r="A863" t="str">
            <v>HSRMU-500-G209</v>
          </cell>
        </row>
        <row r="864">
          <cell r="A864" t="str">
            <v>HSRMU-500-G999</v>
          </cell>
        </row>
        <row r="865">
          <cell r="A865" t="str">
            <v>HSRMU-500-I209</v>
          </cell>
        </row>
        <row r="866">
          <cell r="A866" t="str">
            <v>HSRMU-500-I999</v>
          </cell>
        </row>
        <row r="867">
          <cell r="A867" t="str">
            <v>HSRMU-500-Y209</v>
          </cell>
        </row>
        <row r="868">
          <cell r="A868" t="str">
            <v>HSRMU-500-Y999</v>
          </cell>
        </row>
        <row r="869">
          <cell r="A869" t="str">
            <v>HSRSL-999-9999</v>
          </cell>
        </row>
        <row r="870">
          <cell r="A870" t="str">
            <v>IIXSS-200-9999</v>
          </cell>
        </row>
        <row r="871">
          <cell r="A871" t="str">
            <v>IIXSS-999-D999</v>
          </cell>
        </row>
        <row r="872">
          <cell r="A872" t="str">
            <v>IIXSS-999-E999</v>
          </cell>
        </row>
        <row r="873">
          <cell r="A873" t="str">
            <v>IIXSS-999-S999</v>
          </cell>
        </row>
        <row r="874">
          <cell r="A874" t="str">
            <v>INI9S-200-D999</v>
          </cell>
        </row>
        <row r="875">
          <cell r="A875" t="str">
            <v>INI9S-200-E999</v>
          </cell>
        </row>
        <row r="876">
          <cell r="A876" t="str">
            <v>INI9S-200-R99S</v>
          </cell>
        </row>
        <row r="877">
          <cell r="A877" t="str">
            <v>INI9S-200-S999</v>
          </cell>
        </row>
        <row r="878">
          <cell r="A878" t="str">
            <v>INI9S-200-W999</v>
          </cell>
        </row>
        <row r="879">
          <cell r="A879" t="str">
            <v>IPG-HUB1</v>
          </cell>
        </row>
        <row r="880">
          <cell r="A880" t="str">
            <v>JAVAST-RTU</v>
          </cell>
        </row>
        <row r="881">
          <cell r="A881" t="str">
            <v>JDM99-300-RO99</v>
          </cell>
        </row>
        <row r="882">
          <cell r="A882" t="str">
            <v>JDM99-320-RO99</v>
          </cell>
        </row>
        <row r="883">
          <cell r="A883" t="str">
            <v>JDM99-400-RO99</v>
          </cell>
        </row>
        <row r="884">
          <cell r="A884" t="str">
            <v>JDM99-410-RO99</v>
          </cell>
        </row>
        <row r="885">
          <cell r="A885" t="str">
            <v>JDM99-420-RO99</v>
          </cell>
        </row>
        <row r="886">
          <cell r="A886" t="str">
            <v>JDMB9-420-TO99</v>
          </cell>
        </row>
        <row r="887">
          <cell r="A887" t="str">
            <v>JDMB9-420-TOU9</v>
          </cell>
        </row>
        <row r="888">
          <cell r="A888" t="str">
            <v>JDMD9-420-M999</v>
          </cell>
        </row>
        <row r="889">
          <cell r="A889" t="str">
            <v>JDMI9-420-TO99</v>
          </cell>
        </row>
        <row r="890">
          <cell r="A890" t="str">
            <v>JDML9-420-RO99</v>
          </cell>
        </row>
        <row r="891">
          <cell r="A891" t="str">
            <v>JDMV9-420-TO99</v>
          </cell>
        </row>
        <row r="892">
          <cell r="A892" t="str">
            <v>JESI9-110-T999</v>
          </cell>
        </row>
        <row r="893">
          <cell r="A893" t="str">
            <v>JESM9-110-T999</v>
          </cell>
        </row>
        <row r="894">
          <cell r="A894" t="str">
            <v>JESMS-110-TD99</v>
          </cell>
        </row>
        <row r="895">
          <cell r="A895" t="str">
            <v>JESS9-110-T999</v>
          </cell>
        </row>
        <row r="896">
          <cell r="A896" t="str">
            <v>JESS9-110-TI99</v>
          </cell>
        </row>
        <row r="897">
          <cell r="A897" t="str">
            <v>JESV9-110-T999</v>
          </cell>
        </row>
        <row r="898">
          <cell r="A898" t="str">
            <v>JESX9-110-T999</v>
          </cell>
        </row>
        <row r="899">
          <cell r="A899" t="str">
            <v>JL4F9-110-T9U9</v>
          </cell>
        </row>
        <row r="900">
          <cell r="A900" t="str">
            <v>JPCCI-110ND999</v>
          </cell>
        </row>
        <row r="901">
          <cell r="A901" t="str">
            <v>JPCCI-110WD999</v>
          </cell>
        </row>
        <row r="902">
          <cell r="A902" t="str">
            <v>JPCEI-110ND999</v>
          </cell>
        </row>
        <row r="903">
          <cell r="A903" t="str">
            <v>JPCEI-110WD999</v>
          </cell>
        </row>
        <row r="904">
          <cell r="A904" t="str">
            <v>JPCFI-110ND999</v>
          </cell>
        </row>
        <row r="905">
          <cell r="A905" t="str">
            <v>JPCFI-110WD999</v>
          </cell>
        </row>
        <row r="906">
          <cell r="A906" t="str">
            <v>JPCGI-110ND999</v>
          </cell>
        </row>
        <row r="907">
          <cell r="A907" t="str">
            <v>JPCGI-110WD999</v>
          </cell>
        </row>
        <row r="908">
          <cell r="A908" t="str">
            <v>JPCII-110ND999</v>
          </cell>
        </row>
        <row r="909">
          <cell r="A909" t="str">
            <v>JPCII-110WD999</v>
          </cell>
        </row>
        <row r="910">
          <cell r="A910" t="str">
            <v>JPCJI-110ND999</v>
          </cell>
        </row>
        <row r="911">
          <cell r="A911" t="str">
            <v>JPCJI-110WD999</v>
          </cell>
        </row>
        <row r="912">
          <cell r="A912" t="str">
            <v>JPCXI-110ND999</v>
          </cell>
        </row>
        <row r="913">
          <cell r="A913" t="str">
            <v>JPCXI-110WD999</v>
          </cell>
        </row>
        <row r="914">
          <cell r="A914" t="str">
            <v>JST-ENT</v>
          </cell>
        </row>
        <row r="915">
          <cell r="A915" t="str">
            <v>LJBIN-600-3304</v>
          </cell>
        </row>
        <row r="916">
          <cell r="A916" t="str">
            <v>LJBIS-600-2080</v>
          </cell>
        </row>
        <row r="917">
          <cell r="A917" t="str">
            <v>LJBIS-600-2102</v>
          </cell>
        </row>
        <row r="918">
          <cell r="A918" t="str">
            <v>LJBIS-600-2106</v>
          </cell>
        </row>
        <row r="919">
          <cell r="A919" t="str">
            <v>LJBIS-600-3300</v>
          </cell>
        </row>
        <row r="920">
          <cell r="A920" t="str">
            <v>LJBIS-600-5080</v>
          </cell>
        </row>
        <row r="921">
          <cell r="A921" t="str">
            <v>LJBIS-600-5102</v>
          </cell>
        </row>
        <row r="922">
          <cell r="A922" t="str">
            <v>LJBIW-600-3302</v>
          </cell>
        </row>
        <row r="923">
          <cell r="A923" t="str">
            <v>LJBMS-600-2088</v>
          </cell>
        </row>
        <row r="924">
          <cell r="A924" t="str">
            <v>LLBIN-610-3304</v>
          </cell>
        </row>
        <row r="925">
          <cell r="A925" t="str">
            <v>LLBIS-610-2080</v>
          </cell>
        </row>
        <row r="926">
          <cell r="A926" t="str">
            <v>LLBIS-610-2102</v>
          </cell>
        </row>
        <row r="927">
          <cell r="A927" t="str">
            <v>LLBIS-610-2106</v>
          </cell>
        </row>
        <row r="928">
          <cell r="A928" t="str">
            <v>LLBIS-610-3300</v>
          </cell>
        </row>
        <row r="929">
          <cell r="A929" t="str">
            <v>LLBIS-610-5080</v>
          </cell>
        </row>
        <row r="930">
          <cell r="A930" t="str">
            <v>LLBIS-610-5102</v>
          </cell>
        </row>
        <row r="931">
          <cell r="A931" t="str">
            <v>LLBIW-610-3302</v>
          </cell>
        </row>
        <row r="932">
          <cell r="A932" t="str">
            <v>LLBMS-610-2088</v>
          </cell>
        </row>
        <row r="933">
          <cell r="A933" t="str">
            <v>LSB8S-610-S9T9</v>
          </cell>
        </row>
        <row r="934">
          <cell r="A934" t="str">
            <v>LSB99-610-D9P9</v>
          </cell>
        </row>
        <row r="935">
          <cell r="A935" t="str">
            <v>LSB99-610-E9P9</v>
          </cell>
        </row>
        <row r="936">
          <cell r="A936" t="str">
            <v>LSB99-610-W9P9</v>
          </cell>
        </row>
        <row r="937">
          <cell r="A937" t="str">
            <v>LSB9S-610-S9T9</v>
          </cell>
        </row>
        <row r="938">
          <cell r="A938" t="str">
            <v>LSB9S-610-W9T9</v>
          </cell>
        </row>
        <row r="939">
          <cell r="A939" t="str">
            <v>LSBC9-610-2023</v>
          </cell>
        </row>
        <row r="940">
          <cell r="A940" t="str">
            <v>LSBCS-610-99T9</v>
          </cell>
        </row>
        <row r="941">
          <cell r="A941" t="str">
            <v>LSBDM-610-8562</v>
          </cell>
        </row>
        <row r="942">
          <cell r="A942" t="str">
            <v>LSBDN-610-8561</v>
          </cell>
        </row>
        <row r="943">
          <cell r="A943" t="str">
            <v>LSBDS-610-8560</v>
          </cell>
        </row>
        <row r="944">
          <cell r="A944" t="str">
            <v>LSBDS-610-8563</v>
          </cell>
        </row>
        <row r="945">
          <cell r="A945" t="str">
            <v>LSBDS-610-8564</v>
          </cell>
        </row>
        <row r="946">
          <cell r="A946" t="str">
            <v>LSBDS-610-8565</v>
          </cell>
        </row>
        <row r="947">
          <cell r="A947" t="str">
            <v>LSBDS-610-8566</v>
          </cell>
        </row>
        <row r="948">
          <cell r="A948" t="str">
            <v>LSBDS-610-8570</v>
          </cell>
        </row>
        <row r="949">
          <cell r="A949" t="str">
            <v>LSBDS-610-8580</v>
          </cell>
        </row>
        <row r="950">
          <cell r="A950" t="str">
            <v>LSBES-610-99T9</v>
          </cell>
        </row>
        <row r="951">
          <cell r="A951" t="str">
            <v>LSBIL-610-7054</v>
          </cell>
        </row>
        <row r="952">
          <cell r="A952" t="str">
            <v>LSBIL-610-7055</v>
          </cell>
        </row>
        <row r="953">
          <cell r="A953" t="str">
            <v>LSBIL-610-7460</v>
          </cell>
        </row>
        <row r="954">
          <cell r="A954" t="str">
            <v>LSBIL-610-7461</v>
          </cell>
        </row>
        <row r="955">
          <cell r="A955" t="str">
            <v>LSBIL-610-7465</v>
          </cell>
        </row>
        <row r="956">
          <cell r="A956" t="str">
            <v>LSBIL-610-7466</v>
          </cell>
        </row>
        <row r="957">
          <cell r="A957" t="str">
            <v>LSBIN-610-2002</v>
          </cell>
        </row>
        <row r="958">
          <cell r="A958" t="str">
            <v>LSBIN-610-2003</v>
          </cell>
        </row>
        <row r="959">
          <cell r="A959" t="str">
            <v>LSBIN-610-2081</v>
          </cell>
        </row>
        <row r="960">
          <cell r="A960" t="str">
            <v>LSBIN-610-2107</v>
          </cell>
        </row>
        <row r="961">
          <cell r="A961" t="str">
            <v>LSBIN-610-2155</v>
          </cell>
        </row>
        <row r="962">
          <cell r="A962" t="str">
            <v>LSBIN-610-2954</v>
          </cell>
        </row>
        <row r="963">
          <cell r="A963" t="str">
            <v>LSBIN-610-2955</v>
          </cell>
        </row>
        <row r="964">
          <cell r="A964" t="str">
            <v>LSBIN-610-2957</v>
          </cell>
        </row>
        <row r="965">
          <cell r="A965" t="str">
            <v>LSBIN-610-2959</v>
          </cell>
        </row>
        <row r="966">
          <cell r="A966" t="str">
            <v>LSBIN-610-2965</v>
          </cell>
        </row>
        <row r="967">
          <cell r="A967" t="str">
            <v>LSBIN-610-2979</v>
          </cell>
        </row>
        <row r="968">
          <cell r="A968" t="str">
            <v>LSBIN-610-3304</v>
          </cell>
        </row>
        <row r="969">
          <cell r="A969" t="str">
            <v>LSBIN-610-5081</v>
          </cell>
        </row>
        <row r="970">
          <cell r="A970" t="str">
            <v>LSBIN-610-7059</v>
          </cell>
        </row>
        <row r="971">
          <cell r="A971" t="str">
            <v>LSBIN-610-7425</v>
          </cell>
        </row>
        <row r="972">
          <cell r="A972" t="str">
            <v>LSBIN-610-7435</v>
          </cell>
        </row>
        <row r="973">
          <cell r="A973" t="str">
            <v>LSBIS-610-2004</v>
          </cell>
        </row>
        <row r="974">
          <cell r="A974" t="str">
            <v>LSBIS-610-2005</v>
          </cell>
        </row>
        <row r="975">
          <cell r="A975" t="str">
            <v>LSBIS-610-2009</v>
          </cell>
        </row>
        <row r="976">
          <cell r="A976" t="str">
            <v>LSBIS-610-2010</v>
          </cell>
        </row>
        <row r="977">
          <cell r="A977" t="str">
            <v>LSBIS-610-2011</v>
          </cell>
        </row>
        <row r="978">
          <cell r="A978" t="str">
            <v>LSBIS-610-2012</v>
          </cell>
        </row>
        <row r="979">
          <cell r="A979" t="str">
            <v>LSBIS-610-2013</v>
          </cell>
        </row>
        <row r="980">
          <cell r="A980" t="str">
            <v>LSBIS-610-2014</v>
          </cell>
        </row>
        <row r="981">
          <cell r="A981" t="str">
            <v>LSBIS-610-2025</v>
          </cell>
        </row>
        <row r="982">
          <cell r="A982" t="str">
            <v>LSBIS-610-2030</v>
          </cell>
        </row>
        <row r="983">
          <cell r="A983" t="str">
            <v>LSBIS-610-2041</v>
          </cell>
        </row>
        <row r="984">
          <cell r="A984" t="str">
            <v>LSBIS-610-2043</v>
          </cell>
        </row>
        <row r="985">
          <cell r="A985" t="str">
            <v>LSBIS-610-2044</v>
          </cell>
        </row>
        <row r="986">
          <cell r="A986" t="str">
            <v>LSBIS-610-2046</v>
          </cell>
        </row>
        <row r="987">
          <cell r="A987" t="str">
            <v>LSBIS-610-2048</v>
          </cell>
        </row>
        <row r="988">
          <cell r="A988" t="str">
            <v>LSBIS-610-2080</v>
          </cell>
        </row>
        <row r="989">
          <cell r="A989" t="str">
            <v>LSBIS-610-2102</v>
          </cell>
        </row>
        <row r="990">
          <cell r="A990" t="str">
            <v>LSBIS-610-2106</v>
          </cell>
        </row>
        <row r="991">
          <cell r="A991" t="str">
            <v>LSBIS-610-2114</v>
          </cell>
        </row>
        <row r="992">
          <cell r="A992" t="str">
            <v>LSBIS-610-2151</v>
          </cell>
        </row>
        <row r="993">
          <cell r="A993" t="str">
            <v>LSBIS-610-2152</v>
          </cell>
        </row>
        <row r="994">
          <cell r="A994" t="str">
            <v>LSBIS-610-2153</v>
          </cell>
        </row>
        <row r="995">
          <cell r="A995" t="str">
            <v>LSBIS-610-2154</v>
          </cell>
        </row>
        <row r="996">
          <cell r="A996" t="str">
            <v>LSBIS-610-2161</v>
          </cell>
        </row>
        <row r="997">
          <cell r="A997" t="str">
            <v>LSBIS-610-2194</v>
          </cell>
        </row>
        <row r="998">
          <cell r="A998" t="str">
            <v>LSBIS-610-2195</v>
          </cell>
        </row>
        <row r="999">
          <cell r="A999" t="str">
            <v>LSBIS-610-3300</v>
          </cell>
        </row>
        <row r="1000">
          <cell r="A1000" t="str">
            <v>LSBIS-610-5080</v>
          </cell>
        </row>
        <row r="1001">
          <cell r="A1001" t="str">
            <v>LSBIS-610-5102</v>
          </cell>
        </row>
        <row r="1002">
          <cell r="A1002" t="str">
            <v>LSBIS-610-7058</v>
          </cell>
        </row>
        <row r="1003">
          <cell r="A1003" t="str">
            <v>LSBIS-610-7421</v>
          </cell>
        </row>
        <row r="1004">
          <cell r="A1004" t="str">
            <v>LSBIS-610-7431</v>
          </cell>
        </row>
        <row r="1005">
          <cell r="A1005" t="str">
            <v>LSBIV-610-3303</v>
          </cell>
        </row>
        <row r="1006">
          <cell r="A1006" t="str">
            <v>LSBIW-610-3302</v>
          </cell>
        </row>
        <row r="1007">
          <cell r="A1007" t="str">
            <v>LSBIX-610-3321</v>
          </cell>
        </row>
        <row r="1008">
          <cell r="A1008" t="str">
            <v>LSBLS-610-99T9</v>
          </cell>
        </row>
        <row r="1009">
          <cell r="A1009" t="str">
            <v>LSBMS-610-2088</v>
          </cell>
        </row>
        <row r="1010">
          <cell r="A1010" t="str">
            <v>LSBUS-610-2953</v>
          </cell>
        </row>
        <row r="1011">
          <cell r="A1011" t="str">
            <v>LSBUS-610-89T9</v>
          </cell>
        </row>
        <row r="1012">
          <cell r="A1012" t="str">
            <v>LSBUS-610-99T9</v>
          </cell>
        </row>
        <row r="1013">
          <cell r="A1013" t="str">
            <v>LSBV9-610-2021</v>
          </cell>
        </row>
        <row r="1014">
          <cell r="A1014" t="str">
            <v>LSBVS-610-2115</v>
          </cell>
        </row>
        <row r="1015">
          <cell r="A1015" t="str">
            <v>LSBVS-610-99T9</v>
          </cell>
        </row>
        <row r="1016">
          <cell r="A1016" t="str">
            <v>LSBY9-610-2022</v>
          </cell>
        </row>
        <row r="1017">
          <cell r="A1017" t="str">
            <v>LSBYN-610-2110</v>
          </cell>
        </row>
        <row r="1018">
          <cell r="A1018" t="str">
            <v>LSBYN-610-2111</v>
          </cell>
        </row>
        <row r="1019">
          <cell r="A1019" t="str">
            <v>LSBYS-610-99T9</v>
          </cell>
        </row>
        <row r="1020">
          <cell r="A1020" t="str">
            <v>MCBIS-500-T999</v>
          </cell>
        </row>
        <row r="1021">
          <cell r="A1021" t="str">
            <v>MCBIS-600-T999</v>
          </cell>
        </row>
        <row r="1022">
          <cell r="A1022" t="str">
            <v>MCBXS-500-R999</v>
          </cell>
        </row>
        <row r="1023">
          <cell r="A1023" t="str">
            <v>MCBXS-600-R999</v>
          </cell>
        </row>
        <row r="1024">
          <cell r="A1024" t="str">
            <v>MCSCS-100-9999</v>
          </cell>
        </row>
        <row r="1025">
          <cell r="A1025" t="str">
            <v>MCSIS-100-9999</v>
          </cell>
        </row>
        <row r="1026">
          <cell r="A1026" t="str">
            <v>MCSVS-100-9999</v>
          </cell>
        </row>
        <row r="1027">
          <cell r="A1027" t="str">
            <v>MCSXS-100-9999</v>
          </cell>
        </row>
        <row r="1028">
          <cell r="A1028" t="str">
            <v>MDT-4.1-P</v>
          </cell>
        </row>
        <row r="1029">
          <cell r="A1029" t="str">
            <v>MDT-4.1-PU</v>
          </cell>
        </row>
        <row r="1030">
          <cell r="A1030" t="str">
            <v>MOSX-ADD-4.1-L10</v>
          </cell>
        </row>
        <row r="1031">
          <cell r="A1031" t="str">
            <v>MOSX-INI-4.1-S10</v>
          </cell>
        </row>
        <row r="1032">
          <cell r="A1032" t="str">
            <v>N03-AA</v>
          </cell>
        </row>
        <row r="1033">
          <cell r="A1033" t="str">
            <v>N03-ULD1-9S-256AT</v>
          </cell>
        </row>
        <row r="1034">
          <cell r="A1034" t="str">
            <v>N03-ULD2-9S-1024AT</v>
          </cell>
        </row>
        <row r="1035">
          <cell r="A1035" t="str">
            <v>N03-ULD2-9S-2048AV</v>
          </cell>
        </row>
        <row r="1036">
          <cell r="A1036" t="str">
            <v>N04-AA</v>
          </cell>
        </row>
        <row r="1037">
          <cell r="A1037" t="str">
            <v>N04-ULD1-9S-256AT</v>
          </cell>
        </row>
        <row r="1038">
          <cell r="A1038" t="str">
            <v>N04-ULD2-9S-1024AT</v>
          </cell>
        </row>
        <row r="1039">
          <cell r="A1039" t="str">
            <v>N04-ULD2-9S-2048AV</v>
          </cell>
        </row>
        <row r="1040">
          <cell r="A1040" t="str">
            <v>N06-UKC1-9S100AT1</v>
          </cell>
        </row>
        <row r="1041">
          <cell r="A1041" t="str">
            <v>N06-UKC1-9S256AT1</v>
          </cell>
        </row>
        <row r="1042">
          <cell r="A1042" t="str">
            <v>N06-UKC1-9S512AT1</v>
          </cell>
        </row>
        <row r="1043">
          <cell r="A1043" t="str">
            <v>N07-UKC1-9S512AT1</v>
          </cell>
        </row>
        <row r="1044">
          <cell r="A1044" t="str">
            <v>N14-AA</v>
          </cell>
        </row>
        <row r="1045">
          <cell r="A1045" t="str">
            <v>N14-ULD1-9S-256AT</v>
          </cell>
        </row>
        <row r="1046">
          <cell r="A1046" t="str">
            <v>N14-ULD2-9S-1024AT</v>
          </cell>
        </row>
        <row r="1047">
          <cell r="A1047" t="str">
            <v>N14-ULD2-9S-2048AV</v>
          </cell>
        </row>
        <row r="1048">
          <cell r="A1048" t="str">
            <v>N14-ULD4-9S-4096AV</v>
          </cell>
        </row>
        <row r="1049">
          <cell r="A1049" t="str">
            <v>N15-AA</v>
          </cell>
        </row>
        <row r="1050">
          <cell r="A1050" t="str">
            <v>N15-ULD1-9S-256AT</v>
          </cell>
        </row>
        <row r="1051">
          <cell r="A1051" t="str">
            <v>N15-ULD2-9S-1024AT</v>
          </cell>
        </row>
        <row r="1052">
          <cell r="A1052" t="str">
            <v>N15-ULD2-9S-2048AV</v>
          </cell>
        </row>
        <row r="1053">
          <cell r="A1053" t="str">
            <v>N15-ULD4-9S-4096AV</v>
          </cell>
        </row>
        <row r="1054">
          <cell r="A1054" t="str">
            <v>N19-UPE1-9S-102AX1</v>
          </cell>
        </row>
        <row r="1055">
          <cell r="A1055" t="str">
            <v>N19-UPE1-9S-102EX1</v>
          </cell>
        </row>
        <row r="1056">
          <cell r="A1056" t="str">
            <v>N19-UPE1-9S-128AX1</v>
          </cell>
        </row>
        <row r="1057">
          <cell r="A1057" t="str">
            <v>N19-UPE1-9S-128EX1</v>
          </cell>
        </row>
        <row r="1058">
          <cell r="A1058" t="str">
            <v>N19-UPE1-9S-202EX1</v>
          </cell>
        </row>
        <row r="1059">
          <cell r="A1059" t="str">
            <v>N19-UPE1-9S-512AX1</v>
          </cell>
        </row>
        <row r="1060">
          <cell r="A1060" t="str">
            <v>N19-UPE1-9S-512EX1</v>
          </cell>
        </row>
        <row r="1061">
          <cell r="A1061" t="str">
            <v>N21-AA</v>
          </cell>
        </row>
        <row r="1062">
          <cell r="A1062" t="str">
            <v>N21-AD</v>
          </cell>
        </row>
        <row r="1063">
          <cell r="A1063" t="str">
            <v>N21AUPE1-102AT1-SI</v>
          </cell>
        </row>
        <row r="1064">
          <cell r="A1064" t="str">
            <v>N21AUPE1-9S-102AT1</v>
          </cell>
        </row>
        <row r="1065">
          <cell r="A1065" t="str">
            <v>N21AUPE1-9S-202AV1</v>
          </cell>
        </row>
        <row r="1066">
          <cell r="A1066" t="str">
            <v>N21AUPE1-9S-256AT1</v>
          </cell>
        </row>
        <row r="1067">
          <cell r="A1067" t="str">
            <v>N21AUPE1-9S-512AT1</v>
          </cell>
        </row>
        <row r="1068">
          <cell r="A1068" t="str">
            <v>N21DUPE1-9S-256AT1</v>
          </cell>
        </row>
        <row r="1069">
          <cell r="A1069" t="str">
            <v>N28-AA</v>
          </cell>
        </row>
        <row r="1070">
          <cell r="A1070" t="str">
            <v>N28-AD</v>
          </cell>
        </row>
        <row r="1071">
          <cell r="A1071" t="str">
            <v>N28-URF1-9S-512AV</v>
          </cell>
        </row>
        <row r="1072">
          <cell r="A1072" t="str">
            <v>N28-URF2-9S-2048AV</v>
          </cell>
        </row>
        <row r="1073">
          <cell r="A1073" t="str">
            <v>N28-URF2-9S-4096AV</v>
          </cell>
        </row>
        <row r="1074">
          <cell r="A1074" t="str">
            <v>N28DURF1-9S-512AV</v>
          </cell>
        </row>
        <row r="1075">
          <cell r="A1075" t="str">
            <v>N28DURF2-9S-2048AV</v>
          </cell>
        </row>
        <row r="1076">
          <cell r="A1076" t="str">
            <v>N28DURF2-9S-4096AV</v>
          </cell>
        </row>
        <row r="1077">
          <cell r="A1077" t="str">
            <v>NAV2S-LCO-9929</v>
          </cell>
        </row>
        <row r="1078">
          <cell r="A1078" t="str">
            <v>NAV9S-300-99Y9</v>
          </cell>
        </row>
        <row r="1079">
          <cell r="A1079" t="str">
            <v>NAV9S-300-99YS</v>
          </cell>
        </row>
        <row r="1080">
          <cell r="A1080" t="str">
            <v>NDR9S-200-9999</v>
          </cell>
        </row>
        <row r="1081">
          <cell r="A1081" t="str">
            <v>NDR9S-999-D999</v>
          </cell>
        </row>
        <row r="1082">
          <cell r="A1082" t="str">
            <v>NDR9S-999-E999</v>
          </cell>
        </row>
        <row r="1083">
          <cell r="A1083" t="str">
            <v>NDR9S-999-S999</v>
          </cell>
        </row>
        <row r="1084">
          <cell r="A1084" t="str">
            <v>NDR9S-999-W999</v>
          </cell>
        </row>
        <row r="1085">
          <cell r="A1085" t="str">
            <v>NPE2S-LCO-E929</v>
          </cell>
        </row>
        <row r="1086">
          <cell r="A1086" t="str">
            <v>NPE2S-LCO-S929</v>
          </cell>
        </row>
        <row r="1087">
          <cell r="A1087" t="str">
            <v>NPE2S-LCO-W929</v>
          </cell>
        </row>
        <row r="1088">
          <cell r="A1088" t="str">
            <v>NPE9S-350-99Y9</v>
          </cell>
        </row>
        <row r="1089">
          <cell r="A1089" t="str">
            <v>NRM29-LCO-9929</v>
          </cell>
        </row>
        <row r="1090">
          <cell r="A1090" t="str">
            <v>NRM99-501-99Y9</v>
          </cell>
        </row>
        <row r="1091">
          <cell r="A1091" t="str">
            <v>NRSIS-100-B9AS</v>
          </cell>
        </row>
        <row r="1092">
          <cell r="A1092" t="str">
            <v>NRSIS-100-G9AS</v>
          </cell>
        </row>
        <row r="1093">
          <cell r="A1093" t="str">
            <v>NRSIS-100-I92S</v>
          </cell>
        </row>
        <row r="1094">
          <cell r="A1094" t="str">
            <v>NRSIS-100-I9AS</v>
          </cell>
        </row>
        <row r="1095">
          <cell r="A1095" t="str">
            <v>NS-ARY-A</v>
          </cell>
        </row>
        <row r="1096">
          <cell r="A1096" t="str">
            <v>NS-ARY-OPTIONS</v>
          </cell>
        </row>
        <row r="1097">
          <cell r="A1097" t="str">
            <v>NS-DSKD130-36GAC</v>
          </cell>
        </row>
        <row r="1098">
          <cell r="A1098" t="str">
            <v>NS-DSKD130-54GAC</v>
          </cell>
        </row>
        <row r="1099">
          <cell r="A1099" t="str">
            <v>NS-DSKD130-72GAC</v>
          </cell>
        </row>
        <row r="1100">
          <cell r="A1100" t="str">
            <v>NS-DSKS1-218GAC</v>
          </cell>
        </row>
        <row r="1101">
          <cell r="A1101" t="str">
            <v>NS-DSKS1-318GAC</v>
          </cell>
        </row>
        <row r="1102">
          <cell r="A1102" t="str">
            <v>NS-XARY151A-72GAC</v>
          </cell>
        </row>
        <row r="1103">
          <cell r="A1103" t="str">
            <v>NS-XARY151A-72GDC</v>
          </cell>
        </row>
        <row r="1104">
          <cell r="A1104" t="str">
            <v>NS-XARY153A-72GAC</v>
          </cell>
        </row>
        <row r="1105">
          <cell r="A1105" t="str">
            <v>NS-XARY153A-72GDC</v>
          </cell>
        </row>
        <row r="1106">
          <cell r="A1106" t="str">
            <v>NS-XARY171A-145GAC</v>
          </cell>
        </row>
        <row r="1107">
          <cell r="A1107" t="str">
            <v>NS-XARY171A-145GDC</v>
          </cell>
        </row>
        <row r="1108">
          <cell r="A1108" t="str">
            <v>NS-XARY173A-145GAC</v>
          </cell>
        </row>
        <row r="1109">
          <cell r="A1109" t="str">
            <v>NS-XARY173A-145GDC</v>
          </cell>
        </row>
        <row r="1110">
          <cell r="A1110" t="str">
            <v>NS-XDSKD130-18GAC</v>
          </cell>
        </row>
        <row r="1111">
          <cell r="A1111" t="str">
            <v>NS-XDSKD130-36GAC</v>
          </cell>
        </row>
        <row r="1112">
          <cell r="A1112" t="str">
            <v>NS-XDSKD130-54GAC</v>
          </cell>
        </row>
        <row r="1113">
          <cell r="A1113" t="str">
            <v>NS-XDSKD130-54GDC</v>
          </cell>
        </row>
        <row r="1114">
          <cell r="A1114" t="str">
            <v>NS-XDSKD130-72GAC</v>
          </cell>
        </row>
        <row r="1115">
          <cell r="A1115" t="str">
            <v>NS-XDSKS1-218GAC</v>
          </cell>
        </row>
        <row r="1116">
          <cell r="A1116" t="str">
            <v>NS-XDSKS1-236GAC</v>
          </cell>
        </row>
        <row r="1117">
          <cell r="A1117" t="str">
            <v>NS-XDSKS1-318GAC</v>
          </cell>
        </row>
        <row r="1118">
          <cell r="A1118" t="str">
            <v>NS-XDSKS1-318GDC</v>
          </cell>
        </row>
        <row r="1119">
          <cell r="A1119" t="str">
            <v>NSBIS-100-992S</v>
          </cell>
        </row>
        <row r="1120">
          <cell r="A1120" t="str">
            <v>NSBIS-100-99AS</v>
          </cell>
        </row>
        <row r="1121">
          <cell r="A1121" t="str">
            <v>NUT2S-LCO-9929</v>
          </cell>
        </row>
        <row r="1122">
          <cell r="A1122" t="str">
            <v>NUT9S-350-99Y9</v>
          </cell>
        </row>
        <row r="1123">
          <cell r="A1123" t="str">
            <v>NWCBS-300-99Y9</v>
          </cell>
        </row>
        <row r="1124">
          <cell r="A1124" t="str">
            <v>NWCBS-300-99YS</v>
          </cell>
        </row>
        <row r="1125">
          <cell r="A1125" t="str">
            <v>NWCBS-LCO-E929</v>
          </cell>
        </row>
        <row r="1126">
          <cell r="A1126" t="str">
            <v>NWCBS-LCO-S929</v>
          </cell>
        </row>
        <row r="1127">
          <cell r="A1127" t="str">
            <v>NWCBS-LCO-W929</v>
          </cell>
        </row>
        <row r="1128">
          <cell r="A1128" t="str">
            <v>NWDRS-300-99Y9</v>
          </cell>
        </row>
        <row r="1129">
          <cell r="A1129" t="str">
            <v>NWDRS-300-99YS</v>
          </cell>
        </row>
        <row r="1130">
          <cell r="A1130" t="str">
            <v>NWDRS-LCO-E929</v>
          </cell>
        </row>
        <row r="1131">
          <cell r="A1131" t="str">
            <v>NWDRS-LCO-S929</v>
          </cell>
        </row>
        <row r="1132">
          <cell r="A1132" t="str">
            <v>NWDRS-LCO-W929</v>
          </cell>
        </row>
        <row r="1133">
          <cell r="A1133" t="str">
            <v>NWIIS-300-99Y9</v>
          </cell>
        </row>
        <row r="1134">
          <cell r="A1134" t="str">
            <v>NWIIS-300-99YS</v>
          </cell>
        </row>
        <row r="1135">
          <cell r="A1135" t="str">
            <v>NWIIS-LCO-E929</v>
          </cell>
        </row>
        <row r="1136">
          <cell r="A1136" t="str">
            <v>NWIIS-LCO-S929</v>
          </cell>
        </row>
        <row r="1137">
          <cell r="A1137" t="str">
            <v>NWIIS-LCO-W929</v>
          </cell>
        </row>
        <row r="1138">
          <cell r="A1138" t="str">
            <v>NWQFS-350-99Y9</v>
          </cell>
        </row>
        <row r="1139">
          <cell r="A1139" t="str">
            <v>NWQFS-LCO-E929-AP</v>
          </cell>
        </row>
        <row r="1140">
          <cell r="A1140" t="str">
            <v>NWQFS-LCO-S929-AP</v>
          </cell>
        </row>
        <row r="1141">
          <cell r="A1141" t="str">
            <v>NWQFS-LCO-W929-AP</v>
          </cell>
        </row>
        <row r="1142">
          <cell r="A1142" t="str">
            <v>NWS-2.0-L25RU</v>
          </cell>
        </row>
        <row r="1143">
          <cell r="A1143" t="str">
            <v>NWSFS-350-99Y9</v>
          </cell>
        </row>
        <row r="1144">
          <cell r="A1144" t="str">
            <v>NWSFS-LCO-E929-AP</v>
          </cell>
        </row>
        <row r="1145">
          <cell r="A1145" t="str">
            <v>NWSFS-LCO-S929-AP</v>
          </cell>
        </row>
        <row r="1146">
          <cell r="A1146" t="str">
            <v>NWSFS-LCO-W929-AP</v>
          </cell>
        </row>
        <row r="1147">
          <cell r="A1147" t="str">
            <v>ODS-1.0-4-4-21D</v>
          </cell>
        </row>
        <row r="1148">
          <cell r="A1148" t="str">
            <v>OSI-7.0-4-4-21</v>
          </cell>
        </row>
        <row r="1149">
          <cell r="A1149" t="str">
            <v>OSI-8.0.1-P</v>
          </cell>
        </row>
        <row r="1150">
          <cell r="A1150" t="str">
            <v>OSI-8.1.1-CD</v>
          </cell>
        </row>
        <row r="1151">
          <cell r="A1151" t="str">
            <v>OSI-8.1.1-D</v>
          </cell>
        </row>
        <row r="1152">
          <cell r="A1152" t="str">
            <v>OSI-8.1.1-S</v>
          </cell>
        </row>
        <row r="1153">
          <cell r="A1153" t="str">
            <v>OSI-8.1.1-SU</v>
          </cell>
        </row>
        <row r="1154">
          <cell r="A1154" t="str">
            <v>OSIIS-900-T929</v>
          </cell>
        </row>
        <row r="1155">
          <cell r="A1155" t="str">
            <v>OSIIS-900-T9A9</v>
          </cell>
        </row>
        <row r="1156">
          <cell r="A1156" t="str">
            <v>OSIIS-900-T9D9</v>
          </cell>
        </row>
        <row r="1157">
          <cell r="A1157" t="str">
            <v>OSIIS-900-T9E9</v>
          </cell>
        </row>
        <row r="1158">
          <cell r="A1158" t="str">
            <v>OSIIS-900-T9H9</v>
          </cell>
        </row>
        <row r="1159">
          <cell r="A1159" t="str">
            <v>PDB-INFOMIX-SUPP</v>
          </cell>
        </row>
        <row r="1160">
          <cell r="A1160" t="str">
            <v>PDB-ORACLE-SUPP</v>
          </cell>
        </row>
        <row r="1161">
          <cell r="A1161" t="str">
            <v>PMAE9-300-992S</v>
          </cell>
        </row>
        <row r="1162">
          <cell r="A1162" t="str">
            <v>PMAE9-300-99US</v>
          </cell>
        </row>
        <row r="1163">
          <cell r="A1163" t="str">
            <v>PMAG9-300-992S</v>
          </cell>
        </row>
        <row r="1164">
          <cell r="A1164" t="str">
            <v>PMAG9-300-99US</v>
          </cell>
        </row>
        <row r="1165">
          <cell r="A1165" t="str">
            <v>PMAI9-300-992S</v>
          </cell>
        </row>
        <row r="1166">
          <cell r="A1166" t="str">
            <v>PMAY9-300-992S</v>
          </cell>
        </row>
        <row r="1167">
          <cell r="A1167" t="str">
            <v>PMAY9-300-99US</v>
          </cell>
        </row>
        <row r="1168">
          <cell r="A1168" t="str">
            <v>RK-F3800</v>
          </cell>
        </row>
        <row r="1169">
          <cell r="A1169" t="str">
            <v>RK-F3800E</v>
          </cell>
        </row>
        <row r="1170">
          <cell r="A1170" t="str">
            <v>RK-F4800</v>
          </cell>
        </row>
        <row r="1171">
          <cell r="A1171" t="str">
            <v>RK-F4810</v>
          </cell>
        </row>
        <row r="1172">
          <cell r="A1172" t="str">
            <v>RM-6.22-A</v>
          </cell>
        </row>
        <row r="1173">
          <cell r="A1173" t="str">
            <v>SAMI9-300-9929</v>
          </cell>
        </row>
        <row r="1174">
          <cell r="A1174" t="str">
            <v>SBM9S-160-9999</v>
          </cell>
        </row>
        <row r="1175">
          <cell r="A1175" t="str">
            <v>SBMES-160-E999</v>
          </cell>
        </row>
        <row r="1176">
          <cell r="A1176" t="str">
            <v>SBMES-160-I999</v>
          </cell>
        </row>
        <row r="1177">
          <cell r="A1177" t="str">
            <v>SBMES-160-W999</v>
          </cell>
        </row>
        <row r="1178">
          <cell r="A1178" t="str">
            <v>SBMIS-160-E999</v>
          </cell>
        </row>
        <row r="1179">
          <cell r="A1179" t="str">
            <v>SBMIS-160-F999</v>
          </cell>
        </row>
        <row r="1180">
          <cell r="A1180" t="str">
            <v>SBMIS-160-F99M</v>
          </cell>
        </row>
        <row r="1181">
          <cell r="A1181" t="str">
            <v>SBMIS-160-I999</v>
          </cell>
        </row>
        <row r="1182">
          <cell r="A1182" t="str">
            <v>SBMIS-160-S999</v>
          </cell>
        </row>
        <row r="1183">
          <cell r="A1183" t="str">
            <v>SBMIS-160-W999</v>
          </cell>
        </row>
        <row r="1184">
          <cell r="A1184" t="str">
            <v>SBMLS-160-E999</v>
          </cell>
        </row>
        <row r="1185">
          <cell r="A1185" t="str">
            <v>SBMLS-160-I999</v>
          </cell>
        </row>
        <row r="1186">
          <cell r="A1186" t="str">
            <v>SBMLS-160-W999</v>
          </cell>
        </row>
        <row r="1187">
          <cell r="A1187" t="str">
            <v>SBMVS-160-F999</v>
          </cell>
        </row>
        <row r="1188">
          <cell r="A1188" t="str">
            <v>SBMVS-160-F99M</v>
          </cell>
        </row>
        <row r="1189">
          <cell r="A1189" t="str">
            <v>SBMVS-160-S999</v>
          </cell>
        </row>
        <row r="1190">
          <cell r="A1190" t="str">
            <v>SBMXS-160-E999</v>
          </cell>
        </row>
        <row r="1191">
          <cell r="A1191" t="str">
            <v>SBMXS-160-F999</v>
          </cell>
        </row>
        <row r="1192">
          <cell r="A1192" t="str">
            <v>SBMXS-160-F99M</v>
          </cell>
        </row>
        <row r="1193">
          <cell r="A1193" t="str">
            <v>SBMXS-160-I999</v>
          </cell>
        </row>
        <row r="1194">
          <cell r="A1194" t="str">
            <v>SBMXS-160-S999</v>
          </cell>
        </row>
        <row r="1195">
          <cell r="A1195" t="str">
            <v>SBMXS-160-W999</v>
          </cell>
        </row>
        <row r="1196">
          <cell r="A1196" t="str">
            <v>SBN9S-SRV-99N9</v>
          </cell>
        </row>
        <row r="1197">
          <cell r="A1197" t="str">
            <v>SC3.X-MULT</v>
          </cell>
        </row>
        <row r="1198">
          <cell r="A1198" t="str">
            <v>SC3.X-SUPP</v>
          </cell>
        </row>
        <row r="1199">
          <cell r="A1199" t="str">
            <v>SCL9S-362-99P9</v>
          </cell>
        </row>
        <row r="1200">
          <cell r="A1200" t="str">
            <v>SCMMS-100-999M</v>
          </cell>
        </row>
        <row r="1201">
          <cell r="A1201" t="str">
            <v>SCMMS-100-9P9M</v>
          </cell>
        </row>
        <row r="1202">
          <cell r="A1202" t="str">
            <v>SCMMS-210-R99R</v>
          </cell>
        </row>
        <row r="1203">
          <cell r="A1203" t="str">
            <v>SCMMS-220-99Y9</v>
          </cell>
        </row>
        <row r="1204">
          <cell r="A1204" t="str">
            <v>SCMMS-220-R99R</v>
          </cell>
        </row>
        <row r="1205">
          <cell r="A1205" t="str">
            <v>SDS-4.1-DOC</v>
          </cell>
        </row>
        <row r="1206">
          <cell r="A1206" t="str">
            <v>SDS-4.1-P</v>
          </cell>
        </row>
        <row r="1207">
          <cell r="A1207" t="str">
            <v>SDS-4.1-PU</v>
          </cell>
        </row>
        <row r="1208">
          <cell r="A1208" t="str">
            <v>SDSC9-310-9999</v>
          </cell>
        </row>
        <row r="1209">
          <cell r="A1209" t="str">
            <v>SDSD9-310-9999</v>
          </cell>
        </row>
        <row r="1210">
          <cell r="A1210" t="str">
            <v>SDSG9-310-9999</v>
          </cell>
        </row>
        <row r="1211">
          <cell r="A1211" t="str">
            <v>SDSX9-310-9999</v>
          </cell>
        </row>
        <row r="1212">
          <cell r="A1212" t="str">
            <v>SEAI9-300B999K</v>
          </cell>
        </row>
        <row r="1213">
          <cell r="A1213" t="str">
            <v>SF-CAB</v>
          </cell>
        </row>
        <row r="1214">
          <cell r="A1214" t="str">
            <v>SF-CPUBD-227</v>
          </cell>
        </row>
        <row r="1215">
          <cell r="A1215" t="str">
            <v>SF-CPUBD-447</v>
          </cell>
        </row>
        <row r="1216">
          <cell r="A1216" t="str">
            <v>SF-CPUBD-487</v>
          </cell>
        </row>
        <row r="1217">
          <cell r="A1217" t="str">
            <v>SF-XCAB</v>
          </cell>
        </row>
        <row r="1218">
          <cell r="A1218" t="str">
            <v>SF-XCPUBD-227</v>
          </cell>
        </row>
        <row r="1219">
          <cell r="A1219" t="str">
            <v>SF-XCPUBD-447</v>
          </cell>
        </row>
        <row r="1220">
          <cell r="A1220" t="str">
            <v>SF-XCPUBD-487</v>
          </cell>
        </row>
        <row r="1221">
          <cell r="A1221" t="str">
            <v>SFM9S-310-D9HM</v>
          </cell>
        </row>
        <row r="1222">
          <cell r="A1222" t="str">
            <v>SFM9S-310-D9NM</v>
          </cell>
        </row>
        <row r="1223">
          <cell r="A1223" t="str">
            <v>SFM9S-320-99HM</v>
          </cell>
        </row>
        <row r="1224">
          <cell r="A1224" t="str">
            <v>SFM9S-320-99NM</v>
          </cell>
        </row>
        <row r="1225">
          <cell r="A1225" t="str">
            <v>SFMMS-300-D999</v>
          </cell>
        </row>
        <row r="1226">
          <cell r="A1226" t="str">
            <v>SFVOS-ISW2-RCD/DOC</v>
          </cell>
        </row>
        <row r="1227">
          <cell r="A1227" t="str">
            <v>SFVOS-ISW3-RCD/DOC</v>
          </cell>
        </row>
        <row r="1228">
          <cell r="A1228" t="str">
            <v>SG-ARY030A</v>
          </cell>
        </row>
        <row r="1229">
          <cell r="A1229" t="str">
            <v>SG-ARY040A</v>
          </cell>
        </row>
        <row r="1230">
          <cell r="A1230" t="str">
            <v>SG-ARY154A-218GR5</v>
          </cell>
        </row>
        <row r="1231">
          <cell r="A1231" t="str">
            <v>SG-ARY154A-218R4</v>
          </cell>
        </row>
        <row r="1232">
          <cell r="A1232" t="str">
            <v>SG-ARY154A-72GR5</v>
          </cell>
        </row>
        <row r="1233">
          <cell r="A1233" t="str">
            <v>SG-ARY154A-72R4</v>
          </cell>
        </row>
        <row r="1234">
          <cell r="A1234" t="str">
            <v>SG-ARY155A-218GR5</v>
          </cell>
        </row>
        <row r="1235">
          <cell r="A1235" t="str">
            <v>SG-ARY155A-218R4</v>
          </cell>
        </row>
        <row r="1236">
          <cell r="A1236" t="str">
            <v>SG-ARY155A-72GR5</v>
          </cell>
        </row>
        <row r="1237">
          <cell r="A1237" t="str">
            <v>SG-ARY155A-72R4</v>
          </cell>
        </row>
        <row r="1238">
          <cell r="A1238" t="str">
            <v>SG-ARY171A-145GR5</v>
          </cell>
        </row>
        <row r="1239">
          <cell r="A1239" t="str">
            <v>SG-ARY171A-145R4</v>
          </cell>
        </row>
        <row r="1240">
          <cell r="A1240" t="str">
            <v>SG-ARY171A-436GR5</v>
          </cell>
        </row>
        <row r="1241">
          <cell r="A1241" t="str">
            <v>SG-ARY171A-436R4</v>
          </cell>
        </row>
        <row r="1242">
          <cell r="A1242" t="str">
            <v>SG-ARY173A-145GR5</v>
          </cell>
        </row>
        <row r="1243">
          <cell r="A1243" t="str">
            <v>SG-ARY173A-145R4</v>
          </cell>
        </row>
        <row r="1244">
          <cell r="A1244" t="str">
            <v>SG-ARY173A-436GR5</v>
          </cell>
        </row>
        <row r="1245">
          <cell r="A1245" t="str">
            <v>SG-ARY173A-436R4</v>
          </cell>
        </row>
        <row r="1246">
          <cell r="A1246" t="str">
            <v>SG-ARY561A-800GR5</v>
          </cell>
        </row>
        <row r="1247">
          <cell r="A1247" t="str">
            <v>SG-ARY563A-1601G</v>
          </cell>
        </row>
        <row r="1248">
          <cell r="A1248" t="str">
            <v>SG-ARY563A-4804G</v>
          </cell>
        </row>
        <row r="1249">
          <cell r="A1249" t="str">
            <v>SG-ARY563A-800G</v>
          </cell>
        </row>
        <row r="1250">
          <cell r="A1250" t="str">
            <v>SG-ARY571A-1606GR5</v>
          </cell>
        </row>
        <row r="1251">
          <cell r="A1251" t="str">
            <v>SG-ARY572A-1606GR4</v>
          </cell>
        </row>
        <row r="1252">
          <cell r="A1252" t="str">
            <v>SG-ARY573A-1606G</v>
          </cell>
        </row>
        <row r="1253">
          <cell r="A1253" t="str">
            <v>SG-ARY573A-3212G</v>
          </cell>
        </row>
        <row r="1254">
          <cell r="A1254" t="str">
            <v>SG-ARY573A-9636G</v>
          </cell>
        </row>
        <row r="1255">
          <cell r="A1255" t="str">
            <v>SG-DSK010C-9G</v>
          </cell>
        </row>
        <row r="1256">
          <cell r="A1256" t="str">
            <v>SG-MT1-H2D1T1</v>
          </cell>
        </row>
        <row r="1257">
          <cell r="A1257" t="str">
            <v>SG-MT1-H2D2</v>
          </cell>
        </row>
        <row r="1258">
          <cell r="A1258" t="str">
            <v>SG-MT1-H2T2</v>
          </cell>
        </row>
        <row r="1259">
          <cell r="A1259" t="str">
            <v>SG-MT1-H4</v>
          </cell>
        </row>
        <row r="1260">
          <cell r="A1260" t="str">
            <v>SG-XARY030A</v>
          </cell>
        </row>
        <row r="1261">
          <cell r="A1261" t="str">
            <v>SG-XARY150A-218G</v>
          </cell>
        </row>
        <row r="1262">
          <cell r="A1262" t="str">
            <v>SG-XARY150A-72G</v>
          </cell>
        </row>
        <row r="1263">
          <cell r="A1263" t="str">
            <v>SG-XARY153A-218G</v>
          </cell>
        </row>
        <row r="1264">
          <cell r="A1264" t="str">
            <v>SG-XARY153A-72G</v>
          </cell>
        </row>
        <row r="1265">
          <cell r="A1265" t="str">
            <v>SG-XARY154A-218G</v>
          </cell>
        </row>
        <row r="1266">
          <cell r="A1266" t="str">
            <v>SG-XARY154A-72G</v>
          </cell>
        </row>
        <row r="1267">
          <cell r="A1267" t="str">
            <v>SG-XARY155A-218G</v>
          </cell>
        </row>
        <row r="1268">
          <cell r="A1268" t="str">
            <v>SG-XARY155A-72G</v>
          </cell>
        </row>
        <row r="1269">
          <cell r="A1269" t="str">
            <v>SG-XARY170A-145G</v>
          </cell>
        </row>
        <row r="1270">
          <cell r="A1270" t="str">
            <v>SG-XARY170A-436G</v>
          </cell>
        </row>
        <row r="1271">
          <cell r="A1271" t="str">
            <v>SG-XARY171A-145G</v>
          </cell>
        </row>
        <row r="1272">
          <cell r="A1272" t="str">
            <v>SG-XARY171A-436G</v>
          </cell>
        </row>
        <row r="1273">
          <cell r="A1273" t="str">
            <v>SG-XARY172A-145G</v>
          </cell>
        </row>
        <row r="1274">
          <cell r="A1274" t="str">
            <v>SG-XARY172A-436G</v>
          </cell>
        </row>
        <row r="1275">
          <cell r="A1275" t="str">
            <v>SG-XARY173A-145G</v>
          </cell>
        </row>
        <row r="1276">
          <cell r="A1276" t="str">
            <v>SG-XARY173A-436G</v>
          </cell>
        </row>
        <row r="1277">
          <cell r="A1277" t="str">
            <v>SG-XARY560A-254G</v>
          </cell>
        </row>
        <row r="1278">
          <cell r="A1278" t="str">
            <v>SG-XARY560A-800G</v>
          </cell>
        </row>
        <row r="1279">
          <cell r="A1279" t="str">
            <v>SG-XARY561A-800G</v>
          </cell>
        </row>
        <row r="1280">
          <cell r="A1280" t="str">
            <v>SG-XARY562A-800G</v>
          </cell>
        </row>
        <row r="1281">
          <cell r="A1281" t="str">
            <v>SG-XARY563A-1601G</v>
          </cell>
        </row>
        <row r="1282">
          <cell r="A1282" t="str">
            <v>SG-XARY563A-4804G</v>
          </cell>
        </row>
        <row r="1283">
          <cell r="A1283" t="str">
            <v>SG-XARY570A-1606G</v>
          </cell>
        </row>
        <row r="1284">
          <cell r="A1284" t="str">
            <v>SG-XARY570A-511G</v>
          </cell>
        </row>
        <row r="1285">
          <cell r="A1285" t="str">
            <v>SG-XARY571A-1606G</v>
          </cell>
        </row>
        <row r="1286">
          <cell r="A1286" t="str">
            <v>SG-XARY572A-1606G</v>
          </cell>
        </row>
        <row r="1287">
          <cell r="A1287" t="str">
            <v>SG-XARY573A-3212G</v>
          </cell>
        </row>
        <row r="1288">
          <cell r="A1288" t="str">
            <v>SG-XARY573A-9636G</v>
          </cell>
        </row>
        <row r="1289">
          <cell r="A1289" t="str">
            <v>SG-XARYDB185A-218G</v>
          </cell>
        </row>
        <row r="1290">
          <cell r="A1290" t="str">
            <v>SG-XARYDB185A-72G</v>
          </cell>
        </row>
        <row r="1291">
          <cell r="A1291" t="str">
            <v>SG-XARYDB186A-218G</v>
          </cell>
        </row>
        <row r="1292">
          <cell r="A1292" t="str">
            <v>SG-XARYDB186A-72G</v>
          </cell>
        </row>
        <row r="1293">
          <cell r="A1293" t="str">
            <v>SG-XARYDB195A-145G</v>
          </cell>
        </row>
        <row r="1294">
          <cell r="A1294" t="str">
            <v>SG-XARYDB195A-436G</v>
          </cell>
        </row>
        <row r="1295">
          <cell r="A1295" t="str">
            <v>SG-XARYDB196A-145G</v>
          </cell>
        </row>
        <row r="1296">
          <cell r="A1296" t="str">
            <v>SG-XARYDB196A-436G</v>
          </cell>
        </row>
        <row r="1297">
          <cell r="A1297" t="str">
            <v>SG-XARYSB185A-218G</v>
          </cell>
        </row>
        <row r="1298">
          <cell r="A1298" t="str">
            <v>SG-XARYSB185A-72G</v>
          </cell>
        </row>
        <row r="1299">
          <cell r="A1299" t="str">
            <v>SG-XARYSB186A-218G</v>
          </cell>
        </row>
        <row r="1300">
          <cell r="A1300" t="str">
            <v>SG-XARYSB186A-72G</v>
          </cell>
        </row>
        <row r="1301">
          <cell r="A1301" t="str">
            <v>SG-XARYSB195A-145G</v>
          </cell>
        </row>
        <row r="1302">
          <cell r="A1302" t="str">
            <v>SG-XARYSB195A-436G</v>
          </cell>
        </row>
        <row r="1303">
          <cell r="A1303" t="str">
            <v>SG-XARYSB196A-145G</v>
          </cell>
        </row>
        <row r="1304">
          <cell r="A1304" t="str">
            <v>SG-XARYSB196A-436G</v>
          </cell>
        </row>
        <row r="1305">
          <cell r="A1305" t="str">
            <v>SG-XAUTODLT1-L9</v>
          </cell>
        </row>
        <row r="1306">
          <cell r="A1306" t="str">
            <v>SG-XAUTODLT8D-L9</v>
          </cell>
        </row>
        <row r="1307">
          <cell r="A1307" t="str">
            <v>SG-XAUTONBU-L9</v>
          </cell>
        </row>
        <row r="1308">
          <cell r="A1308" t="str">
            <v>SG-XAUTONBULT-L9</v>
          </cell>
        </row>
        <row r="1309">
          <cell r="A1309" t="str">
            <v>SG-XAUTOSBU8-L9</v>
          </cell>
        </row>
        <row r="1310">
          <cell r="A1310" t="str">
            <v>SG-XAUTOSBULT-L9</v>
          </cell>
        </row>
        <row r="1311">
          <cell r="A1311" t="str">
            <v>SG-XCTXP100A-L180</v>
          </cell>
        </row>
        <row r="1312">
          <cell r="A1312" t="str">
            <v>SG-XCTXP180A-L700</v>
          </cell>
        </row>
        <row r="1313">
          <cell r="A1313" t="str">
            <v>SG-XDSK010C-18G</v>
          </cell>
        </row>
        <row r="1314">
          <cell r="A1314" t="str">
            <v>SG-XDSK010C-36G</v>
          </cell>
        </row>
        <row r="1315">
          <cell r="A1315" t="str">
            <v>SG-XDSK020C-36G</v>
          </cell>
        </row>
        <row r="1316">
          <cell r="A1316" t="str">
            <v>SG-XDSK020C-72G</v>
          </cell>
        </row>
        <row r="1317">
          <cell r="A1317" t="str">
            <v>SG-XDSK020HH-72G</v>
          </cell>
        </row>
        <row r="1318">
          <cell r="A1318" t="str">
            <v>SG-XDSK060C-109G</v>
          </cell>
        </row>
        <row r="1319">
          <cell r="A1319" t="str">
            <v>SG-XDSK060C-218G</v>
          </cell>
        </row>
        <row r="1320">
          <cell r="A1320" t="str">
            <v>SG-XDSK060HH-218G</v>
          </cell>
        </row>
        <row r="1321">
          <cell r="A1321" t="str">
            <v>SG-XFDSK020C-146G</v>
          </cell>
        </row>
        <row r="1322">
          <cell r="A1322" t="str">
            <v>SG-XFDSK020E-72G</v>
          </cell>
        </row>
        <row r="1323">
          <cell r="A1323" t="str">
            <v>SG-XFDSK060C-438G</v>
          </cell>
        </row>
        <row r="1324">
          <cell r="A1324" t="str">
            <v>SG-XFDSK060E-218G</v>
          </cell>
        </row>
        <row r="1325">
          <cell r="A1325" t="str">
            <v>SG-XL6000-9840AS</v>
          </cell>
        </row>
        <row r="1326">
          <cell r="A1326" t="str">
            <v>SG-XL6000-9840FC</v>
          </cell>
        </row>
        <row r="1327">
          <cell r="A1327" t="str">
            <v>SG-XL6000-ADDBASE</v>
          </cell>
        </row>
        <row r="1328">
          <cell r="A1328" t="str">
            <v>SG-XL6000-ADDCABNT</v>
          </cell>
        </row>
        <row r="1329">
          <cell r="A1329" t="str">
            <v>SG-XL6000-ADDCPCTY</v>
          </cell>
        </row>
        <row r="1330">
          <cell r="A1330" t="str">
            <v>SG-XL6000-ADDPORT</v>
          </cell>
        </row>
        <row r="1331">
          <cell r="A1331" t="str">
            <v>SG-XL6000-ADDSPEED</v>
          </cell>
        </row>
        <row r="1332">
          <cell r="A1332" t="str">
            <v>SG-XLIB9840-DRV</v>
          </cell>
        </row>
        <row r="1333">
          <cell r="A1333" t="str">
            <v>SG-XLIBDLT1-1TB-2</v>
          </cell>
        </row>
        <row r="1334">
          <cell r="A1334" t="str">
            <v>SG-XLIBDLT1R-1TB-2</v>
          </cell>
        </row>
        <row r="1335">
          <cell r="A1335" t="str">
            <v>SG-XLIBDLT4-1TB-2</v>
          </cell>
        </row>
        <row r="1336">
          <cell r="A1336" t="str">
            <v>SG-XLIBDLT4R-1TB-2</v>
          </cell>
        </row>
        <row r="1337">
          <cell r="A1337" t="str">
            <v>SG-XLIBDLT81-L1000</v>
          </cell>
        </row>
        <row r="1338">
          <cell r="A1338" t="str">
            <v>SG-XLIBDLT81-L20</v>
          </cell>
        </row>
        <row r="1339">
          <cell r="A1339" t="str">
            <v>SG-XLIBDLT81R-L20</v>
          </cell>
        </row>
        <row r="1340">
          <cell r="A1340" t="str">
            <v>SG-XLIBDLT82-L20</v>
          </cell>
        </row>
        <row r="1341">
          <cell r="A1341" t="str">
            <v>SG-XLIBDLT82-L40</v>
          </cell>
        </row>
        <row r="1342">
          <cell r="A1342" t="str">
            <v>SG-XLIBDLT82R-L20</v>
          </cell>
        </row>
        <row r="1343">
          <cell r="A1343" t="str">
            <v>SG-XLIBDLT82R-L40</v>
          </cell>
        </row>
        <row r="1344">
          <cell r="A1344" t="str">
            <v>SG-XLIBDLT84R-L60</v>
          </cell>
        </row>
        <row r="1345">
          <cell r="A1345" t="str">
            <v>SG-XLIBDLT8R-L1000</v>
          </cell>
        </row>
        <row r="1346">
          <cell r="A1346" t="str">
            <v>SG-XLIBFCCARD</v>
          </cell>
        </row>
        <row r="1347">
          <cell r="A1347" t="str">
            <v>SG-XLIBL180-2POWER</v>
          </cell>
        </row>
        <row r="1348">
          <cell r="A1348" t="str">
            <v>SG-XLIBL180-BASE2</v>
          </cell>
        </row>
        <row r="1349">
          <cell r="A1349" t="str">
            <v>SG-XLIBL6000-BASE</v>
          </cell>
        </row>
        <row r="1350">
          <cell r="A1350" t="str">
            <v>SG-XLIBL700-2POWER</v>
          </cell>
        </row>
        <row r="1351">
          <cell r="A1351" t="str">
            <v>SG-XLIBL700-BASE3</v>
          </cell>
        </row>
        <row r="1352">
          <cell r="A1352" t="str">
            <v>SG-XLIBL700-CAP</v>
          </cell>
        </row>
        <row r="1353">
          <cell r="A1353" t="str">
            <v>SG-XLIBL700-DOOR</v>
          </cell>
        </row>
        <row r="1354">
          <cell r="A1354" t="str">
            <v>SG-XLIBLTO1-L20</v>
          </cell>
        </row>
        <row r="1355">
          <cell r="A1355" t="str">
            <v>SG-XLIBLTO1R-L20</v>
          </cell>
        </row>
        <row r="1356">
          <cell r="A1356" t="str">
            <v>SG-XLIBLTO2-L20</v>
          </cell>
        </row>
        <row r="1357">
          <cell r="A1357" t="str">
            <v>SG-XLIBLTO2-L40</v>
          </cell>
        </row>
        <row r="1358">
          <cell r="A1358" t="str">
            <v>SG-XLIBLTO2R-L20</v>
          </cell>
        </row>
        <row r="1359">
          <cell r="A1359" t="str">
            <v>SG-XLIBLTO2R-L40</v>
          </cell>
        </row>
        <row r="1360">
          <cell r="A1360" t="str">
            <v>SG-XLIBLTO4R-L60</v>
          </cell>
        </row>
        <row r="1361">
          <cell r="A1361" t="str">
            <v>SG-XLIBNBU2R-L20</v>
          </cell>
        </row>
        <row r="1362">
          <cell r="A1362" t="str">
            <v>SG-XLIBRAIL-KIT</v>
          </cell>
        </row>
        <row r="1363">
          <cell r="A1363" t="str">
            <v>SG-XLIBSBU2R-L20</v>
          </cell>
        </row>
        <row r="1364">
          <cell r="A1364" t="str">
            <v>SG-XLIBSBU2RLT-L20</v>
          </cell>
        </row>
        <row r="1365">
          <cell r="A1365" t="str">
            <v>SG-XMED4MMCL-10</v>
          </cell>
        </row>
        <row r="1366">
          <cell r="A1366" t="str">
            <v>SG-XMED4MMDDS210</v>
          </cell>
        </row>
        <row r="1367">
          <cell r="A1367" t="str">
            <v>SG-XMED4MMDDS310</v>
          </cell>
        </row>
        <row r="1368">
          <cell r="A1368" t="str">
            <v>SG-XMED4MMDDS410</v>
          </cell>
        </row>
        <row r="1369">
          <cell r="A1369" t="str">
            <v>SG-XMED9840-20</v>
          </cell>
        </row>
        <row r="1370">
          <cell r="A1370" t="str">
            <v>SG-XMED9840-STRKIT</v>
          </cell>
        </row>
        <row r="1371">
          <cell r="A1371" t="str">
            <v>SG-XMED9840CL-5</v>
          </cell>
        </row>
        <row r="1372">
          <cell r="A1372" t="str">
            <v>SG-XMEDCART-1MAG</v>
          </cell>
        </row>
        <row r="1373">
          <cell r="A1373" t="str">
            <v>SG-XMEDDLT1CL-1</v>
          </cell>
        </row>
        <row r="1374">
          <cell r="A1374" t="str">
            <v>SG-XMEDDLTCIV-10</v>
          </cell>
        </row>
        <row r="1375">
          <cell r="A1375" t="str">
            <v>SG-XMEDDLTCL-10</v>
          </cell>
        </row>
        <row r="1376">
          <cell r="A1376" t="str">
            <v>SG-XMEDLTO100GB-10</v>
          </cell>
        </row>
        <row r="1377">
          <cell r="A1377" t="str">
            <v>SG-XMEDLTOHPCL-5</v>
          </cell>
        </row>
        <row r="1378">
          <cell r="A1378" t="str">
            <v>SG-XMEDLTOSEACL-10</v>
          </cell>
        </row>
        <row r="1379">
          <cell r="A1379" t="str">
            <v>SG-XMONLIBSW1</v>
          </cell>
        </row>
        <row r="1380">
          <cell r="A1380" t="str">
            <v>SG-XMONLIBSWL700</v>
          </cell>
        </row>
        <row r="1381">
          <cell r="A1381" t="str">
            <v>SG-XMT1-H2D1T1</v>
          </cell>
        </row>
        <row r="1382">
          <cell r="A1382" t="str">
            <v>SG-XMT1-H2D2</v>
          </cell>
        </row>
        <row r="1383">
          <cell r="A1383" t="str">
            <v>SG-XMT1-H2T2</v>
          </cell>
        </row>
        <row r="1384">
          <cell r="A1384" t="str">
            <v>SG-XMT1-H4</v>
          </cell>
        </row>
        <row r="1385">
          <cell r="A1385" t="str">
            <v>SG-XMTST1-H2D1T1</v>
          </cell>
        </row>
        <row r="1386">
          <cell r="A1386" t="str">
            <v>SG-XMTST1-H2D2</v>
          </cell>
        </row>
        <row r="1387">
          <cell r="A1387" t="str">
            <v>SG-XMTST1-H2T2</v>
          </cell>
        </row>
        <row r="1388">
          <cell r="A1388" t="str">
            <v>SG-XMTST1-H4</v>
          </cell>
        </row>
        <row r="1389">
          <cell r="A1389" t="str">
            <v>SG-XRACKIT-L20</v>
          </cell>
        </row>
        <row r="1390">
          <cell r="A1390" t="str">
            <v>SG-XRACKIT-L9</v>
          </cell>
        </row>
        <row r="1391">
          <cell r="A1391" t="str">
            <v>SG-XRMCCARD-L9</v>
          </cell>
        </row>
        <row r="1392">
          <cell r="A1392" t="str">
            <v>SG-XRRH-C1M0-A</v>
          </cell>
        </row>
        <row r="1393">
          <cell r="A1393" t="str">
            <v>SG-XRRH-C1M1-A</v>
          </cell>
        </row>
        <row r="1394">
          <cell r="A1394" t="str">
            <v>SG-XSW16-32P</v>
          </cell>
        </row>
        <row r="1395">
          <cell r="A1395" t="str">
            <v>SG-XTAP4MM-011A</v>
          </cell>
        </row>
        <row r="1396">
          <cell r="A1396" t="str">
            <v>SG-XTAP4MM-012A</v>
          </cell>
        </row>
        <row r="1397">
          <cell r="A1397" t="str">
            <v>SG-XTAP4MM-021A</v>
          </cell>
        </row>
        <row r="1398">
          <cell r="A1398" t="str">
            <v>SG-XTAP4MM-031A</v>
          </cell>
        </row>
        <row r="1399">
          <cell r="A1399" t="str">
            <v>SG-XTAP9840FC-DRV</v>
          </cell>
        </row>
        <row r="1400">
          <cell r="A1400" t="str">
            <v>SG-XTAPDLT-022A</v>
          </cell>
        </row>
        <row r="1401">
          <cell r="A1401" t="str">
            <v>SG-XTAPDLT7-DRV</v>
          </cell>
        </row>
        <row r="1402">
          <cell r="A1402" t="str">
            <v>SG-XTAPDLT7-L700</v>
          </cell>
        </row>
        <row r="1403">
          <cell r="A1403" t="str">
            <v>SG-XTAPDLT8-DRV</v>
          </cell>
        </row>
        <row r="1404">
          <cell r="A1404" t="str">
            <v>SG-XTAPDLT8-L1000</v>
          </cell>
        </row>
        <row r="1405">
          <cell r="A1405" t="str">
            <v>SG-XTAPDLT8-L20</v>
          </cell>
        </row>
        <row r="1406">
          <cell r="A1406" t="str">
            <v>SG-XTAPLTO-DRV</v>
          </cell>
        </row>
        <row r="1407">
          <cell r="A1407" t="str">
            <v>SG-XTAPLTO-L20</v>
          </cell>
        </row>
        <row r="1408">
          <cell r="A1408" t="str">
            <v>SIMS-2.0-P1</v>
          </cell>
        </row>
        <row r="1409">
          <cell r="A1409" t="str">
            <v>SKIP-1.1G-B</v>
          </cell>
        </row>
        <row r="1410">
          <cell r="A1410" t="str">
            <v>SKPIS-151ED999</v>
          </cell>
        </row>
        <row r="1411">
          <cell r="A1411" t="str">
            <v>SKPIS-151ND999</v>
          </cell>
        </row>
        <row r="1412">
          <cell r="A1412" t="str">
            <v>SKPIW-307A9999</v>
          </cell>
        </row>
        <row r="1413">
          <cell r="A1413" t="str">
            <v>SKPIW-307B9999</v>
          </cell>
        </row>
        <row r="1414">
          <cell r="A1414" t="str">
            <v>SKPIW-307C9999</v>
          </cell>
        </row>
        <row r="1415">
          <cell r="A1415" t="str">
            <v>SLS9S-100-999M</v>
          </cell>
        </row>
        <row r="1416">
          <cell r="A1416" t="str">
            <v>SLS9S-100-99UM</v>
          </cell>
        </row>
        <row r="1417">
          <cell r="A1417" t="str">
            <v>SLS9S-100-E9UM</v>
          </cell>
        </row>
        <row r="1418">
          <cell r="A1418" t="str">
            <v>SLS9S-100-S99M</v>
          </cell>
        </row>
        <row r="1419">
          <cell r="A1419" t="str">
            <v>SLS9S-100-W99M</v>
          </cell>
        </row>
        <row r="1420">
          <cell r="A1420" t="str">
            <v>SLS9S-100-W9UM</v>
          </cell>
        </row>
        <row r="1421">
          <cell r="A1421" t="str">
            <v>SLS9S-120-99UM</v>
          </cell>
        </row>
        <row r="1422">
          <cell r="A1422" t="str">
            <v>SLS9S-120-W9UM</v>
          </cell>
        </row>
        <row r="1423">
          <cell r="A1423" t="str">
            <v>SLS9S-120-W9YM</v>
          </cell>
        </row>
        <row r="1424">
          <cell r="A1424" t="str">
            <v>SMC9S-101-999M</v>
          </cell>
        </row>
        <row r="1425">
          <cell r="A1425" t="str">
            <v>SMC9S-101-9P9M</v>
          </cell>
        </row>
        <row r="1426">
          <cell r="A1426" t="str">
            <v>SNM-2.3-D</v>
          </cell>
        </row>
        <row r="1427">
          <cell r="A1427" t="str">
            <v>SNM-DM-2.3-P</v>
          </cell>
        </row>
        <row r="1428">
          <cell r="A1428" t="str">
            <v>SNM-DM-2.3-PU</v>
          </cell>
        </row>
        <row r="1429">
          <cell r="A1429" t="str">
            <v>SNM-NM-2.3-P</v>
          </cell>
        </row>
        <row r="1430">
          <cell r="A1430" t="str">
            <v>SNM-SM-2.3-P</v>
          </cell>
        </row>
        <row r="1431">
          <cell r="A1431" t="str">
            <v>SNM-SM-2.3-PU</v>
          </cell>
        </row>
        <row r="1432">
          <cell r="A1432" t="str">
            <v>SOL-BT-2X-P20-D</v>
          </cell>
        </row>
        <row r="1433">
          <cell r="A1433" t="str">
            <v>SOL-BT-3X-P20-D</v>
          </cell>
        </row>
        <row r="1434">
          <cell r="A1434" t="str">
            <v>SOL-DTWG-LU</v>
          </cell>
        </row>
        <row r="1435">
          <cell r="A1435" t="str">
            <v>SOL-E450-D</v>
          </cell>
        </row>
        <row r="1436">
          <cell r="A1436" t="str">
            <v>SOL99-080-F9D9</v>
          </cell>
        </row>
        <row r="1437">
          <cell r="A1437" t="str">
            <v>SOL99-080-F9DC</v>
          </cell>
        </row>
        <row r="1438">
          <cell r="A1438" t="str">
            <v>SOL99-080-MAD9</v>
          </cell>
        </row>
        <row r="1439">
          <cell r="A1439" t="str">
            <v>SOL99-080-R9D9</v>
          </cell>
        </row>
        <row r="1440">
          <cell r="A1440" t="str">
            <v>SOL99-080-R9DC</v>
          </cell>
        </row>
        <row r="1441">
          <cell r="A1441" t="str">
            <v>SOL99-080-R9DD</v>
          </cell>
        </row>
        <row r="1442">
          <cell r="A1442" t="str">
            <v>SOL99-080-R9DH</v>
          </cell>
        </row>
        <row r="1443">
          <cell r="A1443" t="str">
            <v>SOL99-080-R9DJ</v>
          </cell>
        </row>
        <row r="1444">
          <cell r="A1444" t="str">
            <v>SOL99-080-T9D9</v>
          </cell>
        </row>
        <row r="1445">
          <cell r="A1445" t="str">
            <v>SOL99-08H-FADC</v>
          </cell>
        </row>
        <row r="1446">
          <cell r="A1446" t="str">
            <v>SOL9S-999WC9U9</v>
          </cell>
        </row>
        <row r="1447">
          <cell r="A1447" t="str">
            <v>SOL9S-999WD9U9</v>
          </cell>
        </row>
        <row r="1448">
          <cell r="A1448" t="str">
            <v>SOL9S-999WI9U9</v>
          </cell>
        </row>
        <row r="1449">
          <cell r="A1449" t="str">
            <v>SOL9S-999WL9U9</v>
          </cell>
        </row>
        <row r="1450">
          <cell r="A1450" t="str">
            <v>SOL9S-999WX9U9</v>
          </cell>
        </row>
        <row r="1451">
          <cell r="A1451" t="str">
            <v>SOL9S-999WY9U9</v>
          </cell>
        </row>
        <row r="1452">
          <cell r="A1452" t="str">
            <v>SOLC8-070-D8UM</v>
          </cell>
        </row>
        <row r="1453">
          <cell r="A1453" t="str">
            <v>SOLC9-999-D99M</v>
          </cell>
        </row>
        <row r="1454">
          <cell r="A1454" t="str">
            <v>SOLD9-070-9999</v>
          </cell>
        </row>
        <row r="1455">
          <cell r="A1455" t="str">
            <v>SOLD9-070-R99H</v>
          </cell>
        </row>
        <row r="1456">
          <cell r="A1456" t="str">
            <v>SOLDS-070-T99C</v>
          </cell>
        </row>
        <row r="1457">
          <cell r="A1457" t="str">
            <v>SOLII-080-C9U9</v>
          </cell>
        </row>
        <row r="1458">
          <cell r="A1458" t="str">
            <v>SOLII-080-F9U9</v>
          </cell>
        </row>
        <row r="1459">
          <cell r="A1459" t="str">
            <v>SOLII-080-L9U9</v>
          </cell>
        </row>
        <row r="1460">
          <cell r="A1460" t="str">
            <v>SOLII-080-Y9U9</v>
          </cell>
        </row>
        <row r="1461">
          <cell r="A1461" t="str">
            <v>SOLIS-080-C9U9</v>
          </cell>
        </row>
        <row r="1462">
          <cell r="A1462" t="str">
            <v>SOLIS-080-F9U9</v>
          </cell>
        </row>
        <row r="1463">
          <cell r="A1463" t="str">
            <v>SOLIS-080-L9U9</v>
          </cell>
        </row>
        <row r="1464">
          <cell r="A1464" t="str">
            <v>SOLIS-080-Y9U9</v>
          </cell>
        </row>
        <row r="1465">
          <cell r="A1465" t="str">
            <v>SOLL8-070-888M</v>
          </cell>
        </row>
        <row r="1466">
          <cell r="A1466" t="str">
            <v>SOLL8-070-D8UM</v>
          </cell>
        </row>
        <row r="1467">
          <cell r="A1467" t="str">
            <v>SOLL9-999-D99M</v>
          </cell>
        </row>
        <row r="1468">
          <cell r="A1468" t="str">
            <v>SOLM9-070N9999</v>
          </cell>
        </row>
        <row r="1469">
          <cell r="A1469" t="str">
            <v>SOLMI-070WI8UH</v>
          </cell>
        </row>
        <row r="1470">
          <cell r="A1470" t="str">
            <v>SOLMS-070W9999</v>
          </cell>
        </row>
        <row r="1471">
          <cell r="A1471" t="str">
            <v>SOLMS-070W999H</v>
          </cell>
        </row>
        <row r="1472">
          <cell r="A1472" t="str">
            <v>SOLMS-070WD99H</v>
          </cell>
        </row>
        <row r="1473">
          <cell r="A1473" t="str">
            <v>SOLMS-07AW999H</v>
          </cell>
        </row>
        <row r="1474">
          <cell r="A1474" t="str">
            <v>SOLMS-07AWD99H</v>
          </cell>
        </row>
        <row r="1475">
          <cell r="A1475" t="str">
            <v>SOLMS-07BW999H</v>
          </cell>
        </row>
        <row r="1476">
          <cell r="A1476" t="str">
            <v>SOLMS-07BWD99H</v>
          </cell>
        </row>
        <row r="1477">
          <cell r="A1477" t="str">
            <v>SOLMS-07CW999H</v>
          </cell>
        </row>
        <row r="1478">
          <cell r="A1478" t="str">
            <v>SOLMS-07CWD99H</v>
          </cell>
        </row>
        <row r="1479">
          <cell r="A1479" t="str">
            <v>SOLMS-07DW999H</v>
          </cell>
        </row>
        <row r="1480">
          <cell r="A1480" t="str">
            <v>SOLMS-07DWD99H</v>
          </cell>
        </row>
        <row r="1481">
          <cell r="A1481" t="str">
            <v>SOLMS-07EW999H</v>
          </cell>
        </row>
        <row r="1482">
          <cell r="A1482" t="str">
            <v>SOLMS-07EWD99H</v>
          </cell>
        </row>
        <row r="1483">
          <cell r="A1483" t="str">
            <v>SOLS8-070-888M</v>
          </cell>
        </row>
        <row r="1484">
          <cell r="A1484" t="str">
            <v>SOLX8-070-888M</v>
          </cell>
        </row>
        <row r="1485">
          <cell r="A1485" t="str">
            <v>SOLX8-070-D8UM</v>
          </cell>
        </row>
        <row r="1486">
          <cell r="A1486" t="str">
            <v>SOLX9-999-D99M</v>
          </cell>
        </row>
        <row r="1487">
          <cell r="A1487" t="str">
            <v>SOLXS-080B9AY9</v>
          </cell>
        </row>
        <row r="1488">
          <cell r="A1488" t="str">
            <v>SOLXS-08DB9AY9</v>
          </cell>
        </row>
        <row r="1489">
          <cell r="A1489" t="str">
            <v>SOLXS-08EB9AY9</v>
          </cell>
        </row>
        <row r="1490">
          <cell r="A1490" t="str">
            <v>SOLXS-08FB9AY9</v>
          </cell>
        </row>
        <row r="1491">
          <cell r="A1491" t="str">
            <v>SOLXS-08GB9AY9</v>
          </cell>
        </row>
        <row r="1492">
          <cell r="A1492" t="str">
            <v>SOLY8-070-888M</v>
          </cell>
        </row>
        <row r="1493">
          <cell r="A1493" t="str">
            <v>SOLZ9-080NA999</v>
          </cell>
        </row>
        <row r="1494">
          <cell r="A1494" t="str">
            <v>SOLZI-080B99YM</v>
          </cell>
        </row>
        <row r="1495">
          <cell r="A1495" t="str">
            <v>SOLZI-08AB9AYS</v>
          </cell>
        </row>
        <row r="1496">
          <cell r="A1496" t="str">
            <v>SOLZS-080B9AY9</v>
          </cell>
        </row>
        <row r="1497">
          <cell r="A1497" t="str">
            <v>SOLZS-080B9AYH</v>
          </cell>
        </row>
        <row r="1498">
          <cell r="A1498" t="str">
            <v>SOLZS-08AB9AYS</v>
          </cell>
        </row>
        <row r="1499">
          <cell r="A1499" t="str">
            <v>SOLZS-08BB9AYH</v>
          </cell>
        </row>
        <row r="1500">
          <cell r="A1500" t="str">
            <v>SOLZS-08BB9AYM</v>
          </cell>
        </row>
        <row r="1501">
          <cell r="A1501" t="str">
            <v>SOLZS-08BB9AYS</v>
          </cell>
        </row>
        <row r="1502">
          <cell r="A1502" t="str">
            <v>SOLZS-08CB9AYH</v>
          </cell>
        </row>
        <row r="1503">
          <cell r="A1503" t="str">
            <v>SOLZS-08DB9AY9</v>
          </cell>
        </row>
        <row r="1504">
          <cell r="A1504" t="str">
            <v>SOLZS-08DB9AYH</v>
          </cell>
        </row>
        <row r="1505">
          <cell r="A1505" t="str">
            <v>SOLZS-08DB9AYS</v>
          </cell>
        </row>
        <row r="1506">
          <cell r="A1506" t="str">
            <v>SOLZS-08EB9AY9</v>
          </cell>
        </row>
        <row r="1507">
          <cell r="A1507" t="str">
            <v>SOLZS-08FB9AY9</v>
          </cell>
        </row>
        <row r="1508">
          <cell r="A1508" t="str">
            <v>SOLZS-08FB9AYH</v>
          </cell>
        </row>
        <row r="1509">
          <cell r="A1509" t="str">
            <v>SOLZS-08FB9AYM</v>
          </cell>
        </row>
        <row r="1510">
          <cell r="A1510" t="str">
            <v>SOLZS-08FB9AYS</v>
          </cell>
        </row>
        <row r="1511">
          <cell r="A1511" t="str">
            <v>SOLZS-08GB9AY9</v>
          </cell>
        </row>
        <row r="1512">
          <cell r="A1512" t="str">
            <v>SOLZS-08GB9AYH</v>
          </cell>
        </row>
        <row r="1513">
          <cell r="A1513" t="str">
            <v>SOLZS-08GB9AYM</v>
          </cell>
        </row>
        <row r="1514">
          <cell r="A1514" t="str">
            <v>SOLZS-08GB9AYS</v>
          </cell>
        </row>
        <row r="1515">
          <cell r="A1515" t="str">
            <v>SOLZS-08HB9AYH</v>
          </cell>
        </row>
        <row r="1516">
          <cell r="A1516" t="str">
            <v>SPF-1.0G-PU</v>
          </cell>
        </row>
        <row r="1517">
          <cell r="A1517" t="str">
            <v>SQA-RT-1.0-D</v>
          </cell>
        </row>
        <row r="1518">
          <cell r="A1518" t="str">
            <v>SQA-RT-1.0-S</v>
          </cell>
        </row>
        <row r="1519">
          <cell r="A1519" t="str">
            <v>SQA-TK-1.0-D</v>
          </cell>
        </row>
        <row r="1520">
          <cell r="A1520" t="str">
            <v>SQA-TK-1.0-S</v>
          </cell>
        </row>
        <row r="1521">
          <cell r="A1521" t="str">
            <v>SRM9S-121-9999</v>
          </cell>
        </row>
        <row r="1522">
          <cell r="A1522" t="str">
            <v>SRMES-120-E999</v>
          </cell>
        </row>
        <row r="1523">
          <cell r="A1523" t="str">
            <v>SRMES-120-W999</v>
          </cell>
        </row>
        <row r="1524">
          <cell r="A1524" t="str">
            <v>SRMIS-120-E999</v>
          </cell>
        </row>
        <row r="1525">
          <cell r="A1525" t="str">
            <v>SRMIS-120-F999</v>
          </cell>
        </row>
        <row r="1526">
          <cell r="A1526" t="str">
            <v>SRMIS-120-S999</v>
          </cell>
        </row>
        <row r="1527">
          <cell r="A1527" t="str">
            <v>SRMIS-120-W999</v>
          </cell>
        </row>
        <row r="1528">
          <cell r="A1528" t="str">
            <v>SRMLS-120-E999</v>
          </cell>
        </row>
        <row r="1529">
          <cell r="A1529" t="str">
            <v>SRMLS-120-W999</v>
          </cell>
        </row>
        <row r="1530">
          <cell r="A1530" t="str">
            <v>SRMVS-120-F999</v>
          </cell>
        </row>
        <row r="1531">
          <cell r="A1531" t="str">
            <v>SRMVS-120-S999</v>
          </cell>
        </row>
        <row r="1532">
          <cell r="A1532" t="str">
            <v>SRMXS-120-E999</v>
          </cell>
        </row>
        <row r="1533">
          <cell r="A1533" t="str">
            <v>SRMXS-120-F999</v>
          </cell>
        </row>
        <row r="1534">
          <cell r="A1534" t="str">
            <v>SRMXS-120-S999</v>
          </cell>
        </row>
        <row r="1535">
          <cell r="A1535" t="str">
            <v>SRMXS-120-W999</v>
          </cell>
        </row>
        <row r="1536">
          <cell r="A1536" t="str">
            <v>SSCC-15K-HWKIT100</v>
          </cell>
        </row>
        <row r="1537">
          <cell r="A1537" t="str">
            <v>SSCC-15K-MK100</v>
          </cell>
        </row>
        <row r="1538">
          <cell r="A1538" t="str">
            <v>SSCC-E1-MK100</v>
          </cell>
        </row>
        <row r="1539">
          <cell r="A1539" t="str">
            <v>SSCC-MK-100</v>
          </cell>
        </row>
        <row r="1540">
          <cell r="A1540" t="str">
            <v>SSN39-310A9999</v>
          </cell>
        </row>
        <row r="1541">
          <cell r="A1541" t="str">
            <v>SSNM9-300W9999</v>
          </cell>
        </row>
        <row r="1542">
          <cell r="A1542" t="str">
            <v>SSNM9-300W99T9</v>
          </cell>
        </row>
        <row r="1543">
          <cell r="A1543" t="str">
            <v>SSNM9-300WW999</v>
          </cell>
        </row>
        <row r="1544">
          <cell r="A1544" t="str">
            <v>SSNM9-310W9999</v>
          </cell>
        </row>
        <row r="1545">
          <cell r="A1545" t="str">
            <v>SSNM9-310W99C9</v>
          </cell>
        </row>
        <row r="1546">
          <cell r="A1546" t="str">
            <v>SSNM9-310W99T9</v>
          </cell>
        </row>
        <row r="1547">
          <cell r="A1547" t="str">
            <v>SSNM9-310W99U9</v>
          </cell>
        </row>
        <row r="1548">
          <cell r="A1548" t="str">
            <v>SSNM9-310W9D99</v>
          </cell>
        </row>
        <row r="1549">
          <cell r="A1549" t="str">
            <v>SSNM9-310WW999</v>
          </cell>
        </row>
        <row r="1550">
          <cell r="A1550" t="str">
            <v>SSNM9-310WW9U9</v>
          </cell>
        </row>
        <row r="1551">
          <cell r="A1551" t="str">
            <v>SSNS9-310W9999</v>
          </cell>
        </row>
        <row r="1552">
          <cell r="A1552" t="str">
            <v>SSNX9-310W9999</v>
          </cell>
        </row>
        <row r="1553">
          <cell r="A1553" t="str">
            <v>SSP9S-350-SAM9</v>
          </cell>
        </row>
        <row r="1554">
          <cell r="A1554" t="str">
            <v>STMM9-400-9999</v>
          </cell>
        </row>
        <row r="1555">
          <cell r="A1555" t="str">
            <v>STMN-1.0-D</v>
          </cell>
        </row>
        <row r="1556">
          <cell r="A1556" t="str">
            <v>STMN-1.0-P</v>
          </cell>
        </row>
        <row r="1557">
          <cell r="A1557" t="str">
            <v>STMN-PSET-CD</v>
          </cell>
        </row>
        <row r="1558">
          <cell r="A1558" t="str">
            <v>STVM9-130-9999</v>
          </cell>
        </row>
        <row r="1559">
          <cell r="A1559" t="str">
            <v>SWITCH-1.0-B</v>
          </cell>
        </row>
        <row r="1560">
          <cell r="A1560" t="str">
            <v>SWT-1.0.3-D</v>
          </cell>
        </row>
        <row r="1561">
          <cell r="A1561" t="str">
            <v>SYMC9-211-D999</v>
          </cell>
        </row>
        <row r="1562">
          <cell r="A1562" t="str">
            <v>SYMC9-211-E999</v>
          </cell>
        </row>
        <row r="1563">
          <cell r="A1563" t="str">
            <v>SYME9-211-D999</v>
          </cell>
        </row>
        <row r="1564">
          <cell r="A1564" t="str">
            <v>SYMI9-211-E999</v>
          </cell>
        </row>
        <row r="1565">
          <cell r="A1565" t="str">
            <v>SYMI9-211-T999</v>
          </cell>
        </row>
        <row r="1566">
          <cell r="A1566" t="str">
            <v>SYMI9-300-992S</v>
          </cell>
        </row>
        <row r="1567">
          <cell r="A1567" t="str">
            <v>SYMI9-300-99US</v>
          </cell>
        </row>
        <row r="1568">
          <cell r="A1568" t="str">
            <v>SYMI9-300-T99S</v>
          </cell>
        </row>
        <row r="1569">
          <cell r="A1569" t="str">
            <v>SYMM9-201-999M</v>
          </cell>
        </row>
        <row r="1570">
          <cell r="A1570" t="str">
            <v>SYMM9-210-999M</v>
          </cell>
        </row>
        <row r="1571">
          <cell r="A1571" t="str">
            <v>SYMM9-211-999M</v>
          </cell>
        </row>
        <row r="1572">
          <cell r="A1572" t="str">
            <v>SYMS9-300-999S</v>
          </cell>
        </row>
        <row r="1573">
          <cell r="A1573" t="str">
            <v>SYMU9-300-992S</v>
          </cell>
        </row>
        <row r="1574">
          <cell r="A1574" t="str">
            <v>SYMU9-300-99US</v>
          </cell>
        </row>
        <row r="1575">
          <cell r="A1575" t="str">
            <v>SYMV9-211-T999</v>
          </cell>
        </row>
        <row r="1576">
          <cell r="A1576" t="str">
            <v>SYMV9-300-T99S</v>
          </cell>
        </row>
        <row r="1577">
          <cell r="A1577" t="str">
            <v>SYMX9-211-D999</v>
          </cell>
        </row>
        <row r="1578">
          <cell r="A1578" t="str">
            <v>SYMX9-211-E999</v>
          </cell>
        </row>
        <row r="1579">
          <cell r="A1579" t="str">
            <v>SYMY9-211-E999</v>
          </cell>
        </row>
        <row r="1580">
          <cell r="A1580" t="str">
            <v>T3AES-RH-44-1310</v>
          </cell>
        </row>
        <row r="1581">
          <cell r="A1581" t="str">
            <v>T3AES-RH-44-2642</v>
          </cell>
        </row>
        <row r="1582">
          <cell r="A1582" t="str">
            <v>T3AES-RH-88-2620</v>
          </cell>
        </row>
        <row r="1583">
          <cell r="A1583" t="str">
            <v>T3AES-RH-88-5284</v>
          </cell>
        </row>
        <row r="1584">
          <cell r="A1584" t="str">
            <v>T3AES-RK-44-1310</v>
          </cell>
        </row>
        <row r="1585">
          <cell r="A1585" t="str">
            <v>T3AES-RK-44-2642</v>
          </cell>
        </row>
        <row r="1586">
          <cell r="A1586" t="str">
            <v>T3AES-RK-88-2620</v>
          </cell>
        </row>
        <row r="1587">
          <cell r="A1587" t="str">
            <v>T3AES-RK-88-5284</v>
          </cell>
        </row>
        <row r="1588">
          <cell r="A1588" t="str">
            <v>T3AES-RR-22-1321R4</v>
          </cell>
        </row>
        <row r="1589">
          <cell r="A1589" t="str">
            <v>T3AES-RR-22-1321R5</v>
          </cell>
        </row>
        <row r="1590">
          <cell r="A1590" t="str">
            <v>T3AES-RR-22-655R4</v>
          </cell>
        </row>
        <row r="1591">
          <cell r="A1591" t="str">
            <v>T3AES-RR-22-655R5</v>
          </cell>
        </row>
        <row r="1592">
          <cell r="A1592" t="str">
            <v>T3AES-RS-22-1321</v>
          </cell>
        </row>
        <row r="1593">
          <cell r="A1593" t="str">
            <v>T3AES-RS-22-655</v>
          </cell>
        </row>
        <row r="1594">
          <cell r="A1594" t="str">
            <v>T3AES-RS-88-2620</v>
          </cell>
        </row>
        <row r="1595">
          <cell r="A1595" t="str">
            <v>T3AES-RS-88-5284</v>
          </cell>
        </row>
        <row r="1596">
          <cell r="A1596" t="str">
            <v>T3AWG-RR-11-327R4</v>
          </cell>
        </row>
        <row r="1597">
          <cell r="A1597" t="str">
            <v>T3AWG-RR-11-660R4</v>
          </cell>
        </row>
        <row r="1598">
          <cell r="A1598" t="str">
            <v>T3BES-RH-22-1321</v>
          </cell>
        </row>
        <row r="1599">
          <cell r="A1599" t="str">
            <v>T3BES-RH-22-655</v>
          </cell>
        </row>
        <row r="1600">
          <cell r="A1600" t="str">
            <v>T3BES-RH-88-2620</v>
          </cell>
        </row>
        <row r="1601">
          <cell r="A1601" t="str">
            <v>T3BES-RH-88-5284</v>
          </cell>
        </row>
        <row r="1602">
          <cell r="A1602" t="str">
            <v>T3BES-RK-22-1321</v>
          </cell>
        </row>
        <row r="1603">
          <cell r="A1603" t="str">
            <v>T3BES-RK-22-655</v>
          </cell>
        </row>
        <row r="1604">
          <cell r="A1604" t="str">
            <v>T3BES-RK-88-2620</v>
          </cell>
        </row>
        <row r="1605">
          <cell r="A1605" t="str">
            <v>T3BES-RK-88-5284</v>
          </cell>
        </row>
        <row r="1606">
          <cell r="A1606" t="str">
            <v>T3BES-RR-22-1321R4</v>
          </cell>
        </row>
        <row r="1607">
          <cell r="A1607" t="str">
            <v>T3BES-RR-22-1321R5</v>
          </cell>
        </row>
        <row r="1608">
          <cell r="A1608" t="str">
            <v>T3BES-RR-22-655GR4</v>
          </cell>
        </row>
        <row r="1609">
          <cell r="A1609" t="str">
            <v>T3BES-RR-22-655R4</v>
          </cell>
        </row>
        <row r="1610">
          <cell r="A1610" t="str">
            <v>T3BES-RR-22-655R5</v>
          </cell>
        </row>
        <row r="1611">
          <cell r="A1611" t="str">
            <v>T3BES-RR22-1321GR4</v>
          </cell>
        </row>
        <row r="1612">
          <cell r="A1612" t="str">
            <v>T3BES-RS-22-1321</v>
          </cell>
        </row>
        <row r="1613">
          <cell r="A1613" t="str">
            <v>T3BES-RS-22-655</v>
          </cell>
        </row>
        <row r="1614">
          <cell r="A1614" t="str">
            <v>T3BES-RS-88-2620</v>
          </cell>
        </row>
        <row r="1615">
          <cell r="A1615" t="str">
            <v>T3BES-RS-88-5284</v>
          </cell>
        </row>
        <row r="1616">
          <cell r="A1616" t="str">
            <v>T3BWG-RR-11-327GR4</v>
          </cell>
        </row>
        <row r="1617">
          <cell r="A1617" t="str">
            <v>T3BWG-RR-11-327R4</v>
          </cell>
        </row>
        <row r="1618">
          <cell r="A1618" t="str">
            <v>T3BWG-RR-11-327R5</v>
          </cell>
        </row>
        <row r="1619">
          <cell r="A1619" t="str">
            <v>T3BWG-RR-11-660GR4</v>
          </cell>
        </row>
        <row r="1620">
          <cell r="A1620" t="str">
            <v>T3BWG-RR-11-660R4</v>
          </cell>
        </row>
        <row r="1621">
          <cell r="A1621" t="str">
            <v>T3BWG-RR-11-660R5</v>
          </cell>
        </row>
        <row r="1622">
          <cell r="A1622" t="str">
            <v>T3WG-RR-11-660GR4</v>
          </cell>
        </row>
        <row r="1623">
          <cell r="A1623" t="str">
            <v>T8-041-100028-01</v>
          </cell>
        </row>
        <row r="1624">
          <cell r="A1624" t="str">
            <v>T8-041-100034-01</v>
          </cell>
        </row>
        <row r="1625">
          <cell r="A1625" t="str">
            <v>T8-10-004</v>
          </cell>
        </row>
        <row r="1626">
          <cell r="A1626" t="str">
            <v>T8-10-106</v>
          </cell>
        </row>
        <row r="1627">
          <cell r="A1627" t="str">
            <v>T8-10-107</v>
          </cell>
        </row>
        <row r="1628">
          <cell r="A1628" t="str">
            <v>T8-10-112</v>
          </cell>
        </row>
        <row r="1629">
          <cell r="A1629" t="str">
            <v>T8-10-113</v>
          </cell>
        </row>
        <row r="1630">
          <cell r="A1630" t="str">
            <v>T8-10-114</v>
          </cell>
        </row>
        <row r="1631">
          <cell r="A1631" t="str">
            <v>T8-10-119</v>
          </cell>
        </row>
        <row r="1632">
          <cell r="A1632" t="str">
            <v>T8-10-128</v>
          </cell>
        </row>
        <row r="1633">
          <cell r="A1633" t="str">
            <v>T8-10-129</v>
          </cell>
        </row>
        <row r="1634">
          <cell r="A1634" t="str">
            <v>T8-10-130</v>
          </cell>
        </row>
        <row r="1635">
          <cell r="A1635" t="str">
            <v>T8-10-131</v>
          </cell>
        </row>
        <row r="1636">
          <cell r="A1636" t="str">
            <v>T8-10-132</v>
          </cell>
        </row>
        <row r="1637">
          <cell r="A1637" t="str">
            <v>T8-10-138</v>
          </cell>
        </row>
        <row r="1638">
          <cell r="A1638" t="str">
            <v>T8-10-139</v>
          </cell>
        </row>
        <row r="1639">
          <cell r="A1639" t="str">
            <v>T8-10-142</v>
          </cell>
        </row>
        <row r="1640">
          <cell r="A1640" t="str">
            <v>T8-10-143</v>
          </cell>
        </row>
        <row r="1641">
          <cell r="A1641" t="str">
            <v>T8-1010</v>
          </cell>
        </row>
        <row r="1642">
          <cell r="A1642" t="str">
            <v>T8-1022</v>
          </cell>
        </row>
        <row r="1643">
          <cell r="A1643" t="str">
            <v>T8-1023</v>
          </cell>
        </row>
        <row r="1644">
          <cell r="A1644" t="str">
            <v>T8-1026</v>
          </cell>
        </row>
        <row r="1645">
          <cell r="A1645" t="str">
            <v>T8-1027</v>
          </cell>
        </row>
        <row r="1646">
          <cell r="A1646" t="str">
            <v>T8-1028</v>
          </cell>
        </row>
        <row r="1647">
          <cell r="A1647" t="str">
            <v>T8-1029</v>
          </cell>
        </row>
        <row r="1648">
          <cell r="A1648" t="str">
            <v>T8-1040</v>
          </cell>
        </row>
        <row r="1649">
          <cell r="A1649" t="str">
            <v>T8-1041</v>
          </cell>
        </row>
        <row r="1650">
          <cell r="A1650" t="str">
            <v>T8-1042</v>
          </cell>
        </row>
        <row r="1651">
          <cell r="A1651" t="str">
            <v>T8-1043</v>
          </cell>
        </row>
        <row r="1652">
          <cell r="A1652" t="str">
            <v>T8-1044</v>
          </cell>
        </row>
        <row r="1653">
          <cell r="A1653" t="str">
            <v>T8-1045</v>
          </cell>
        </row>
        <row r="1654">
          <cell r="A1654" t="str">
            <v>T8-1046</v>
          </cell>
        </row>
        <row r="1655">
          <cell r="A1655" t="str">
            <v>T8-1048</v>
          </cell>
        </row>
        <row r="1656">
          <cell r="A1656" t="str">
            <v>T8-1049</v>
          </cell>
        </row>
        <row r="1657">
          <cell r="A1657" t="str">
            <v>T8-1050</v>
          </cell>
        </row>
        <row r="1658">
          <cell r="A1658" t="str">
            <v>T8-1051</v>
          </cell>
        </row>
        <row r="1659">
          <cell r="A1659" t="str">
            <v>T8-1052</v>
          </cell>
        </row>
        <row r="1660">
          <cell r="A1660" t="str">
            <v>T8-154405</v>
          </cell>
        </row>
        <row r="1661">
          <cell r="A1661" t="str">
            <v>T8-5709605-001</v>
          </cell>
        </row>
        <row r="1662">
          <cell r="A1662" t="str">
            <v>T8-5710710-001</v>
          </cell>
        </row>
        <row r="1663">
          <cell r="A1663" t="str">
            <v>T8-594-100M</v>
          </cell>
        </row>
        <row r="1664">
          <cell r="A1664" t="str">
            <v>T8-594-10M</v>
          </cell>
        </row>
        <row r="1665">
          <cell r="A1665" t="str">
            <v>T8-594-1M</v>
          </cell>
        </row>
        <row r="1666">
          <cell r="A1666" t="str">
            <v>T8-594-50M</v>
          </cell>
        </row>
        <row r="1667">
          <cell r="A1667" t="str">
            <v>T8-6010</v>
          </cell>
        </row>
        <row r="1668">
          <cell r="A1668" t="str">
            <v>T8-6011</v>
          </cell>
        </row>
        <row r="1669">
          <cell r="A1669" t="str">
            <v>T8-6012</v>
          </cell>
        </row>
        <row r="1670">
          <cell r="A1670" t="str">
            <v>T8-6015</v>
          </cell>
        </row>
        <row r="1671">
          <cell r="A1671" t="str">
            <v>T8-6025</v>
          </cell>
        </row>
        <row r="1672">
          <cell r="A1672" t="str">
            <v>T8-6300</v>
          </cell>
        </row>
        <row r="1673">
          <cell r="A1673" t="str">
            <v>T8-DKC-F410I-100</v>
          </cell>
        </row>
        <row r="1674">
          <cell r="A1674" t="str">
            <v>T8-DKC-F410I-1024</v>
          </cell>
        </row>
        <row r="1675">
          <cell r="A1675" t="str">
            <v>T8-DKC-F410I-1EC</v>
          </cell>
        </row>
        <row r="1676">
          <cell r="A1676" t="str">
            <v>T8-DKC-F410I-1PS</v>
          </cell>
        </row>
        <row r="1677">
          <cell r="A1677" t="str">
            <v>T8-DKC-F410I-1UC</v>
          </cell>
        </row>
        <row r="1678">
          <cell r="A1678" t="str">
            <v>T8-DKC-F410I-20</v>
          </cell>
        </row>
        <row r="1679">
          <cell r="A1679" t="str">
            <v>T8-DKC-F410I-4GL</v>
          </cell>
        </row>
        <row r="1680">
          <cell r="A1680" t="str">
            <v>T8-DKC-F410I-4GS</v>
          </cell>
        </row>
        <row r="1681">
          <cell r="A1681" t="str">
            <v>T8-DKC-F410I-4ML</v>
          </cell>
        </row>
        <row r="1682">
          <cell r="A1682" t="str">
            <v>T8-DKC-F410I-4MS</v>
          </cell>
        </row>
        <row r="1683">
          <cell r="A1683" t="str">
            <v>T8-DKC-F410I-4S</v>
          </cell>
        </row>
        <row r="1684">
          <cell r="A1684" t="str">
            <v>T8-DKC-F410I-80</v>
          </cell>
        </row>
        <row r="1685">
          <cell r="A1685" t="str">
            <v>T8-DKC-F410I-8GL</v>
          </cell>
        </row>
        <row r="1686">
          <cell r="A1686" t="str">
            <v>T8-DKC-F410I-8GS</v>
          </cell>
        </row>
        <row r="1687">
          <cell r="A1687" t="str">
            <v>T8-DKC-F410I-8GSE</v>
          </cell>
        </row>
        <row r="1688">
          <cell r="A1688" t="str">
            <v>T8-DKC-F410I-8HSE</v>
          </cell>
        </row>
        <row r="1689">
          <cell r="A1689" t="str">
            <v>T8-DKC-F410I-8S</v>
          </cell>
        </row>
        <row r="1690">
          <cell r="A1690" t="str">
            <v>T8-DKC-F410I-L1C</v>
          </cell>
        </row>
        <row r="1691">
          <cell r="A1691" t="str">
            <v>T8-DKC-F410I-R1C</v>
          </cell>
        </row>
        <row r="1692">
          <cell r="A1692" t="str">
            <v>T8-DKC-F410I-S256</v>
          </cell>
        </row>
        <row r="1693">
          <cell r="A1693" t="str">
            <v>T8-DKC-F410I-SNMP</v>
          </cell>
        </row>
        <row r="1694">
          <cell r="A1694" t="str">
            <v>T8-DKC-F415I-1EC</v>
          </cell>
        </row>
        <row r="1695">
          <cell r="A1695" t="str">
            <v>T8-DKC-F415I-1UC</v>
          </cell>
        </row>
        <row r="1696">
          <cell r="A1696" t="str">
            <v>T8-DKC410I-5</v>
          </cell>
        </row>
        <row r="1697">
          <cell r="A1697" t="str">
            <v>T8-DKC415I-5</v>
          </cell>
        </row>
        <row r="1698">
          <cell r="A1698" t="str">
            <v>T8-DKU-F405I-180H1</v>
          </cell>
        </row>
        <row r="1699">
          <cell r="A1699" t="str">
            <v>T8-DKU-F405I-180H4</v>
          </cell>
        </row>
        <row r="1700">
          <cell r="A1700" t="str">
            <v>T8-DKU-F405I-18J1</v>
          </cell>
        </row>
        <row r="1701">
          <cell r="A1701" t="str">
            <v>T8-DKU-F405I-18J4</v>
          </cell>
        </row>
        <row r="1702">
          <cell r="A1702" t="str">
            <v>T8-DKU-F405I-1EC</v>
          </cell>
        </row>
        <row r="1703">
          <cell r="A1703" t="str">
            <v>T8-DKU-F405I-1PS</v>
          </cell>
        </row>
        <row r="1704">
          <cell r="A1704" t="str">
            <v>T8-DKU-F405I-1UC</v>
          </cell>
        </row>
        <row r="1705">
          <cell r="A1705" t="str">
            <v>T8-DKU-F405I-3EC</v>
          </cell>
        </row>
        <row r="1706">
          <cell r="A1706" t="str">
            <v>T8-DKU-F405I-3PS</v>
          </cell>
        </row>
        <row r="1707">
          <cell r="A1707" t="str">
            <v>T8-DKU-F405I-3UC</v>
          </cell>
        </row>
        <row r="1708">
          <cell r="A1708" t="str">
            <v>T8-DKU-F405I-72J1</v>
          </cell>
        </row>
        <row r="1709">
          <cell r="A1709" t="str">
            <v>T8-DKU-F405I-72J4</v>
          </cell>
        </row>
        <row r="1710">
          <cell r="A1710" t="str">
            <v>T8-DKU-F405I-B4</v>
          </cell>
        </row>
        <row r="1711">
          <cell r="A1711" t="str">
            <v>T8-DKU-F405I-EXC</v>
          </cell>
        </row>
        <row r="1712">
          <cell r="A1712" t="str">
            <v>T8-DKU405I-14</v>
          </cell>
        </row>
        <row r="1713">
          <cell r="A1713" t="str">
            <v>T8-ED-6064</v>
          </cell>
        </row>
        <row r="1714">
          <cell r="A1714" t="str">
            <v>T8-FC-512E</v>
          </cell>
        </row>
        <row r="1715">
          <cell r="A1715" t="str">
            <v>T8-FC-512M</v>
          </cell>
        </row>
        <row r="1716">
          <cell r="A1716" t="str">
            <v>T8-HDS3755</v>
          </cell>
        </row>
        <row r="1717">
          <cell r="A1717" t="str">
            <v>T8-IP0806-1</v>
          </cell>
        </row>
        <row r="1718">
          <cell r="A1718" t="str">
            <v>T8-IP0807-4</v>
          </cell>
        </row>
        <row r="1719">
          <cell r="A1719" t="str">
            <v>T8-IP0809-100</v>
          </cell>
        </row>
        <row r="1720">
          <cell r="A1720" t="str">
            <v>T8-IP0810</v>
          </cell>
        </row>
        <row r="1721">
          <cell r="A1721" t="str">
            <v>T8-IP1000-2CD</v>
          </cell>
        </row>
        <row r="1722">
          <cell r="A1722" t="str">
            <v>T8-SF6000</v>
          </cell>
        </row>
        <row r="1723">
          <cell r="A1723" t="str">
            <v>T8DC-9960-13TB-50</v>
          </cell>
        </row>
        <row r="1724">
          <cell r="A1724" t="str">
            <v>T8DC-9960-13TB-60</v>
          </cell>
        </row>
        <row r="1725">
          <cell r="A1725" t="str">
            <v>T8DC-9960-20TB-50</v>
          </cell>
        </row>
        <row r="1726">
          <cell r="A1726" t="str">
            <v>T8DC-9960-20TB-60</v>
          </cell>
        </row>
        <row r="1727">
          <cell r="A1727" t="str">
            <v>T8DC-9960-5TB-50</v>
          </cell>
        </row>
        <row r="1728">
          <cell r="A1728" t="str">
            <v>T8DC-9960-5TB-60</v>
          </cell>
        </row>
        <row r="1729">
          <cell r="A1729" t="str">
            <v>T8DC-9960C-5TB-50</v>
          </cell>
        </row>
        <row r="1730">
          <cell r="A1730" t="str">
            <v>T8DC-9960C-5TB-60</v>
          </cell>
        </row>
        <row r="1731">
          <cell r="A1731" t="str">
            <v>TAGD9-200-9999</v>
          </cell>
        </row>
        <row r="1732">
          <cell r="A1732" t="str">
            <v>TAGII-200-R999</v>
          </cell>
        </row>
        <row r="1733">
          <cell r="A1733" t="str">
            <v>TAGIN-200-R999</v>
          </cell>
        </row>
        <row r="1734">
          <cell r="A1734" t="str">
            <v>TAGIS-200-R999</v>
          </cell>
        </row>
        <row r="1735">
          <cell r="A1735" t="str">
            <v>TAGIS-200-T999</v>
          </cell>
        </row>
        <row r="1736">
          <cell r="A1736" t="str">
            <v>TAGIS-200-T9U9</v>
          </cell>
        </row>
        <row r="1737">
          <cell r="A1737" t="str">
            <v>TAGVS-200-T999</v>
          </cell>
        </row>
        <row r="1738">
          <cell r="A1738" t="str">
            <v>TAGVS-200-T9U9</v>
          </cell>
        </row>
        <row r="1739">
          <cell r="A1739" t="str">
            <v>TASD9-100-9999</v>
          </cell>
        </row>
        <row r="1740">
          <cell r="A1740" t="str">
            <v>TASIS-100-R999</v>
          </cell>
        </row>
        <row r="1741">
          <cell r="A1741" t="str">
            <v>TASIS-100-T999</v>
          </cell>
        </row>
        <row r="1742">
          <cell r="A1742" t="str">
            <v>TATD9-110-9999</v>
          </cell>
        </row>
        <row r="1743">
          <cell r="A1743" t="str">
            <v>TATIS-110-9999</v>
          </cell>
        </row>
        <row r="1744">
          <cell r="A1744" t="str">
            <v>TATIS-110-99U9</v>
          </cell>
        </row>
        <row r="1745">
          <cell r="A1745" t="str">
            <v>TB3910-B2-1321</v>
          </cell>
        </row>
        <row r="1746">
          <cell r="A1746" t="str">
            <v>TB3910-B2-655</v>
          </cell>
        </row>
        <row r="1747">
          <cell r="A1747" t="str">
            <v>TB3910-B8-2620</v>
          </cell>
        </row>
        <row r="1748">
          <cell r="A1748" t="str">
            <v>TB3910-B8-5284</v>
          </cell>
        </row>
        <row r="1749">
          <cell r="A1749" t="str">
            <v>TB3960-C2-1321</v>
          </cell>
        </row>
        <row r="1750">
          <cell r="A1750" t="str">
            <v>TB3960-C2-655</v>
          </cell>
        </row>
        <row r="1751">
          <cell r="A1751" t="str">
            <v>TB3960-C8-2620</v>
          </cell>
        </row>
        <row r="1752">
          <cell r="A1752" t="str">
            <v>TB3960-C8-5284</v>
          </cell>
        </row>
        <row r="1753">
          <cell r="A1753" t="str">
            <v>TB6910-B2-1321</v>
          </cell>
        </row>
        <row r="1754">
          <cell r="A1754" t="str">
            <v>TB6910-B2-655</v>
          </cell>
        </row>
        <row r="1755">
          <cell r="A1755" t="str">
            <v>TB6910-B6-1965</v>
          </cell>
        </row>
        <row r="1756">
          <cell r="A1756" t="str">
            <v>TB6910-B6-3963</v>
          </cell>
        </row>
        <row r="1757">
          <cell r="A1757" t="str">
            <v>TB6960-C2-1321</v>
          </cell>
        </row>
        <row r="1758">
          <cell r="A1758" t="str">
            <v>TB6960-C2-655</v>
          </cell>
        </row>
        <row r="1759">
          <cell r="A1759" t="str">
            <v>TB6960-C6-1965</v>
          </cell>
        </row>
        <row r="1760">
          <cell r="A1760" t="str">
            <v>TB6960-C6-3963</v>
          </cell>
        </row>
        <row r="1761">
          <cell r="A1761" t="str">
            <v>TBEA-N2-1321</v>
          </cell>
        </row>
        <row r="1762">
          <cell r="A1762" t="str">
            <v>TBEA-N2-655</v>
          </cell>
        </row>
        <row r="1763">
          <cell r="A1763" t="str">
            <v>TBEC-N2-1321</v>
          </cell>
        </row>
        <row r="1764">
          <cell r="A1764" t="str">
            <v>TBEC-N2-655</v>
          </cell>
        </row>
        <row r="1765">
          <cell r="A1765" t="str">
            <v>TMN-KIT-2.0-D</v>
          </cell>
        </row>
        <row r="1766">
          <cell r="A1766" t="str">
            <v>TMN-KIT-2.0-S</v>
          </cell>
        </row>
        <row r="1767">
          <cell r="A1767" t="str">
            <v>TMN-KIT-2.0-S5</v>
          </cell>
        </row>
        <row r="1768">
          <cell r="A1768" t="str">
            <v>TMN-KIT-2.0-S5U</v>
          </cell>
        </row>
        <row r="1769">
          <cell r="A1769" t="str">
            <v>TMN-KIT-2.0-SU</v>
          </cell>
        </row>
        <row r="1770">
          <cell r="A1770" t="str">
            <v>TMSD9-110-9999</v>
          </cell>
        </row>
        <row r="1771">
          <cell r="A1771" t="str">
            <v>TMSII-110-R999</v>
          </cell>
        </row>
        <row r="1772">
          <cell r="A1772" t="str">
            <v>TMSII-110-R9U9</v>
          </cell>
        </row>
        <row r="1773">
          <cell r="A1773" t="str">
            <v>TMSIN-110-R999</v>
          </cell>
        </row>
        <row r="1774">
          <cell r="A1774" t="str">
            <v>TMSIS-110-R999</v>
          </cell>
        </row>
        <row r="1775">
          <cell r="A1775" t="str">
            <v>TMSIS-110-R9U9</v>
          </cell>
        </row>
        <row r="1776">
          <cell r="A1776" t="str">
            <v>TMSIS-110-T999</v>
          </cell>
        </row>
        <row r="1777">
          <cell r="A1777" t="str">
            <v>TMSIS-110-T9U9</v>
          </cell>
        </row>
        <row r="1778">
          <cell r="A1778" t="str">
            <v>TRKIS-121-99N9</v>
          </cell>
        </row>
        <row r="1779">
          <cell r="A1779" t="str">
            <v>TS2BS-251-D999</v>
          </cell>
        </row>
        <row r="1780">
          <cell r="A1780" t="str">
            <v>TS2BS-251-D9U9</v>
          </cell>
        </row>
        <row r="1781">
          <cell r="A1781" t="str">
            <v>TS2BS-251-E999</v>
          </cell>
        </row>
        <row r="1782">
          <cell r="A1782" t="str">
            <v>TS2BS-251-E9U9</v>
          </cell>
        </row>
        <row r="1783">
          <cell r="A1783" t="str">
            <v>TS2DS-251-9999</v>
          </cell>
        </row>
        <row r="1784">
          <cell r="A1784" t="str">
            <v>TS8II-080-B999</v>
          </cell>
        </row>
        <row r="1785">
          <cell r="A1785" t="str">
            <v>TS8II-080-B9U9</v>
          </cell>
        </row>
        <row r="1786">
          <cell r="A1786" t="str">
            <v>TS8II-080-G999</v>
          </cell>
        </row>
        <row r="1787">
          <cell r="A1787" t="str">
            <v>TS8II-080-G9U9</v>
          </cell>
        </row>
        <row r="1788">
          <cell r="A1788" t="str">
            <v>TS8II-080-L999</v>
          </cell>
        </row>
        <row r="1789">
          <cell r="A1789" t="str">
            <v>TS8II-080-L9U9</v>
          </cell>
        </row>
        <row r="1790">
          <cell r="A1790" t="str">
            <v>TS8II-080-Y999</v>
          </cell>
        </row>
        <row r="1791">
          <cell r="A1791" t="str">
            <v>TS8II-080-Y9U9</v>
          </cell>
        </row>
        <row r="1792">
          <cell r="A1792" t="str">
            <v>TS8IS-080-B999</v>
          </cell>
        </row>
        <row r="1793">
          <cell r="A1793" t="str">
            <v>TS8IS-080-B9U9</v>
          </cell>
        </row>
        <row r="1794">
          <cell r="A1794" t="str">
            <v>TS8IS-080-D999</v>
          </cell>
        </row>
        <row r="1795">
          <cell r="A1795" t="str">
            <v>TS8IS-080-E999</v>
          </cell>
        </row>
        <row r="1796">
          <cell r="A1796" t="str">
            <v>TS8IS-080-G999</v>
          </cell>
        </row>
        <row r="1797">
          <cell r="A1797" t="str">
            <v>TS8IS-080-G9U9</v>
          </cell>
        </row>
        <row r="1798">
          <cell r="A1798" t="str">
            <v>TS8IS-080-L999</v>
          </cell>
        </row>
        <row r="1799">
          <cell r="A1799" t="str">
            <v>TS8IS-080-L9U9</v>
          </cell>
        </row>
        <row r="1800">
          <cell r="A1800" t="str">
            <v>TS8IS-080-W999</v>
          </cell>
        </row>
        <row r="1801">
          <cell r="A1801" t="str">
            <v>TS8IS-080-Y999</v>
          </cell>
        </row>
        <row r="1802">
          <cell r="A1802" t="str">
            <v>TS8IS-080-Y9U9</v>
          </cell>
        </row>
        <row r="1803">
          <cell r="A1803" t="str">
            <v>TS8Z9-080-99D9</v>
          </cell>
        </row>
        <row r="1804">
          <cell r="A1804" t="str">
            <v>TS8ZI-080B9OY9</v>
          </cell>
        </row>
        <row r="1805">
          <cell r="A1805" t="str">
            <v>TS8ZS-080-S9Y9</v>
          </cell>
        </row>
        <row r="1806">
          <cell r="A1806" t="str">
            <v>TS8ZS-080B9OY9</v>
          </cell>
        </row>
        <row r="1807">
          <cell r="A1807" t="str">
            <v>UG-1044A-1141A</v>
          </cell>
        </row>
        <row r="1808">
          <cell r="A1808" t="str">
            <v>UG-1045A-1140A</v>
          </cell>
        </row>
        <row r="1809">
          <cell r="A1809" t="str">
            <v>UG-5/1-CLOCKBOARD</v>
          </cell>
        </row>
        <row r="1810">
          <cell r="A1810" t="str">
            <v>UG-A1000-CONTBD</v>
          </cell>
        </row>
        <row r="1811">
          <cell r="A1811" t="str">
            <v>UG-E10K-5/1CONTRLB</v>
          </cell>
        </row>
        <row r="1812">
          <cell r="A1812" t="str">
            <v>UG-RMA</v>
          </cell>
        </row>
        <row r="1813">
          <cell r="A1813" t="str">
            <v>UG-SF-BEZEL-KIT</v>
          </cell>
        </row>
        <row r="1814">
          <cell r="A1814" t="str">
            <v>UGMB-A25XA-A25CA</v>
          </cell>
        </row>
        <row r="1815">
          <cell r="A1815" t="str">
            <v>USS2-3ULD19L-256AQ</v>
          </cell>
        </row>
        <row r="1816">
          <cell r="A1816" t="str">
            <v>VBCLP-999-9999</v>
          </cell>
        </row>
        <row r="1817">
          <cell r="A1817" t="str">
            <v>VBEDS-999-9999</v>
          </cell>
        </row>
        <row r="1818">
          <cell r="A1818" t="str">
            <v>VBEIS-999-9999</v>
          </cell>
        </row>
        <row r="1819">
          <cell r="A1819" t="str">
            <v>VBIDR-999-9999</v>
          </cell>
        </row>
        <row r="1820">
          <cell r="A1820" t="str">
            <v>VBNAS-999-9999</v>
          </cell>
        </row>
        <row r="1821">
          <cell r="A1821" t="str">
            <v>VBOTM-999-9999</v>
          </cell>
        </row>
        <row r="1822">
          <cell r="A1822" t="str">
            <v>VBRTS-999-9999</v>
          </cell>
        </row>
        <row r="1823">
          <cell r="A1823" t="str">
            <v>VBSNN-999-9999</v>
          </cell>
        </row>
        <row r="1824">
          <cell r="A1824" t="str">
            <v>VBSNS-999-9999</v>
          </cell>
        </row>
        <row r="1825">
          <cell r="A1825" t="str">
            <v>VDARS-999-9999</v>
          </cell>
        </row>
        <row r="1826">
          <cell r="A1826" t="str">
            <v>VDCLP-999-P999</v>
          </cell>
        </row>
        <row r="1827">
          <cell r="A1827" t="str">
            <v>VDCLS-999-D999</v>
          </cell>
        </row>
        <row r="1828">
          <cell r="A1828" t="str">
            <v>VDCLS-999-W999</v>
          </cell>
        </row>
        <row r="1829">
          <cell r="A1829" t="str">
            <v>VDDBN-999-D999</v>
          </cell>
        </row>
        <row r="1830">
          <cell r="A1830" t="str">
            <v>VDDBN-999-E999</v>
          </cell>
        </row>
        <row r="1831">
          <cell r="A1831" t="str">
            <v>VDDBN-999-S999</v>
          </cell>
        </row>
        <row r="1832">
          <cell r="A1832" t="str">
            <v>VDDBN-999-W999</v>
          </cell>
        </row>
        <row r="1833">
          <cell r="A1833" t="str">
            <v>VDDBU-999-D999</v>
          </cell>
        </row>
        <row r="1834">
          <cell r="A1834" t="str">
            <v>VDDBU-999-E999</v>
          </cell>
        </row>
        <row r="1835">
          <cell r="A1835" t="str">
            <v>VDDBU-999-S999</v>
          </cell>
        </row>
        <row r="1836">
          <cell r="A1836" t="str">
            <v>VDDBU-999-W999</v>
          </cell>
        </row>
        <row r="1837">
          <cell r="A1837" t="str">
            <v>VDEDS-999-D999</v>
          </cell>
        </row>
        <row r="1838">
          <cell r="A1838" t="str">
            <v>VDEDS-999-W999</v>
          </cell>
        </row>
        <row r="1839">
          <cell r="A1839" t="str">
            <v>VDEIS-999-D999</v>
          </cell>
        </row>
        <row r="1840">
          <cell r="A1840" t="str">
            <v>VDEIS-999-W999</v>
          </cell>
        </row>
        <row r="1841">
          <cell r="A1841" t="str">
            <v>VDEXN-999-D999</v>
          </cell>
        </row>
        <row r="1842">
          <cell r="A1842" t="str">
            <v>VDEXN-999-E999</v>
          </cell>
        </row>
        <row r="1843">
          <cell r="A1843" t="str">
            <v>VDEXN-999-S999</v>
          </cell>
        </row>
        <row r="1844">
          <cell r="A1844" t="str">
            <v>VDEXN-999-W999</v>
          </cell>
        </row>
        <row r="1845">
          <cell r="A1845" t="str">
            <v>VDFBS-999-D999</v>
          </cell>
        </row>
        <row r="1846">
          <cell r="A1846" t="str">
            <v>VDFBS-999-E999</v>
          </cell>
        </row>
        <row r="1847">
          <cell r="A1847" t="str">
            <v>VDFBS-999-S999</v>
          </cell>
        </row>
        <row r="1848">
          <cell r="A1848" t="str">
            <v>VDFBS-999-W999</v>
          </cell>
        </row>
        <row r="1849">
          <cell r="A1849" t="str">
            <v>VDINU-999-D999</v>
          </cell>
        </row>
        <row r="1850">
          <cell r="A1850" t="str">
            <v>VDINU-999-E999</v>
          </cell>
        </row>
        <row r="1851">
          <cell r="A1851" t="str">
            <v>VDINU-999-S999</v>
          </cell>
        </row>
        <row r="1852">
          <cell r="A1852" t="str">
            <v>VDINU-999-W999</v>
          </cell>
        </row>
        <row r="1853">
          <cell r="A1853" t="str">
            <v>VDLNN-999-D999</v>
          </cell>
        </row>
        <row r="1854">
          <cell r="A1854" t="str">
            <v>VDLNN-999-E999</v>
          </cell>
        </row>
        <row r="1855">
          <cell r="A1855" t="str">
            <v>VDLNN-999-S999</v>
          </cell>
        </row>
        <row r="1856">
          <cell r="A1856" t="str">
            <v>VDLNN-999-W999</v>
          </cell>
        </row>
        <row r="1857">
          <cell r="A1857" t="str">
            <v>VDLNU-999-D999</v>
          </cell>
        </row>
        <row r="1858">
          <cell r="A1858" t="str">
            <v>VDLNU-999-E999</v>
          </cell>
        </row>
        <row r="1859">
          <cell r="A1859" t="str">
            <v>VDLNU-999-S999</v>
          </cell>
        </row>
        <row r="1860">
          <cell r="A1860" t="str">
            <v>VDLNU-999-W999</v>
          </cell>
        </row>
        <row r="1861">
          <cell r="A1861" t="str">
            <v>VDNAS-999-9999</v>
          </cell>
        </row>
        <row r="1862">
          <cell r="A1862" t="str">
            <v>VDNWS-999-D999</v>
          </cell>
        </row>
        <row r="1863">
          <cell r="A1863" t="str">
            <v>VDOBL-999-D999</v>
          </cell>
        </row>
        <row r="1864">
          <cell r="A1864" t="str">
            <v>VDOBL-999-E999</v>
          </cell>
        </row>
        <row r="1865">
          <cell r="A1865" t="str">
            <v>VDOBL-999-S999</v>
          </cell>
        </row>
        <row r="1866">
          <cell r="A1866" t="str">
            <v>VDOBL-999-W999</v>
          </cell>
        </row>
        <row r="1867">
          <cell r="A1867" t="str">
            <v>VDOCN-341-9999</v>
          </cell>
        </row>
        <row r="1868">
          <cell r="A1868" t="str">
            <v>VDOCU-341-9999</v>
          </cell>
        </row>
        <row r="1869">
          <cell r="A1869" t="str">
            <v>VDORN-999-D999</v>
          </cell>
        </row>
        <row r="1870">
          <cell r="A1870" t="str">
            <v>VDORN-999-E999</v>
          </cell>
        </row>
        <row r="1871">
          <cell r="A1871" t="str">
            <v>VDORN-999-S999</v>
          </cell>
        </row>
        <row r="1872">
          <cell r="A1872" t="str">
            <v>VDORN-999-W999</v>
          </cell>
        </row>
        <row r="1873">
          <cell r="A1873" t="str">
            <v>VDORU-999-D999</v>
          </cell>
        </row>
        <row r="1874">
          <cell r="A1874" t="str">
            <v>VDORU-999-E999</v>
          </cell>
        </row>
        <row r="1875">
          <cell r="A1875" t="str">
            <v>VDORU-999-S999</v>
          </cell>
        </row>
        <row r="1876">
          <cell r="A1876" t="str">
            <v>VDORU-999-W999</v>
          </cell>
        </row>
        <row r="1877">
          <cell r="A1877" t="str">
            <v>VDSDS-999-9999</v>
          </cell>
        </row>
        <row r="1878">
          <cell r="A1878" t="str">
            <v>VDSPN-999-D999</v>
          </cell>
        </row>
        <row r="1879">
          <cell r="A1879" t="str">
            <v>VDSPN-999-E999</v>
          </cell>
        </row>
        <row r="1880">
          <cell r="A1880" t="str">
            <v>VDSPN-999-S999</v>
          </cell>
        </row>
        <row r="1881">
          <cell r="A1881" t="str">
            <v>VDSPN-999-W999</v>
          </cell>
        </row>
        <row r="1882">
          <cell r="A1882" t="str">
            <v>VDSPU-999-D999</v>
          </cell>
        </row>
        <row r="1883">
          <cell r="A1883" t="str">
            <v>VDSPU-999-E999</v>
          </cell>
        </row>
        <row r="1884">
          <cell r="A1884" t="str">
            <v>VDSPU-999-S999</v>
          </cell>
        </row>
        <row r="1885">
          <cell r="A1885" t="str">
            <v>VDSPU-999-W999</v>
          </cell>
        </row>
        <row r="1886">
          <cell r="A1886" t="str">
            <v>VDSQN-999-D999</v>
          </cell>
        </row>
        <row r="1887">
          <cell r="A1887" t="str">
            <v>VDSQN-999-E999</v>
          </cell>
        </row>
        <row r="1888">
          <cell r="A1888" t="str">
            <v>VDSQN-999-S999</v>
          </cell>
        </row>
        <row r="1889">
          <cell r="A1889" t="str">
            <v>VDSQN-999-W999</v>
          </cell>
        </row>
        <row r="1890">
          <cell r="A1890" t="str">
            <v>VDSYU-999-D999</v>
          </cell>
        </row>
        <row r="1891">
          <cell r="A1891" t="str">
            <v>VDSYU-999-E999</v>
          </cell>
        </row>
        <row r="1892">
          <cell r="A1892" t="str">
            <v>VDSYU-999-S999</v>
          </cell>
        </row>
        <row r="1893">
          <cell r="A1893" t="str">
            <v>VDSYU-999-W999</v>
          </cell>
        </row>
        <row r="1894">
          <cell r="A1894" t="str">
            <v>VFS-3.2-B</v>
          </cell>
        </row>
        <row r="1895">
          <cell r="A1895" t="str">
            <v>VFSSS-999-D999</v>
          </cell>
        </row>
        <row r="1896">
          <cell r="A1896" t="str">
            <v>VFSSS-999-DEU9</v>
          </cell>
        </row>
        <row r="1897">
          <cell r="A1897" t="str">
            <v>VFSSS-999-E999</v>
          </cell>
        </row>
        <row r="1898">
          <cell r="A1898" t="str">
            <v>VFSSS-999-ESU9</v>
          </cell>
        </row>
        <row r="1899">
          <cell r="A1899" t="str">
            <v>VFSSS-999-S999</v>
          </cell>
        </row>
        <row r="1900">
          <cell r="A1900" t="str">
            <v>VFSSS-999-W999</v>
          </cell>
        </row>
        <row r="1901">
          <cell r="A1901" t="str">
            <v>VFSSS-999-WDU9</v>
          </cell>
        </row>
        <row r="1902">
          <cell r="A1902" t="str">
            <v>VFSTS-304-9999</v>
          </cell>
        </row>
        <row r="1903">
          <cell r="A1903" t="str">
            <v>VFSTS-310-9999</v>
          </cell>
        </row>
        <row r="1904">
          <cell r="A1904" t="str">
            <v>VFSTS-311-9999</v>
          </cell>
        </row>
        <row r="1905">
          <cell r="A1905" t="str">
            <v>VFSTS-311-SWDL</v>
          </cell>
        </row>
        <row r="1906">
          <cell r="A1906" t="str">
            <v>VFSTS-333-9999</v>
          </cell>
        </row>
        <row r="1907">
          <cell r="A1907" t="str">
            <v>VGBSN-999-9999</v>
          </cell>
        </row>
        <row r="1908">
          <cell r="A1908" t="str">
            <v>VGBSU-999-9999</v>
          </cell>
        </row>
        <row r="1909">
          <cell r="A1909" t="str">
            <v>VMEDN-999-D999</v>
          </cell>
        </row>
        <row r="1910">
          <cell r="A1910" t="str">
            <v>VMEDN-999-E999</v>
          </cell>
        </row>
        <row r="1911">
          <cell r="A1911" t="str">
            <v>VMEDN-999-S999</v>
          </cell>
        </row>
        <row r="1912">
          <cell r="A1912" t="str">
            <v>VMEDN-999-W999</v>
          </cell>
        </row>
        <row r="1913">
          <cell r="A1913" t="str">
            <v>VMEDU-999-D999</v>
          </cell>
        </row>
        <row r="1914">
          <cell r="A1914" t="str">
            <v>VMEDU-999-E999</v>
          </cell>
        </row>
        <row r="1915">
          <cell r="A1915" t="str">
            <v>VMEDU-999-S999</v>
          </cell>
        </row>
        <row r="1916">
          <cell r="A1916" t="str">
            <v>VMEDU-999-W999</v>
          </cell>
        </row>
        <row r="1917">
          <cell r="A1917" t="str">
            <v>VNBCS-999-9999</v>
          </cell>
        </row>
        <row r="1918">
          <cell r="A1918" t="str">
            <v>VNBIN-999-9999</v>
          </cell>
        </row>
        <row r="1919">
          <cell r="A1919" t="str">
            <v>VNBLN-999-9999</v>
          </cell>
        </row>
        <row r="1920">
          <cell r="A1920" t="str">
            <v>VNBOR-999-9999</v>
          </cell>
        </row>
        <row r="1921">
          <cell r="A1921" t="str">
            <v>VNBSL-999-9999</v>
          </cell>
        </row>
        <row r="1922">
          <cell r="A1922" t="str">
            <v>VNBSU-341-9999</v>
          </cell>
        </row>
        <row r="1923">
          <cell r="A1923" t="str">
            <v>VNBSU-999-9999</v>
          </cell>
        </row>
        <row r="1924">
          <cell r="A1924" t="str">
            <v>VNBSY-999-9999</v>
          </cell>
        </row>
        <row r="1925">
          <cell r="A1925" t="str">
            <v>VNBUS-999-S999</v>
          </cell>
        </row>
        <row r="1926">
          <cell r="A1926" t="str">
            <v>VNBUU-341-9999</v>
          </cell>
        </row>
        <row r="1927">
          <cell r="A1927" t="str">
            <v>VNDCN-341-9999</v>
          </cell>
        </row>
        <row r="1928">
          <cell r="A1928" t="str">
            <v>VNDCN-999-D999</v>
          </cell>
        </row>
        <row r="1929">
          <cell r="A1929" t="str">
            <v>VNDCN-999-E999</v>
          </cell>
        </row>
        <row r="1930">
          <cell r="A1930" t="str">
            <v>VNDCN-999-S999</v>
          </cell>
        </row>
        <row r="1931">
          <cell r="A1931" t="str">
            <v>VNDCN-999-W999</v>
          </cell>
        </row>
        <row r="1932">
          <cell r="A1932" t="str">
            <v>VNDCU-341-9999</v>
          </cell>
        </row>
        <row r="1933">
          <cell r="A1933" t="str">
            <v>VNDCU-999-D999</v>
          </cell>
        </row>
        <row r="1934">
          <cell r="A1934" t="str">
            <v>VNDCU-999-E999</v>
          </cell>
        </row>
        <row r="1935">
          <cell r="A1935" t="str">
            <v>VNDCU-999-S999</v>
          </cell>
        </row>
        <row r="1936">
          <cell r="A1936" t="str">
            <v>VNDCU-999-W999</v>
          </cell>
        </row>
        <row r="1937">
          <cell r="A1937" t="str">
            <v>VNDTL-999-9999</v>
          </cell>
        </row>
        <row r="1938">
          <cell r="A1938" t="str">
            <v>VNEDS-340-9999</v>
          </cell>
        </row>
        <row r="1939">
          <cell r="A1939" t="str">
            <v>VNEDS-341-9999</v>
          </cell>
        </row>
        <row r="1940">
          <cell r="A1940" t="str">
            <v>VNEIS-340-9999</v>
          </cell>
        </row>
        <row r="1941">
          <cell r="A1941" t="str">
            <v>VNEIS-341-9999</v>
          </cell>
        </row>
        <row r="1942">
          <cell r="A1942" t="str">
            <v>VNEXN-999-9999</v>
          </cell>
        </row>
        <row r="1943">
          <cell r="A1943" t="str">
            <v>VNGCS-999-9999</v>
          </cell>
        </row>
        <row r="1944">
          <cell r="A1944" t="str">
            <v>VNGMN-999-9999</v>
          </cell>
        </row>
        <row r="1945">
          <cell r="A1945" t="str">
            <v>VNGMU-999-9999</v>
          </cell>
        </row>
        <row r="1946">
          <cell r="A1946" t="str">
            <v>VNLNN-999-9999</v>
          </cell>
        </row>
        <row r="1947">
          <cell r="A1947" t="str">
            <v>VNORN-999-9999</v>
          </cell>
        </row>
        <row r="1948">
          <cell r="A1948" t="str">
            <v>VNSQN-999-9999</v>
          </cell>
        </row>
        <row r="1949">
          <cell r="A1949" t="str">
            <v>VP1C9-300-E92S</v>
          </cell>
        </row>
        <row r="1950">
          <cell r="A1950" t="str">
            <v>VP1E9-300-D92S</v>
          </cell>
        </row>
        <row r="1951">
          <cell r="A1951" t="str">
            <v>VP1E9-300-W92S</v>
          </cell>
        </row>
        <row r="1952">
          <cell r="A1952" t="str">
            <v>VP1G9-300-D92S</v>
          </cell>
        </row>
        <row r="1953">
          <cell r="A1953" t="str">
            <v>VP1I9-300-992S</v>
          </cell>
        </row>
        <row r="1954">
          <cell r="A1954" t="str">
            <v>VP1L9-300-S92S</v>
          </cell>
        </row>
        <row r="1955">
          <cell r="A1955" t="str">
            <v>VP1L9-300-W92S</v>
          </cell>
        </row>
        <row r="1956">
          <cell r="A1956" t="str">
            <v>VP1V9-300-S92S</v>
          </cell>
        </row>
        <row r="1957">
          <cell r="A1957" t="str">
            <v>VP1X9-300-E92S</v>
          </cell>
        </row>
        <row r="1958">
          <cell r="A1958" t="str">
            <v>VP1X9-300-S92S</v>
          </cell>
        </row>
        <row r="1959">
          <cell r="A1959" t="str">
            <v>VP1X9-300-W92S</v>
          </cell>
        </row>
        <row r="1960">
          <cell r="A1960" t="str">
            <v>VP1Y9-300-D92S</v>
          </cell>
        </row>
        <row r="1961">
          <cell r="A1961" t="str">
            <v>VP1Y9-300-E92S</v>
          </cell>
        </row>
        <row r="1962">
          <cell r="A1962" t="str">
            <v>VSMAS-999-W999</v>
          </cell>
        </row>
        <row r="1963">
          <cell r="A1963" t="str">
            <v>VSMBS-999-D999</v>
          </cell>
        </row>
        <row r="1964">
          <cell r="A1964" t="str">
            <v>VSMCS-999-E999</v>
          </cell>
        </row>
        <row r="1965">
          <cell r="A1965" t="str">
            <v>VSMDS-999-S999</v>
          </cell>
        </row>
        <row r="1966">
          <cell r="A1966" t="str">
            <v>VSMSU-341-9999</v>
          </cell>
        </row>
        <row r="1967">
          <cell r="A1967" t="str">
            <v>VSSAS-999-D9U9</v>
          </cell>
        </row>
        <row r="1968">
          <cell r="A1968" t="str">
            <v>VSSAS-999-E9U9</v>
          </cell>
        </row>
        <row r="1969">
          <cell r="A1969" t="str">
            <v>VSSAS-999-S9U9</v>
          </cell>
        </row>
        <row r="1970">
          <cell r="A1970" t="str">
            <v>VSSAS-999-W9U9</v>
          </cell>
        </row>
        <row r="1971">
          <cell r="A1971" t="str">
            <v>VT-8.0.1-P</v>
          </cell>
        </row>
        <row r="1972">
          <cell r="A1972" t="str">
            <v>VVMGS-304-9999</v>
          </cell>
        </row>
        <row r="1973">
          <cell r="A1973" t="str">
            <v>VVMGS-311-9999</v>
          </cell>
        </row>
        <row r="1974">
          <cell r="A1974" t="str">
            <v>VVMGS-320-9999</v>
          </cell>
        </row>
        <row r="1975">
          <cell r="A1975" t="str">
            <v>VVMGS-999-D999</v>
          </cell>
        </row>
        <row r="1976">
          <cell r="A1976" t="str">
            <v>VVMGS-999-DEU9</v>
          </cell>
        </row>
        <row r="1977">
          <cell r="A1977" t="str">
            <v>VVMGS-999-E999</v>
          </cell>
        </row>
        <row r="1978">
          <cell r="A1978" t="str">
            <v>VVMGS-999-ESU9</v>
          </cell>
        </row>
        <row r="1979">
          <cell r="A1979" t="str">
            <v>VVMGS-999-S999</v>
          </cell>
        </row>
        <row r="1980">
          <cell r="A1980" t="str">
            <v>VVMGS-999-W999</v>
          </cell>
        </row>
        <row r="1981">
          <cell r="A1981" t="str">
            <v>VVMGS-999-WDU9</v>
          </cell>
        </row>
        <row r="1982">
          <cell r="A1982" t="str">
            <v>VVMGS-9999-MEDIA</v>
          </cell>
        </row>
        <row r="1983">
          <cell r="A1983" t="str">
            <v>VVMT3-304-9999</v>
          </cell>
        </row>
        <row r="1984">
          <cell r="A1984" t="str">
            <v>VVMT3-311-9999</v>
          </cell>
        </row>
        <row r="1985">
          <cell r="A1985" t="str">
            <v>VVMT3-320-9999</v>
          </cell>
        </row>
        <row r="1986">
          <cell r="A1986" t="str">
            <v>VVMT3-9999-LIC</v>
          </cell>
        </row>
        <row r="1987">
          <cell r="A1987" t="str">
            <v>VVSLC-999-9999</v>
          </cell>
        </row>
        <row r="1988">
          <cell r="A1988" t="str">
            <v>VXFSS-340-9999</v>
          </cell>
        </row>
        <row r="1989">
          <cell r="A1989" t="str">
            <v>VXFSS-340-SWDL</v>
          </cell>
        </row>
        <row r="1990">
          <cell r="A1990" t="str">
            <v>VXVMS-320-9999</v>
          </cell>
        </row>
        <row r="1991">
          <cell r="A1991" t="str">
            <v>VXVMS-320-SWDL</v>
          </cell>
        </row>
        <row r="1992">
          <cell r="A1992" t="str">
            <v>WABI-2.2-P</v>
          </cell>
        </row>
        <row r="1993">
          <cell r="A1993" t="str">
            <v>X1018A</v>
          </cell>
        </row>
        <row r="1994">
          <cell r="A1994" t="str">
            <v>X1030A</v>
          </cell>
        </row>
        <row r="1995">
          <cell r="A1995" t="str">
            <v>X1032A</v>
          </cell>
        </row>
        <row r="1996">
          <cell r="A1996" t="str">
            <v>X1033A</v>
          </cell>
        </row>
        <row r="1997">
          <cell r="A1997" t="str">
            <v>X1034A</v>
          </cell>
        </row>
        <row r="1998">
          <cell r="A1998" t="str">
            <v>X1049A</v>
          </cell>
        </row>
        <row r="1999">
          <cell r="A1999" t="str">
            <v>X1059A</v>
          </cell>
        </row>
        <row r="2000">
          <cell r="A2000" t="str">
            <v>X1063A</v>
          </cell>
        </row>
        <row r="2001">
          <cell r="A2001" t="str">
            <v>X1065A</v>
          </cell>
        </row>
        <row r="2002">
          <cell r="A2002" t="str">
            <v>X1071A</v>
          </cell>
        </row>
        <row r="2003">
          <cell r="A2003" t="str">
            <v>X1073A</v>
          </cell>
        </row>
        <row r="2004">
          <cell r="A2004" t="str">
            <v>X1074A</v>
          </cell>
        </row>
        <row r="2005">
          <cell r="A2005" t="str">
            <v>X1080A</v>
          </cell>
        </row>
        <row r="2006">
          <cell r="A2006" t="str">
            <v>X1089A</v>
          </cell>
        </row>
        <row r="2007">
          <cell r="A2007" t="str">
            <v>X1098A</v>
          </cell>
        </row>
        <row r="2008">
          <cell r="A2008" t="str">
            <v>X1099A</v>
          </cell>
        </row>
        <row r="2009">
          <cell r="A2009" t="str">
            <v>X1132A</v>
          </cell>
        </row>
        <row r="2010">
          <cell r="A2010" t="str">
            <v>X1133A</v>
          </cell>
        </row>
        <row r="2011">
          <cell r="A2011" t="str">
            <v>X1134A</v>
          </cell>
        </row>
        <row r="2012">
          <cell r="A2012" t="str">
            <v>X1136A</v>
          </cell>
        </row>
        <row r="2013">
          <cell r="A2013" t="str">
            <v>X1137A</v>
          </cell>
        </row>
        <row r="2014">
          <cell r="A2014" t="str">
            <v>X1138A</v>
          </cell>
        </row>
        <row r="2015">
          <cell r="A2015" t="str">
            <v>X1139A</v>
          </cell>
        </row>
        <row r="2016">
          <cell r="A2016" t="str">
            <v>X1140A</v>
          </cell>
        </row>
        <row r="2017">
          <cell r="A2017" t="str">
            <v>X1141A</v>
          </cell>
        </row>
        <row r="2018">
          <cell r="A2018" t="str">
            <v>X1145A</v>
          </cell>
        </row>
        <row r="2019">
          <cell r="A2019" t="str">
            <v>X1150A</v>
          </cell>
        </row>
        <row r="2020">
          <cell r="A2020" t="str">
            <v>X1151A</v>
          </cell>
        </row>
        <row r="2021">
          <cell r="A2021" t="str">
            <v>X1155A</v>
          </cell>
        </row>
        <row r="2022">
          <cell r="A2022" t="str">
            <v>X1157A</v>
          </cell>
        </row>
        <row r="2023">
          <cell r="A2023" t="str">
            <v>X1158A</v>
          </cell>
        </row>
        <row r="2024">
          <cell r="A2024" t="str">
            <v>X1159A</v>
          </cell>
        </row>
        <row r="2025">
          <cell r="A2025" t="str">
            <v>X1184A</v>
          </cell>
        </row>
        <row r="2026">
          <cell r="A2026" t="str">
            <v>X1186A</v>
          </cell>
        </row>
        <row r="2027">
          <cell r="A2027" t="str">
            <v>X1192A</v>
          </cell>
        </row>
        <row r="2028">
          <cell r="A2028" t="str">
            <v>X1194A</v>
          </cell>
        </row>
        <row r="2029">
          <cell r="A2029" t="str">
            <v>X1195A</v>
          </cell>
        </row>
        <row r="2030">
          <cell r="A2030" t="str">
            <v>X1197A</v>
          </cell>
        </row>
        <row r="2031">
          <cell r="A2031" t="str">
            <v>X1204</v>
          </cell>
        </row>
        <row r="2032">
          <cell r="A2032" t="str">
            <v>X1208</v>
          </cell>
        </row>
        <row r="2033">
          <cell r="A2033" t="str">
            <v>X1212</v>
          </cell>
        </row>
        <row r="2034">
          <cell r="A2034" t="str">
            <v>X1232A</v>
          </cell>
        </row>
        <row r="2035">
          <cell r="A2035" t="str">
            <v>X1234A</v>
          </cell>
        </row>
        <row r="2036">
          <cell r="A2036" t="str">
            <v>X1261A</v>
          </cell>
        </row>
        <row r="2037">
          <cell r="A2037" t="str">
            <v>X1266A</v>
          </cell>
        </row>
        <row r="2038">
          <cell r="A2038" t="str">
            <v>X1268A</v>
          </cell>
        </row>
        <row r="2039">
          <cell r="A2039" t="str">
            <v>X1311A</v>
          </cell>
        </row>
        <row r="2040">
          <cell r="A2040" t="str">
            <v>X1312A</v>
          </cell>
        </row>
        <row r="2041">
          <cell r="A2041" t="str">
            <v>X1403A</v>
          </cell>
        </row>
        <row r="2042">
          <cell r="A2042" t="str">
            <v>X1404A</v>
          </cell>
        </row>
        <row r="2043">
          <cell r="A2043" t="str">
            <v>X180A</v>
          </cell>
        </row>
        <row r="2044">
          <cell r="A2044" t="str">
            <v>X180AV4</v>
          </cell>
        </row>
        <row r="2045">
          <cell r="A2045" t="str">
            <v>X190A</v>
          </cell>
        </row>
        <row r="2046">
          <cell r="A2046" t="str">
            <v>X190AV4</v>
          </cell>
        </row>
        <row r="2047">
          <cell r="A2047" t="str">
            <v>X2069A</v>
          </cell>
        </row>
        <row r="2048">
          <cell r="A2048" t="str">
            <v>X2087A</v>
          </cell>
        </row>
        <row r="2049">
          <cell r="A2049" t="str">
            <v>X2132A</v>
          </cell>
        </row>
        <row r="2050">
          <cell r="A2050" t="str">
            <v>X2156A</v>
          </cell>
        </row>
        <row r="2051">
          <cell r="A2051" t="str">
            <v>X2244A</v>
          </cell>
        </row>
        <row r="2052">
          <cell r="A2052" t="str">
            <v>X2248A</v>
          </cell>
        </row>
        <row r="2053">
          <cell r="A2053" t="str">
            <v>X2550A</v>
          </cell>
        </row>
        <row r="2054">
          <cell r="A2054" t="str">
            <v>X2560A</v>
          </cell>
        </row>
        <row r="2055">
          <cell r="A2055" t="str">
            <v>X2580A</v>
          </cell>
        </row>
        <row r="2056">
          <cell r="A2056" t="str">
            <v>X2590A</v>
          </cell>
        </row>
        <row r="2057">
          <cell r="A2057" t="str">
            <v>X259I-920-9999</v>
          </cell>
        </row>
        <row r="2058">
          <cell r="A2058" t="str">
            <v>X259I-920-99U9</v>
          </cell>
        </row>
        <row r="2059">
          <cell r="A2059" t="str">
            <v>X259S-920-D999</v>
          </cell>
        </row>
        <row r="2060">
          <cell r="A2060" t="str">
            <v>X259S-920-D9U9</v>
          </cell>
        </row>
        <row r="2061">
          <cell r="A2061" t="str">
            <v>X259S-920-W999</v>
          </cell>
        </row>
        <row r="2062">
          <cell r="A2062" t="str">
            <v>X259S-920-W9U9</v>
          </cell>
        </row>
        <row r="2063">
          <cell r="A2063" t="str">
            <v>X25D9-920-9999</v>
          </cell>
        </row>
        <row r="2064">
          <cell r="A2064" t="str">
            <v>X25M9-920-9999</v>
          </cell>
        </row>
        <row r="2065">
          <cell r="A2065" t="str">
            <v>X2602A</v>
          </cell>
        </row>
        <row r="2066">
          <cell r="A2066" t="str">
            <v>X2602A-P62</v>
          </cell>
        </row>
        <row r="2067">
          <cell r="A2067" t="str">
            <v>X2602A-P82</v>
          </cell>
        </row>
        <row r="2068">
          <cell r="A2068" t="str">
            <v>X2602A-P83</v>
          </cell>
        </row>
        <row r="2069">
          <cell r="A2069" t="str">
            <v>X2602A-P84A</v>
          </cell>
        </row>
        <row r="2070">
          <cell r="A2070" t="str">
            <v>X2602A-P85A</v>
          </cell>
        </row>
        <row r="2071">
          <cell r="A2071" t="str">
            <v>X2602A-P92</v>
          </cell>
        </row>
        <row r="2072">
          <cell r="A2072" t="str">
            <v>X2602A-P93</v>
          </cell>
        </row>
        <row r="2073">
          <cell r="A2073" t="str">
            <v>X2602A-P94A</v>
          </cell>
        </row>
        <row r="2074">
          <cell r="A2074" t="str">
            <v>X2602A-P95A</v>
          </cell>
        </row>
        <row r="2075">
          <cell r="A2075" t="str">
            <v>X2612A</v>
          </cell>
        </row>
        <row r="2076">
          <cell r="A2076" t="str">
            <v>X2612A-SS-A</v>
          </cell>
        </row>
        <row r="2077">
          <cell r="A2077" t="str">
            <v>X2622A</v>
          </cell>
        </row>
        <row r="2078">
          <cell r="A2078" t="str">
            <v>X2632A</v>
          </cell>
        </row>
        <row r="2079">
          <cell r="A2079" t="str">
            <v>X2632A-PP-A</v>
          </cell>
        </row>
        <row r="2080">
          <cell r="A2080" t="str">
            <v>X2642A-SG-A</v>
          </cell>
        </row>
        <row r="2081">
          <cell r="A2081" t="str">
            <v>X2652A</v>
          </cell>
        </row>
        <row r="2082">
          <cell r="A2082" t="str">
            <v>X2720A</v>
          </cell>
        </row>
        <row r="2083">
          <cell r="A2083" t="str">
            <v>X2722A</v>
          </cell>
        </row>
        <row r="2084">
          <cell r="A2084" t="str">
            <v>X2730A</v>
          </cell>
        </row>
        <row r="2085">
          <cell r="A2085" t="str">
            <v>X2755A</v>
          </cell>
        </row>
        <row r="2086">
          <cell r="A2086" t="str">
            <v>X2757A</v>
          </cell>
        </row>
        <row r="2087">
          <cell r="A2087" t="str">
            <v>X3098-PACK</v>
          </cell>
        </row>
        <row r="2088">
          <cell r="A2088" t="str">
            <v>X3098-SRL</v>
          </cell>
        </row>
        <row r="2089">
          <cell r="A2089" t="str">
            <v>X311L</v>
          </cell>
        </row>
        <row r="2090">
          <cell r="A2090" t="str">
            <v>X319A</v>
          </cell>
        </row>
        <row r="2091">
          <cell r="A2091" t="str">
            <v>X319YA</v>
          </cell>
        </row>
        <row r="2092">
          <cell r="A2092" t="str">
            <v>X320A</v>
          </cell>
        </row>
        <row r="2093">
          <cell r="A2093" t="str">
            <v>X3256A</v>
          </cell>
        </row>
        <row r="2094">
          <cell r="A2094" t="str">
            <v>X3518A</v>
          </cell>
        </row>
        <row r="2095">
          <cell r="A2095" t="str">
            <v>X3555A</v>
          </cell>
        </row>
        <row r="2096">
          <cell r="A2096" t="str">
            <v>X3668A</v>
          </cell>
        </row>
        <row r="2097">
          <cell r="A2097" t="str">
            <v>X3670A</v>
          </cell>
        </row>
        <row r="2098">
          <cell r="A2098" t="str">
            <v>X3671A</v>
          </cell>
        </row>
        <row r="2099">
          <cell r="A2099" t="str">
            <v>X3678A</v>
          </cell>
        </row>
        <row r="2100">
          <cell r="A2100" t="str">
            <v>X3678A-F</v>
          </cell>
        </row>
        <row r="2101">
          <cell r="A2101" t="str">
            <v>X3679A</v>
          </cell>
        </row>
        <row r="2102">
          <cell r="A2102" t="str">
            <v>X3682A</v>
          </cell>
        </row>
        <row r="2103">
          <cell r="A2103" t="str">
            <v>X3683A</v>
          </cell>
        </row>
        <row r="2104">
          <cell r="A2104" t="str">
            <v>X3684A</v>
          </cell>
        </row>
        <row r="2105">
          <cell r="A2105" t="str">
            <v>X3768A</v>
          </cell>
        </row>
        <row r="2106">
          <cell r="A2106" t="str">
            <v>X3810A</v>
          </cell>
        </row>
        <row r="2107">
          <cell r="A2107" t="str">
            <v>X3825A</v>
          </cell>
        </row>
        <row r="2108">
          <cell r="A2108" t="str">
            <v>X3826A</v>
          </cell>
        </row>
        <row r="2109">
          <cell r="A2109" t="str">
            <v>X3828A</v>
          </cell>
        </row>
        <row r="2110">
          <cell r="A2110" t="str">
            <v>X3829A</v>
          </cell>
        </row>
        <row r="2111">
          <cell r="A2111" t="str">
            <v>X3830A</v>
          </cell>
        </row>
        <row r="2112">
          <cell r="A2112" t="str">
            <v>X3830B</v>
          </cell>
        </row>
        <row r="2113">
          <cell r="A2113" t="str">
            <v>X3831A</v>
          </cell>
        </row>
        <row r="2114">
          <cell r="A2114" t="str">
            <v>X3831B</v>
          </cell>
        </row>
        <row r="2115">
          <cell r="A2115" t="str">
            <v>X3832A</v>
          </cell>
        </row>
        <row r="2116">
          <cell r="A2116" t="str">
            <v>X3836A</v>
          </cell>
        </row>
        <row r="2117">
          <cell r="A2117" t="str">
            <v>X3837A</v>
          </cell>
        </row>
        <row r="2118">
          <cell r="A2118" t="str">
            <v>X3838A</v>
          </cell>
        </row>
        <row r="2119">
          <cell r="A2119" t="str">
            <v>X3839A</v>
          </cell>
        </row>
        <row r="2120">
          <cell r="A2120" t="str">
            <v>X3848A</v>
          </cell>
        </row>
        <row r="2121">
          <cell r="A2121" t="str">
            <v>X3856A</v>
          </cell>
        </row>
        <row r="2122">
          <cell r="A2122" t="str">
            <v>X3857A</v>
          </cell>
        </row>
        <row r="2123">
          <cell r="A2123" t="str">
            <v>X3858A</v>
          </cell>
        </row>
        <row r="2124">
          <cell r="A2124" t="str">
            <v>X3859A</v>
          </cell>
        </row>
        <row r="2125">
          <cell r="A2125" t="str">
            <v>X3860A</v>
          </cell>
        </row>
        <row r="2126">
          <cell r="A2126" t="str">
            <v>X3865A</v>
          </cell>
        </row>
        <row r="2127">
          <cell r="A2127" t="str">
            <v>X3872A</v>
          </cell>
        </row>
        <row r="2128">
          <cell r="A2128" t="str">
            <v>X3875A</v>
          </cell>
        </row>
        <row r="2129">
          <cell r="A2129" t="str">
            <v>X3876A</v>
          </cell>
        </row>
        <row r="2130">
          <cell r="A2130" t="str">
            <v>X3895A</v>
          </cell>
        </row>
        <row r="2131">
          <cell r="A2131" t="str">
            <v>X3901A</v>
          </cell>
        </row>
        <row r="2132">
          <cell r="A2132" t="str">
            <v>X3902A</v>
          </cell>
        </row>
        <row r="2133">
          <cell r="A2133" t="str">
            <v>X3903A</v>
          </cell>
        </row>
        <row r="2134">
          <cell r="A2134" t="str">
            <v>X400-9.0-B</v>
          </cell>
        </row>
        <row r="2135">
          <cell r="A2135" t="str">
            <v>X400-9.0-CSITE</v>
          </cell>
        </row>
        <row r="2136">
          <cell r="A2136" t="str">
            <v>X400-9.0-ES-S</v>
          </cell>
        </row>
        <row r="2137">
          <cell r="A2137" t="str">
            <v>X400-9.0-L10</v>
          </cell>
        </row>
        <row r="2138">
          <cell r="A2138" t="str">
            <v>X400-9.0-MGMT-L</v>
          </cell>
        </row>
        <row r="2139">
          <cell r="A2139" t="str">
            <v>X400-9.0-MIME-L</v>
          </cell>
        </row>
        <row r="2140">
          <cell r="A2140" t="str">
            <v>X400-9.0-SS-S</v>
          </cell>
        </row>
        <row r="2141">
          <cell r="A2141" t="str">
            <v>X4004A</v>
          </cell>
        </row>
        <row r="2142">
          <cell r="A2142" t="str">
            <v>X4005A</v>
          </cell>
        </row>
        <row r="2143">
          <cell r="A2143" t="str">
            <v>X4030A</v>
          </cell>
        </row>
        <row r="2144">
          <cell r="A2144" t="str">
            <v>X4050A</v>
          </cell>
        </row>
        <row r="2145">
          <cell r="A2145" t="str">
            <v>X4340A</v>
          </cell>
        </row>
        <row r="2146">
          <cell r="A2146" t="str">
            <v>X4341A</v>
          </cell>
        </row>
        <row r="2147">
          <cell r="A2147" t="str">
            <v>X4343A</v>
          </cell>
        </row>
        <row r="2148">
          <cell r="A2148" t="str">
            <v>X4344A</v>
          </cell>
        </row>
        <row r="2149">
          <cell r="A2149" t="str">
            <v>X4347A</v>
          </cell>
        </row>
        <row r="2150">
          <cell r="A2150" t="str">
            <v>X4359A</v>
          </cell>
        </row>
        <row r="2151">
          <cell r="A2151" t="str">
            <v>X4525A</v>
          </cell>
        </row>
        <row r="2152">
          <cell r="A2152" t="str">
            <v>X4575A</v>
          </cell>
        </row>
        <row r="2153">
          <cell r="A2153" t="str">
            <v>X4610A</v>
          </cell>
        </row>
        <row r="2154">
          <cell r="A2154" t="str">
            <v>X4615A</v>
          </cell>
        </row>
        <row r="2155">
          <cell r="A2155" t="str">
            <v>X465A</v>
          </cell>
        </row>
        <row r="2156">
          <cell r="A2156" t="str">
            <v>X467A</v>
          </cell>
        </row>
        <row r="2157">
          <cell r="A2157" t="str">
            <v>X471A</v>
          </cell>
        </row>
        <row r="2158">
          <cell r="A2158" t="str">
            <v>X4810A</v>
          </cell>
        </row>
        <row r="2159">
          <cell r="A2159" t="str">
            <v>X4812A</v>
          </cell>
        </row>
        <row r="2160">
          <cell r="A2160" t="str">
            <v>X500-1.0-B</v>
          </cell>
        </row>
        <row r="2161">
          <cell r="A2161" t="str">
            <v>X500-1.0-CSITE</v>
          </cell>
        </row>
        <row r="2162">
          <cell r="A2162" t="str">
            <v>X500-1.0-ES-L</v>
          </cell>
        </row>
        <row r="2163">
          <cell r="A2163" t="str">
            <v>X500-1.0-SS-L</v>
          </cell>
        </row>
        <row r="2164">
          <cell r="A2164" t="str">
            <v>X5010A</v>
          </cell>
        </row>
        <row r="2165">
          <cell r="A2165" t="str">
            <v>X5164A</v>
          </cell>
        </row>
        <row r="2166">
          <cell r="A2166" t="str">
            <v>X5237A</v>
          </cell>
        </row>
        <row r="2167">
          <cell r="A2167" t="str">
            <v>X5238A</v>
          </cell>
        </row>
        <row r="2168">
          <cell r="A2168" t="str">
            <v>X5239A</v>
          </cell>
        </row>
        <row r="2169">
          <cell r="A2169" t="str">
            <v>X5240A</v>
          </cell>
        </row>
        <row r="2170">
          <cell r="A2170" t="str">
            <v>X5241A</v>
          </cell>
        </row>
        <row r="2171">
          <cell r="A2171" t="str">
            <v>X5242A</v>
          </cell>
        </row>
        <row r="2172">
          <cell r="A2172" t="str">
            <v>X5243A</v>
          </cell>
        </row>
        <row r="2173">
          <cell r="A2173" t="str">
            <v>X5244A</v>
          </cell>
        </row>
        <row r="2174">
          <cell r="A2174" t="str">
            <v>X5246A</v>
          </cell>
        </row>
        <row r="2175">
          <cell r="A2175" t="str">
            <v>X5247A</v>
          </cell>
        </row>
        <row r="2176">
          <cell r="A2176" t="str">
            <v>X5248A</v>
          </cell>
        </row>
        <row r="2177">
          <cell r="A2177" t="str">
            <v>X5249A</v>
          </cell>
        </row>
        <row r="2178">
          <cell r="A2178" t="str">
            <v>X5250A</v>
          </cell>
        </row>
        <row r="2179">
          <cell r="A2179" t="str">
            <v>X5880A</v>
          </cell>
        </row>
        <row r="2180">
          <cell r="A2180" t="str">
            <v>X5881A</v>
          </cell>
        </row>
        <row r="2181">
          <cell r="A2181" t="str">
            <v>X5883A</v>
          </cell>
        </row>
        <row r="2182">
          <cell r="A2182" t="str">
            <v>X6004A</v>
          </cell>
        </row>
        <row r="2183">
          <cell r="A2183" t="str">
            <v>X6005A</v>
          </cell>
        </row>
        <row r="2184">
          <cell r="A2184" t="str">
            <v>X6006A</v>
          </cell>
        </row>
        <row r="2185">
          <cell r="A2185" t="str">
            <v>X6167A</v>
          </cell>
        </row>
        <row r="2186">
          <cell r="A2186" t="str">
            <v>X6168A</v>
          </cell>
        </row>
        <row r="2187">
          <cell r="A2187" t="str">
            <v>X6174A</v>
          </cell>
        </row>
        <row r="2188">
          <cell r="A2188" t="str">
            <v>X6175A</v>
          </cell>
        </row>
        <row r="2189">
          <cell r="A2189" t="str">
            <v>X6282A</v>
          </cell>
        </row>
        <row r="2190">
          <cell r="A2190" t="str">
            <v>X6283A</v>
          </cell>
        </row>
        <row r="2191">
          <cell r="A2191" t="str">
            <v>X6286A</v>
          </cell>
        </row>
        <row r="2192">
          <cell r="A2192" t="str">
            <v>X6295A</v>
          </cell>
        </row>
        <row r="2193">
          <cell r="A2193" t="str">
            <v>X6296A</v>
          </cell>
        </row>
        <row r="2194">
          <cell r="A2194" t="str">
            <v>X6540A</v>
          </cell>
        </row>
        <row r="2195">
          <cell r="A2195" t="str">
            <v>X6541A</v>
          </cell>
        </row>
        <row r="2196">
          <cell r="A2196" t="str">
            <v>X6601A</v>
          </cell>
        </row>
        <row r="2197">
          <cell r="A2197" t="str">
            <v>X6713A</v>
          </cell>
        </row>
        <row r="2198">
          <cell r="A2198" t="str">
            <v>X6714A</v>
          </cell>
        </row>
        <row r="2199">
          <cell r="A2199" t="str">
            <v>X6724A</v>
          </cell>
        </row>
        <row r="2200">
          <cell r="A2200" t="str">
            <v>X6727A</v>
          </cell>
        </row>
        <row r="2201">
          <cell r="A2201" t="str">
            <v>X6729A</v>
          </cell>
        </row>
        <row r="2202">
          <cell r="A2202" t="str">
            <v>X6730A</v>
          </cell>
        </row>
        <row r="2203">
          <cell r="A2203" t="str">
            <v>X6731A</v>
          </cell>
        </row>
        <row r="2204">
          <cell r="A2204" t="str">
            <v>X6732A</v>
          </cell>
        </row>
        <row r="2205">
          <cell r="A2205" t="str">
            <v>X6735A</v>
          </cell>
        </row>
        <row r="2206">
          <cell r="A2206" t="str">
            <v>X6737A</v>
          </cell>
        </row>
        <row r="2207">
          <cell r="A2207" t="str">
            <v>X6742A</v>
          </cell>
        </row>
        <row r="2208">
          <cell r="A2208" t="str">
            <v>X6746A</v>
          </cell>
        </row>
        <row r="2209">
          <cell r="A2209" t="str">
            <v>X6748A</v>
          </cell>
        </row>
        <row r="2210">
          <cell r="A2210" t="str">
            <v>X6749A</v>
          </cell>
        </row>
        <row r="2211">
          <cell r="A2211" t="str">
            <v>X6751A</v>
          </cell>
        </row>
        <row r="2212">
          <cell r="A2212" t="str">
            <v>X6755A</v>
          </cell>
        </row>
        <row r="2213">
          <cell r="A2213" t="str">
            <v>X6757A</v>
          </cell>
        </row>
        <row r="2214">
          <cell r="A2214" t="str">
            <v>X6758A</v>
          </cell>
        </row>
        <row r="2215">
          <cell r="A2215" t="str">
            <v>X6760A</v>
          </cell>
        </row>
        <row r="2216">
          <cell r="A2216" t="str">
            <v>X6761A</v>
          </cell>
        </row>
        <row r="2217">
          <cell r="A2217" t="str">
            <v>X6762A</v>
          </cell>
        </row>
        <row r="2218">
          <cell r="A2218" t="str">
            <v>X6799A</v>
          </cell>
        </row>
        <row r="2219">
          <cell r="A2219" t="str">
            <v>X6902A</v>
          </cell>
        </row>
        <row r="2220">
          <cell r="A2220" t="str">
            <v>X6903A</v>
          </cell>
        </row>
        <row r="2221">
          <cell r="A2221" t="str">
            <v>X6904A</v>
          </cell>
        </row>
        <row r="2222">
          <cell r="A2222" t="str">
            <v>X6905A</v>
          </cell>
        </row>
        <row r="2223">
          <cell r="A2223" t="str">
            <v>X6907A</v>
          </cell>
        </row>
        <row r="2224">
          <cell r="A2224" t="str">
            <v>X6912A</v>
          </cell>
        </row>
        <row r="2225">
          <cell r="A2225" t="str">
            <v>X6913A</v>
          </cell>
        </row>
        <row r="2226">
          <cell r="A2226" t="str">
            <v>X6917A</v>
          </cell>
        </row>
        <row r="2227">
          <cell r="A2227" t="str">
            <v>X6919A</v>
          </cell>
        </row>
        <row r="2228">
          <cell r="A2228" t="str">
            <v>X6920A</v>
          </cell>
        </row>
        <row r="2229">
          <cell r="A2229" t="str">
            <v>X6967A</v>
          </cell>
        </row>
        <row r="2230">
          <cell r="A2230" t="str">
            <v>X6971A</v>
          </cell>
        </row>
        <row r="2231">
          <cell r="A2231" t="str">
            <v>X6973A</v>
          </cell>
        </row>
        <row r="2232">
          <cell r="A2232" t="str">
            <v>X6985A</v>
          </cell>
        </row>
        <row r="2233">
          <cell r="A2233" t="str">
            <v>X6986A</v>
          </cell>
        </row>
        <row r="2234">
          <cell r="A2234" t="str">
            <v>X6988A</v>
          </cell>
        </row>
        <row r="2235">
          <cell r="A2235" t="str">
            <v>X6990A</v>
          </cell>
        </row>
        <row r="2236">
          <cell r="A2236" t="str">
            <v>X6991A</v>
          </cell>
        </row>
        <row r="2237">
          <cell r="A2237" t="str">
            <v>X6992A</v>
          </cell>
        </row>
        <row r="2238">
          <cell r="A2238" t="str">
            <v>X6993A</v>
          </cell>
        </row>
        <row r="2239">
          <cell r="A2239" t="str">
            <v>X7000A</v>
          </cell>
        </row>
        <row r="2240">
          <cell r="A2240" t="str">
            <v>X7003A</v>
          </cell>
        </row>
        <row r="2241">
          <cell r="A2241" t="str">
            <v>X7004A</v>
          </cell>
        </row>
        <row r="2242">
          <cell r="A2242" t="str">
            <v>X7005A</v>
          </cell>
        </row>
        <row r="2243">
          <cell r="A2243" t="str">
            <v>X7009A</v>
          </cell>
        </row>
        <row r="2244">
          <cell r="A2244" t="str">
            <v>X7020A</v>
          </cell>
        </row>
        <row r="2245">
          <cell r="A2245" t="str">
            <v>X7023A</v>
          </cell>
        </row>
        <row r="2246">
          <cell r="A2246" t="str">
            <v>X7025A</v>
          </cell>
        </row>
        <row r="2247">
          <cell r="A2247" t="str">
            <v>X7026A</v>
          </cell>
        </row>
        <row r="2248">
          <cell r="A2248" t="str">
            <v>X7037A</v>
          </cell>
        </row>
        <row r="2249">
          <cell r="A2249" t="str">
            <v>X7038A</v>
          </cell>
        </row>
        <row r="2250">
          <cell r="A2250" t="str">
            <v>X7039A</v>
          </cell>
        </row>
        <row r="2251">
          <cell r="A2251" t="str">
            <v>X7040A</v>
          </cell>
        </row>
        <row r="2252">
          <cell r="A2252" t="str">
            <v>X7042A</v>
          </cell>
        </row>
        <row r="2253">
          <cell r="A2253" t="str">
            <v>X7043A</v>
          </cell>
        </row>
        <row r="2254">
          <cell r="A2254" t="str">
            <v>X7044A</v>
          </cell>
        </row>
        <row r="2255">
          <cell r="A2255" t="str">
            <v>X7045A</v>
          </cell>
        </row>
        <row r="2256">
          <cell r="A2256" t="str">
            <v>X7047A</v>
          </cell>
        </row>
        <row r="2257">
          <cell r="A2257" t="str">
            <v>X7050A</v>
          </cell>
        </row>
        <row r="2258">
          <cell r="A2258" t="str">
            <v>X7051A</v>
          </cell>
        </row>
        <row r="2259">
          <cell r="A2259" t="str">
            <v>X7052A</v>
          </cell>
        </row>
        <row r="2260">
          <cell r="A2260" t="str">
            <v>X7053A</v>
          </cell>
        </row>
        <row r="2261">
          <cell r="A2261" t="str">
            <v>X7056A</v>
          </cell>
        </row>
        <row r="2262">
          <cell r="A2262" t="str">
            <v>X7072A</v>
          </cell>
        </row>
        <row r="2263">
          <cell r="A2263" t="str">
            <v>X7074A</v>
          </cell>
        </row>
        <row r="2264">
          <cell r="A2264" t="str">
            <v>X7075A</v>
          </cell>
        </row>
        <row r="2265">
          <cell r="A2265" t="str">
            <v>X7077A</v>
          </cell>
        </row>
        <row r="2266">
          <cell r="A2266" t="str">
            <v>X7085A</v>
          </cell>
        </row>
        <row r="2267">
          <cell r="A2267" t="str">
            <v>X7088A</v>
          </cell>
        </row>
        <row r="2268">
          <cell r="A2268" t="str">
            <v>X7090A</v>
          </cell>
        </row>
        <row r="2269">
          <cell r="A2269" t="str">
            <v>X7091A</v>
          </cell>
        </row>
        <row r="2270">
          <cell r="A2270" t="str">
            <v>X7092A</v>
          </cell>
        </row>
        <row r="2271">
          <cell r="A2271" t="str">
            <v>X7095A</v>
          </cell>
        </row>
        <row r="2272">
          <cell r="A2272" t="str">
            <v>X7098A</v>
          </cell>
        </row>
        <row r="2273">
          <cell r="A2273" t="str">
            <v>X7099A</v>
          </cell>
        </row>
        <row r="2274">
          <cell r="A2274" t="str">
            <v>X7127A</v>
          </cell>
        </row>
        <row r="2275">
          <cell r="A2275" t="str">
            <v>X7134A</v>
          </cell>
        </row>
        <row r="2276">
          <cell r="A2276" t="str">
            <v>X7136A</v>
          </cell>
        </row>
        <row r="2277">
          <cell r="A2277" t="str">
            <v>X7143A</v>
          </cell>
        </row>
        <row r="2278">
          <cell r="A2278" t="str">
            <v>X7146A</v>
          </cell>
        </row>
        <row r="2279">
          <cell r="A2279" t="str">
            <v>X7146A-STH</v>
          </cell>
        </row>
        <row r="2280">
          <cell r="A2280" t="str">
            <v>X7216A</v>
          </cell>
        </row>
        <row r="2281">
          <cell r="A2281" t="str">
            <v>X7217A</v>
          </cell>
        </row>
        <row r="2282">
          <cell r="A2282" t="str">
            <v>X7288A</v>
          </cell>
        </row>
        <row r="2283">
          <cell r="A2283" t="str">
            <v>X901A</v>
          </cell>
        </row>
        <row r="2284">
          <cell r="A2284" t="str">
            <v>X902A</v>
          </cell>
        </row>
        <row r="2285">
          <cell r="A2285" t="str">
            <v>X903A</v>
          </cell>
        </row>
        <row r="2286">
          <cell r="A2286" t="str">
            <v>X904A</v>
          </cell>
        </row>
        <row r="2287">
          <cell r="A2287" t="str">
            <v>X913A</v>
          </cell>
        </row>
        <row r="2288">
          <cell r="A2288" t="str">
            <v>X939A</v>
          </cell>
        </row>
        <row r="2289">
          <cell r="A2289" t="str">
            <v>X948A</v>
          </cell>
        </row>
        <row r="2290">
          <cell r="A2290" t="str">
            <v>X952A</v>
          </cell>
        </row>
        <row r="2291">
          <cell r="A2291" t="str">
            <v>X953A</v>
          </cell>
        </row>
        <row r="2292">
          <cell r="A2292" t="str">
            <v>X954A</v>
          </cell>
        </row>
        <row r="2293">
          <cell r="A2293" t="str">
            <v>X958A</v>
          </cell>
        </row>
        <row r="2294">
          <cell r="A2294" t="str">
            <v>X959A</v>
          </cell>
        </row>
        <row r="2295">
          <cell r="A2295" t="str">
            <v>X9601A</v>
          </cell>
        </row>
        <row r="2296">
          <cell r="A2296" t="str">
            <v>X9602A</v>
          </cell>
        </row>
        <row r="2297">
          <cell r="A2297" t="str">
            <v>X9604A</v>
          </cell>
        </row>
        <row r="2298">
          <cell r="A2298" t="str">
            <v>X9606A</v>
          </cell>
        </row>
        <row r="2299">
          <cell r="A2299" t="str">
            <v>X9620A</v>
          </cell>
        </row>
        <row r="2300">
          <cell r="A2300" t="str">
            <v>X9621A</v>
          </cell>
        </row>
        <row r="2301">
          <cell r="A2301" t="str">
            <v>X9622A</v>
          </cell>
        </row>
        <row r="2302">
          <cell r="A2302" t="str">
            <v>X9623A</v>
          </cell>
        </row>
        <row r="2303">
          <cell r="A2303" t="str">
            <v>X9624A</v>
          </cell>
        </row>
        <row r="2304">
          <cell r="A2304" t="str">
            <v>X9625A</v>
          </cell>
        </row>
        <row r="2305">
          <cell r="A2305" t="str">
            <v>X9626A</v>
          </cell>
        </row>
        <row r="2306">
          <cell r="A2306" t="str">
            <v>X9628A</v>
          </cell>
        </row>
        <row r="2307">
          <cell r="A2307" t="str">
            <v>X9629A</v>
          </cell>
        </row>
        <row r="2308">
          <cell r="A2308" t="str">
            <v>X9630A</v>
          </cell>
        </row>
        <row r="2309">
          <cell r="A2309" t="str">
            <v>X9633A</v>
          </cell>
        </row>
        <row r="2310">
          <cell r="A2310" t="str">
            <v>X9645A</v>
          </cell>
        </row>
        <row r="2311">
          <cell r="A2311" t="str">
            <v>X9647A</v>
          </cell>
        </row>
        <row r="2312">
          <cell r="A2312" t="str">
            <v>X9653A</v>
          </cell>
        </row>
        <row r="2313">
          <cell r="A2313" t="str">
            <v>X9653B</v>
          </cell>
        </row>
        <row r="2314">
          <cell r="A2314" t="str">
            <v>X9654A</v>
          </cell>
        </row>
        <row r="2315">
          <cell r="A2315" t="str">
            <v>X9655A</v>
          </cell>
        </row>
        <row r="2316">
          <cell r="A2316" t="str">
            <v>X9659A</v>
          </cell>
        </row>
        <row r="2317">
          <cell r="A2317" t="str">
            <v>X9660A</v>
          </cell>
        </row>
        <row r="2318">
          <cell r="A2318" t="str">
            <v>X9663A</v>
          </cell>
        </row>
        <row r="2319">
          <cell r="A2319" t="str">
            <v>X9664A</v>
          </cell>
        </row>
        <row r="2320">
          <cell r="A2320" t="str">
            <v>X9665A</v>
          </cell>
        </row>
        <row r="2321">
          <cell r="A2321" t="str">
            <v>X9667A</v>
          </cell>
        </row>
        <row r="2322">
          <cell r="A2322" t="str">
            <v>X9671A</v>
          </cell>
        </row>
        <row r="2323">
          <cell r="A2323" t="str">
            <v>X9673A</v>
          </cell>
        </row>
        <row r="2324">
          <cell r="A2324" t="str">
            <v>X9674A</v>
          </cell>
        </row>
        <row r="2325">
          <cell r="A2325" t="str">
            <v>X9676A</v>
          </cell>
        </row>
        <row r="2326">
          <cell r="A2326" t="str">
            <v>X9677A</v>
          </cell>
        </row>
        <row r="2327">
          <cell r="A2327" t="str">
            <v>X9681A</v>
          </cell>
        </row>
        <row r="2328">
          <cell r="A2328" t="str">
            <v>X9682A</v>
          </cell>
        </row>
        <row r="2329">
          <cell r="A2329" t="str">
            <v>X9683A</v>
          </cell>
        </row>
        <row r="2330">
          <cell r="A2330" t="str">
            <v>X9684A</v>
          </cell>
        </row>
        <row r="2331">
          <cell r="A2331" t="str">
            <v>X9687A</v>
          </cell>
        </row>
        <row r="2332">
          <cell r="A2332" t="str">
            <v>X9689A</v>
          </cell>
        </row>
        <row r="2333">
          <cell r="A2333" t="str">
            <v>X968A</v>
          </cell>
        </row>
        <row r="2334">
          <cell r="A2334" t="str">
            <v>X9690A</v>
          </cell>
        </row>
        <row r="2335">
          <cell r="A2335" t="str">
            <v>X9691A</v>
          </cell>
        </row>
        <row r="2336">
          <cell r="A2336" t="str">
            <v>X9696A</v>
          </cell>
        </row>
        <row r="2337">
          <cell r="A2337" t="str">
            <v>X9699A</v>
          </cell>
        </row>
        <row r="2338">
          <cell r="A2338" t="str">
            <v>X9715A</v>
          </cell>
        </row>
        <row r="2339">
          <cell r="A2339" t="str">
            <v>X9720A</v>
          </cell>
        </row>
        <row r="2340">
          <cell r="A2340" t="str">
            <v>X9721A</v>
          </cell>
        </row>
        <row r="2341">
          <cell r="A2341" t="str">
            <v>X9722A</v>
          </cell>
        </row>
        <row r="2342">
          <cell r="A2342" t="str">
            <v>X9723A</v>
          </cell>
        </row>
        <row r="2343">
          <cell r="A2343" t="str">
            <v>X9724A</v>
          </cell>
        </row>
        <row r="2344">
          <cell r="A2344" t="str">
            <v>X973A</v>
          </cell>
        </row>
        <row r="2345">
          <cell r="A2345" t="str">
            <v>X978A</v>
          </cell>
        </row>
        <row r="2346">
          <cell r="A2346" t="str">
            <v>X979A</v>
          </cell>
        </row>
        <row r="2347">
          <cell r="A2347" t="str">
            <v>X9818A</v>
          </cell>
        </row>
        <row r="2348">
          <cell r="A2348" t="str">
            <v>X9819A</v>
          </cell>
        </row>
        <row r="2349">
          <cell r="A2349" t="str">
            <v>X9820A</v>
          </cell>
        </row>
        <row r="2350">
          <cell r="A2350" t="str">
            <v>X985A</v>
          </cell>
        </row>
        <row r="2351">
          <cell r="A2351" t="str">
            <v>X990G</v>
          </cell>
        </row>
        <row r="2352">
          <cell r="A2352" t="str">
            <v>X991G</v>
          </cell>
        </row>
        <row r="2353">
          <cell r="A2353" t="str">
            <v>X993A</v>
          </cell>
        </row>
        <row r="2354">
          <cell r="A2354" t="str">
            <v>X9940A</v>
          </cell>
        </row>
        <row r="2355">
          <cell r="A2355" t="str">
            <v>X994A</v>
          </cell>
        </row>
        <row r="2356">
          <cell r="A2356" t="str">
            <v>XCPUBD-4049</v>
          </cell>
        </row>
        <row r="2357">
          <cell r="A2357" t="str">
            <v>XCPUBD-F4089</v>
          </cell>
        </row>
        <row r="2358">
          <cell r="A2358" t="str">
            <v>XCPUBD-F4169</v>
          </cell>
        </row>
        <row r="2359">
          <cell r="A2359" t="str">
            <v>XCPUBD-F4329</v>
          </cell>
        </row>
        <row r="2360">
          <cell r="A2360" t="str">
            <v>XRK-F3800</v>
          </cell>
        </row>
        <row r="2361">
          <cell r="A2361" t="str">
            <v>XRK-F3800E</v>
          </cell>
        </row>
        <row r="2362">
          <cell r="A2362" t="str">
            <v>XRK-F4800</v>
          </cell>
        </row>
        <row r="2363">
          <cell r="A2363" t="str">
            <v>XRK-F4810</v>
          </cell>
        </row>
        <row r="2364">
          <cell r="A2364" t="str">
            <v>XT3AES-RH-22-1321</v>
          </cell>
        </row>
        <row r="2365">
          <cell r="A2365" t="str">
            <v>XT3AES-RH-22-655</v>
          </cell>
        </row>
        <row r="2366">
          <cell r="A2366" t="str">
            <v>XT3AES-RH-44-1310</v>
          </cell>
        </row>
        <row r="2367">
          <cell r="A2367" t="str">
            <v>XT3AES-RH-44-2642</v>
          </cell>
        </row>
        <row r="2368">
          <cell r="A2368" t="str">
            <v>XT3AES-RH-88-2620</v>
          </cell>
        </row>
        <row r="2369">
          <cell r="A2369" t="str">
            <v>XT3AES-RH-88-5284</v>
          </cell>
        </row>
        <row r="2370">
          <cell r="A2370" t="str">
            <v>XT3AES-RK-22-1321</v>
          </cell>
        </row>
        <row r="2371">
          <cell r="A2371" t="str">
            <v>XT3AES-RK-22-655</v>
          </cell>
        </row>
        <row r="2372">
          <cell r="A2372" t="str">
            <v>XT3AES-RK-44-1310</v>
          </cell>
        </row>
        <row r="2373">
          <cell r="A2373" t="str">
            <v>XT3AES-RK-44-2642</v>
          </cell>
        </row>
        <row r="2374">
          <cell r="A2374" t="str">
            <v>XT3AES-RK-88-2620</v>
          </cell>
        </row>
        <row r="2375">
          <cell r="A2375" t="str">
            <v>XT3AES-RK-88-5284</v>
          </cell>
        </row>
        <row r="2376">
          <cell r="A2376" t="str">
            <v>XT3AES-RR-22-1321</v>
          </cell>
        </row>
        <row r="2377">
          <cell r="A2377" t="str">
            <v>XT3AES-RR-22-655</v>
          </cell>
        </row>
        <row r="2378">
          <cell r="A2378" t="str">
            <v>XT3AES-RS-22-1321</v>
          </cell>
        </row>
        <row r="2379">
          <cell r="A2379" t="str">
            <v>XT3AES-RS-22-655</v>
          </cell>
        </row>
        <row r="2380">
          <cell r="A2380" t="str">
            <v>XT3AES-RS-88-2620</v>
          </cell>
        </row>
        <row r="2381">
          <cell r="A2381" t="str">
            <v>XT3AES-RS-88-5284</v>
          </cell>
        </row>
        <row r="2382">
          <cell r="A2382" t="str">
            <v>XT3AES-TT-22-1321</v>
          </cell>
        </row>
        <row r="2383">
          <cell r="A2383" t="str">
            <v>XT3AES-TT-22-655</v>
          </cell>
        </row>
        <row r="2384">
          <cell r="A2384" t="str">
            <v>XT3BES-RH-22-1321</v>
          </cell>
        </row>
        <row r="2385">
          <cell r="A2385" t="str">
            <v>XT3BES-RH-22-655</v>
          </cell>
        </row>
        <row r="2386">
          <cell r="A2386" t="str">
            <v>XT3BES-RH-88-2620</v>
          </cell>
        </row>
        <row r="2387">
          <cell r="A2387" t="str">
            <v>XT3BES-RH-88-5284</v>
          </cell>
        </row>
        <row r="2388">
          <cell r="A2388" t="str">
            <v>XT3BES-RK-22-1321</v>
          </cell>
        </row>
        <row r="2389">
          <cell r="A2389" t="str">
            <v>XT3BES-RK-22-655</v>
          </cell>
        </row>
        <row r="2390">
          <cell r="A2390" t="str">
            <v>XT3BES-RK-88-2620</v>
          </cell>
        </row>
        <row r="2391">
          <cell r="A2391" t="str">
            <v>XT3BES-RK-88-5284</v>
          </cell>
        </row>
        <row r="2392">
          <cell r="A2392" t="str">
            <v>XT3BES-RR-22-1321</v>
          </cell>
        </row>
        <row r="2393">
          <cell r="A2393" t="str">
            <v>XT3BES-RR-22-655</v>
          </cell>
        </row>
        <row r="2394">
          <cell r="A2394" t="str">
            <v>XT3BES-RS-22-1321</v>
          </cell>
        </row>
        <row r="2395">
          <cell r="A2395" t="str">
            <v>XT3BES-RS-22-655</v>
          </cell>
        </row>
        <row r="2396">
          <cell r="A2396" t="str">
            <v>XT3BES-RS-88-2620</v>
          </cell>
        </row>
        <row r="2397">
          <cell r="A2397" t="str">
            <v>XT3BES-RS-88-5284</v>
          </cell>
        </row>
        <row r="2398">
          <cell r="A2398" t="str">
            <v>XT3BES-TT-22-1321</v>
          </cell>
        </row>
        <row r="2399">
          <cell r="A2399" t="str">
            <v>XT3BES-TT-22-655</v>
          </cell>
        </row>
        <row r="2400">
          <cell r="A2400" t="str">
            <v>XT3BWG-RR-11-327</v>
          </cell>
        </row>
        <row r="2401">
          <cell r="A2401" t="str">
            <v>XT3BWG-RR-11-660</v>
          </cell>
        </row>
        <row r="2402">
          <cell r="A2402" t="str">
            <v>XT3BWG-TT-11-327</v>
          </cell>
        </row>
        <row r="2403">
          <cell r="A2403" t="str">
            <v>XT3BWG-TT-11-660</v>
          </cell>
        </row>
        <row r="2404">
          <cell r="A2404" t="str">
            <v>XT3WG-RR-11-327</v>
          </cell>
        </row>
        <row r="2405">
          <cell r="A2405" t="str">
            <v>XT3WG-RR-11-660</v>
          </cell>
        </row>
        <row r="2406">
          <cell r="A2406" t="str">
            <v>XT3WG-TT-11-327</v>
          </cell>
        </row>
        <row r="2407">
          <cell r="A2407" t="str">
            <v>XT3WG-TT-11-660</v>
          </cell>
        </row>
        <row r="2408">
          <cell r="A2408" t="str">
            <v>XT8-041-100029-01</v>
          </cell>
        </row>
        <row r="2409">
          <cell r="A2409" t="str">
            <v>XT8-044-100034-01</v>
          </cell>
        </row>
        <row r="2410">
          <cell r="A2410" t="str">
            <v>XT8-044-100040-01</v>
          </cell>
        </row>
        <row r="2411">
          <cell r="A2411" t="str">
            <v>XT8-044-100078-01</v>
          </cell>
        </row>
        <row r="2412">
          <cell r="A2412" t="str">
            <v>XT8-044-100113-01</v>
          </cell>
        </row>
        <row r="2413">
          <cell r="A2413" t="str">
            <v>XT8-044-100132-01</v>
          </cell>
        </row>
        <row r="2414">
          <cell r="A2414" t="str">
            <v>XT8-044-100145-01</v>
          </cell>
        </row>
        <row r="2415">
          <cell r="A2415" t="str">
            <v>XT8-044-100197-01A</v>
          </cell>
        </row>
        <row r="2416">
          <cell r="A2416" t="str">
            <v>XT8-044-100198-01B</v>
          </cell>
        </row>
        <row r="2417">
          <cell r="A2417" t="str">
            <v>XT8-044-100199-01C</v>
          </cell>
        </row>
        <row r="2418">
          <cell r="A2418" t="str">
            <v>XT8-044-100200-01D</v>
          </cell>
        </row>
        <row r="2419">
          <cell r="A2419" t="str">
            <v>XT8-044-100201-01E</v>
          </cell>
        </row>
        <row r="2420">
          <cell r="A2420" t="str">
            <v>XT8-044-100202-01F</v>
          </cell>
        </row>
        <row r="2421">
          <cell r="A2421" t="str">
            <v>XT8-044-100203-01A</v>
          </cell>
        </row>
        <row r="2422">
          <cell r="A2422" t="str">
            <v>XT8-044-100204-01B</v>
          </cell>
        </row>
        <row r="2423">
          <cell r="A2423" t="str">
            <v>XT8-044-100205-01C</v>
          </cell>
        </row>
        <row r="2424">
          <cell r="A2424" t="str">
            <v>XT8-044-100206-01D</v>
          </cell>
        </row>
        <row r="2425">
          <cell r="A2425" t="str">
            <v>XT8-044-100207-01E</v>
          </cell>
        </row>
        <row r="2426">
          <cell r="A2426" t="str">
            <v>XT8-044-100208-01F</v>
          </cell>
        </row>
        <row r="2427">
          <cell r="A2427" t="str">
            <v>XT8-044-100209-01A</v>
          </cell>
        </row>
        <row r="2428">
          <cell r="A2428" t="str">
            <v>XT8-044-100210-01B</v>
          </cell>
        </row>
        <row r="2429">
          <cell r="A2429" t="str">
            <v>XT8-044-100211-01C</v>
          </cell>
        </row>
        <row r="2430">
          <cell r="A2430" t="str">
            <v>XT8-044-100212-01D</v>
          </cell>
        </row>
        <row r="2431">
          <cell r="A2431" t="str">
            <v>XT8-044-100213-01E</v>
          </cell>
        </row>
        <row r="2432">
          <cell r="A2432" t="str">
            <v>XT8-044-100214-01F</v>
          </cell>
        </row>
        <row r="2433">
          <cell r="A2433" t="str">
            <v>XT8-044-100227-01A</v>
          </cell>
        </row>
        <row r="2434">
          <cell r="A2434" t="str">
            <v>XT8-044-100228-01B</v>
          </cell>
        </row>
        <row r="2435">
          <cell r="A2435" t="str">
            <v>XT8-044-100229-01C</v>
          </cell>
        </row>
        <row r="2436">
          <cell r="A2436" t="str">
            <v>XT8-044-100230-01D</v>
          </cell>
        </row>
        <row r="2437">
          <cell r="A2437" t="str">
            <v>XT8-044-100231-01E</v>
          </cell>
        </row>
        <row r="2438">
          <cell r="A2438" t="str">
            <v>XT8-044-100232-01F</v>
          </cell>
        </row>
        <row r="2439">
          <cell r="A2439" t="str">
            <v>XT8-044-100233-01</v>
          </cell>
        </row>
        <row r="2440">
          <cell r="A2440" t="str">
            <v>XT8-044-100234-01</v>
          </cell>
        </row>
        <row r="2441">
          <cell r="A2441" t="str">
            <v>XT8-044-100235-01A</v>
          </cell>
        </row>
        <row r="2442">
          <cell r="A2442" t="str">
            <v>XT8-044-100236-01B</v>
          </cell>
        </row>
        <row r="2443">
          <cell r="A2443" t="str">
            <v>XT8-044-100237-01C</v>
          </cell>
        </row>
        <row r="2444">
          <cell r="A2444" t="str">
            <v>XT8-044-100238-01D</v>
          </cell>
        </row>
        <row r="2445">
          <cell r="A2445" t="str">
            <v>XT8-044-100239-01E</v>
          </cell>
        </row>
        <row r="2446">
          <cell r="A2446" t="str">
            <v>XT8-044-100240-01F</v>
          </cell>
        </row>
        <row r="2447">
          <cell r="A2447" t="str">
            <v>XT8-044-100241-01</v>
          </cell>
        </row>
        <row r="2448">
          <cell r="A2448" t="str">
            <v>XT8-044-100242-01</v>
          </cell>
        </row>
        <row r="2449">
          <cell r="A2449" t="str">
            <v>XT8-044-100243-01A</v>
          </cell>
        </row>
        <row r="2450">
          <cell r="A2450" t="str">
            <v>XT8-044-100244-01B</v>
          </cell>
        </row>
        <row r="2451">
          <cell r="A2451" t="str">
            <v>XT8-044-100245-01C</v>
          </cell>
        </row>
        <row r="2452">
          <cell r="A2452" t="str">
            <v>XT8-044-100246-01D</v>
          </cell>
        </row>
        <row r="2453">
          <cell r="A2453" t="str">
            <v>XT8-044-100247-01E</v>
          </cell>
        </row>
        <row r="2454">
          <cell r="A2454" t="str">
            <v>XT8-044-100248-01F</v>
          </cell>
        </row>
        <row r="2455">
          <cell r="A2455" t="str">
            <v>XT8-044-100249-01</v>
          </cell>
        </row>
        <row r="2456">
          <cell r="A2456" t="str">
            <v>XT8-044-100250-01</v>
          </cell>
        </row>
        <row r="2457">
          <cell r="A2457" t="str">
            <v>XT8-044-100251-01A</v>
          </cell>
        </row>
        <row r="2458">
          <cell r="A2458" t="str">
            <v>XT8-044-100252-01B</v>
          </cell>
        </row>
        <row r="2459">
          <cell r="A2459" t="str">
            <v>XT8-044-100253-01C</v>
          </cell>
        </row>
        <row r="2460">
          <cell r="A2460" t="str">
            <v>XT8-044-100254-01D</v>
          </cell>
        </row>
        <row r="2461">
          <cell r="A2461" t="str">
            <v>XT8-044-100255-01E</v>
          </cell>
        </row>
        <row r="2462">
          <cell r="A2462" t="str">
            <v>XT8-044-100256-01F</v>
          </cell>
        </row>
        <row r="2463">
          <cell r="A2463" t="str">
            <v>XT8-044-100257-01</v>
          </cell>
        </row>
        <row r="2464">
          <cell r="A2464" t="str">
            <v>XT8-044-100258-01</v>
          </cell>
        </row>
        <row r="2465">
          <cell r="A2465" t="str">
            <v>XT8-044-100262-01A</v>
          </cell>
        </row>
        <row r="2466">
          <cell r="A2466" t="str">
            <v>XT8-044-100263-01B</v>
          </cell>
        </row>
        <row r="2467">
          <cell r="A2467" t="str">
            <v>XT8-044-100264-01C</v>
          </cell>
        </row>
        <row r="2468">
          <cell r="A2468" t="str">
            <v>XT8-044-100265-01D</v>
          </cell>
        </row>
        <row r="2469">
          <cell r="A2469" t="str">
            <v>XT8-044-100266-01E</v>
          </cell>
        </row>
        <row r="2470">
          <cell r="A2470" t="str">
            <v>XT8-044-100267-01F</v>
          </cell>
        </row>
        <row r="2471">
          <cell r="A2471" t="str">
            <v>XT8-044-100268-01</v>
          </cell>
        </row>
        <row r="2472">
          <cell r="A2472" t="str">
            <v>XT8-044-100269-01</v>
          </cell>
        </row>
        <row r="2473">
          <cell r="A2473" t="str">
            <v>XT8-044-100273-01</v>
          </cell>
        </row>
        <row r="2474">
          <cell r="A2474" t="str">
            <v>XT8-044-100274-01</v>
          </cell>
        </row>
        <row r="2475">
          <cell r="A2475" t="str">
            <v>XT8-044-100275-01</v>
          </cell>
        </row>
        <row r="2476">
          <cell r="A2476" t="str">
            <v>XT8-044-100276-01</v>
          </cell>
        </row>
        <row r="2477">
          <cell r="A2477" t="str">
            <v>XT8-044-100281-01A</v>
          </cell>
        </row>
        <row r="2478">
          <cell r="A2478" t="str">
            <v>XT8-044-100282-01B</v>
          </cell>
        </row>
        <row r="2479">
          <cell r="A2479" t="str">
            <v>XT8-044-100283-01C</v>
          </cell>
        </row>
        <row r="2480">
          <cell r="A2480" t="str">
            <v>XT8-044-100284-01D</v>
          </cell>
        </row>
        <row r="2481">
          <cell r="A2481" t="str">
            <v>XT8-044-100285-01E</v>
          </cell>
        </row>
        <row r="2482">
          <cell r="A2482" t="str">
            <v>XT8-044-100286-01F</v>
          </cell>
        </row>
        <row r="2483">
          <cell r="A2483" t="str">
            <v>XT8-044-100288-01</v>
          </cell>
        </row>
        <row r="2484">
          <cell r="A2484" t="str">
            <v>XT8-044-100289-01</v>
          </cell>
        </row>
        <row r="2485">
          <cell r="A2485" t="str">
            <v>XT8-044-100310-01G</v>
          </cell>
        </row>
        <row r="2486">
          <cell r="A2486" t="str">
            <v>XT8-044-100311-01G</v>
          </cell>
        </row>
        <row r="2487">
          <cell r="A2487" t="str">
            <v>XT8-044-100312-01G</v>
          </cell>
        </row>
        <row r="2488">
          <cell r="A2488" t="str">
            <v>XT8-044-100314-01G</v>
          </cell>
        </row>
        <row r="2489">
          <cell r="A2489" t="str">
            <v>XT8-044-100315-01G</v>
          </cell>
        </row>
        <row r="2490">
          <cell r="A2490" t="str">
            <v>XT8-044-100316-01G</v>
          </cell>
        </row>
        <row r="2491">
          <cell r="A2491" t="str">
            <v>XT8-044-100317-01G</v>
          </cell>
        </row>
        <row r="2492">
          <cell r="A2492" t="str">
            <v>XT8-044-100318-01G</v>
          </cell>
        </row>
        <row r="2493">
          <cell r="A2493" t="str">
            <v>XT8-044-100319-01G</v>
          </cell>
        </row>
        <row r="2494">
          <cell r="A2494" t="str">
            <v>XT8-044-100330-01</v>
          </cell>
        </row>
        <row r="2495">
          <cell r="A2495" t="str">
            <v>XT8-044-100331-01A</v>
          </cell>
        </row>
        <row r="2496">
          <cell r="A2496" t="str">
            <v>XT8-044-100332-01B</v>
          </cell>
        </row>
        <row r="2497">
          <cell r="A2497" t="str">
            <v>XT8-044-100333-01C</v>
          </cell>
        </row>
        <row r="2498">
          <cell r="A2498" t="str">
            <v>XT8-044-100334-01D</v>
          </cell>
        </row>
        <row r="2499">
          <cell r="A2499" t="str">
            <v>XT8-044-100335-01E</v>
          </cell>
        </row>
        <row r="2500">
          <cell r="A2500" t="str">
            <v>XT8-044-100336-01F</v>
          </cell>
        </row>
        <row r="2501">
          <cell r="A2501" t="str">
            <v>XT8-044-100337-01G</v>
          </cell>
        </row>
        <row r="2502">
          <cell r="A2502" t="str">
            <v>XT8-044-100338-01</v>
          </cell>
        </row>
        <row r="2503">
          <cell r="A2503" t="str">
            <v>XT8-10-004</v>
          </cell>
        </row>
        <row r="2504">
          <cell r="A2504" t="str">
            <v>XT8-10-106</v>
          </cell>
        </row>
        <row r="2505">
          <cell r="A2505" t="str">
            <v>XT8-10-107</v>
          </cell>
        </row>
        <row r="2506">
          <cell r="A2506" t="str">
            <v>XT8-10-112</v>
          </cell>
        </row>
        <row r="2507">
          <cell r="A2507" t="str">
            <v>XT8-10-113</v>
          </cell>
        </row>
        <row r="2508">
          <cell r="A2508" t="str">
            <v>XT8-10-119</v>
          </cell>
        </row>
        <row r="2509">
          <cell r="A2509" t="str">
            <v>XT8-10-130</v>
          </cell>
        </row>
        <row r="2510">
          <cell r="A2510" t="str">
            <v>XT8-10-131</v>
          </cell>
        </row>
        <row r="2511">
          <cell r="A2511" t="str">
            <v>XT8-10-132</v>
          </cell>
        </row>
        <row r="2512">
          <cell r="A2512" t="str">
            <v>XT8-10-138</v>
          </cell>
        </row>
        <row r="2513">
          <cell r="A2513" t="str">
            <v>XT8-10-139</v>
          </cell>
        </row>
        <row r="2514">
          <cell r="A2514" t="str">
            <v>XT8-10-142</v>
          </cell>
        </row>
        <row r="2515">
          <cell r="A2515" t="str">
            <v>XT8-10-143</v>
          </cell>
        </row>
        <row r="2516">
          <cell r="A2516" t="str">
            <v>XT8-1010</v>
          </cell>
        </row>
        <row r="2517">
          <cell r="A2517" t="str">
            <v>XT8-1022</v>
          </cell>
        </row>
        <row r="2518">
          <cell r="A2518" t="str">
            <v>XT8-1023</v>
          </cell>
        </row>
        <row r="2519">
          <cell r="A2519" t="str">
            <v>XT8-1026</v>
          </cell>
        </row>
        <row r="2520">
          <cell r="A2520" t="str">
            <v>XT8-1028</v>
          </cell>
        </row>
        <row r="2521">
          <cell r="A2521" t="str">
            <v>XT8-1029</v>
          </cell>
        </row>
        <row r="2522">
          <cell r="A2522" t="str">
            <v>XT8-1040</v>
          </cell>
        </row>
        <row r="2523">
          <cell r="A2523" t="str">
            <v>XT8-1041</v>
          </cell>
        </row>
        <row r="2524">
          <cell r="A2524" t="str">
            <v>XT8-1042</v>
          </cell>
        </row>
        <row r="2525">
          <cell r="A2525" t="str">
            <v>XT8-1043</v>
          </cell>
        </row>
        <row r="2526">
          <cell r="A2526" t="str">
            <v>XT8-1044</v>
          </cell>
        </row>
        <row r="2527">
          <cell r="A2527" t="str">
            <v>XT8-1045</v>
          </cell>
        </row>
        <row r="2528">
          <cell r="A2528" t="str">
            <v>XT8-1046</v>
          </cell>
        </row>
        <row r="2529">
          <cell r="A2529" t="str">
            <v>XT8-1048</v>
          </cell>
        </row>
        <row r="2530">
          <cell r="A2530" t="str">
            <v>XT8-1049</v>
          </cell>
        </row>
        <row r="2531">
          <cell r="A2531" t="str">
            <v>XT8-1050</v>
          </cell>
        </row>
        <row r="2532">
          <cell r="A2532" t="str">
            <v>XT8-1051</v>
          </cell>
        </row>
        <row r="2533">
          <cell r="A2533" t="str">
            <v>XT8-1052</v>
          </cell>
        </row>
        <row r="2534">
          <cell r="A2534" t="str">
            <v>XT8-106734346PC</v>
          </cell>
        </row>
        <row r="2535">
          <cell r="A2535" t="str">
            <v>XT8-106734353</v>
          </cell>
        </row>
        <row r="2536">
          <cell r="A2536" t="str">
            <v>XT8-106734361</v>
          </cell>
        </row>
        <row r="2537">
          <cell r="A2537" t="str">
            <v>XT8-106734379</v>
          </cell>
        </row>
        <row r="2538">
          <cell r="A2538" t="str">
            <v>XT8-106734387</v>
          </cell>
        </row>
        <row r="2539">
          <cell r="A2539" t="str">
            <v>XT8-106734395</v>
          </cell>
        </row>
        <row r="2540">
          <cell r="A2540" t="str">
            <v>XT8-106734395PC</v>
          </cell>
        </row>
        <row r="2541">
          <cell r="A2541" t="str">
            <v>XT8-106734437</v>
          </cell>
        </row>
        <row r="2542">
          <cell r="A2542" t="str">
            <v>XT8-106734437PC</v>
          </cell>
        </row>
        <row r="2543">
          <cell r="A2543" t="str">
            <v>XT8-154405</v>
          </cell>
        </row>
        <row r="2544">
          <cell r="A2544" t="str">
            <v>XT8-5709605-001</v>
          </cell>
        </row>
        <row r="2545">
          <cell r="A2545" t="str">
            <v>XT8-5710710-001</v>
          </cell>
        </row>
        <row r="2546">
          <cell r="A2546" t="str">
            <v>XT8-594-100M</v>
          </cell>
        </row>
        <row r="2547">
          <cell r="A2547" t="str">
            <v>XT8-594-10M</v>
          </cell>
        </row>
        <row r="2548">
          <cell r="A2548" t="str">
            <v>XT8-594-1M</v>
          </cell>
        </row>
        <row r="2549">
          <cell r="A2549" t="str">
            <v>XT8-594-50M</v>
          </cell>
        </row>
        <row r="2550">
          <cell r="A2550" t="str">
            <v>XT8-6010</v>
          </cell>
        </row>
        <row r="2551">
          <cell r="A2551" t="str">
            <v>XT8-6011</v>
          </cell>
        </row>
        <row r="2552">
          <cell r="A2552" t="str">
            <v>XT8-6012</v>
          </cell>
        </row>
        <row r="2553">
          <cell r="A2553" t="str">
            <v>XT8-6025</v>
          </cell>
        </row>
        <row r="2554">
          <cell r="A2554" t="str">
            <v>XT8-6300</v>
          </cell>
        </row>
        <row r="2555">
          <cell r="A2555" t="str">
            <v>XT8-BR-2402-0013</v>
          </cell>
        </row>
        <row r="2556">
          <cell r="A2556" t="str">
            <v>XT8-BR-2802-0008</v>
          </cell>
        </row>
        <row r="2557">
          <cell r="A2557" t="str">
            <v>XT8-BR-3802-0011</v>
          </cell>
        </row>
        <row r="2558">
          <cell r="A2558" t="str">
            <v>XT8-BR-6400-0000</v>
          </cell>
        </row>
        <row r="2559">
          <cell r="A2559" t="str">
            <v>XT8-DKC-F410I-100</v>
          </cell>
        </row>
        <row r="2560">
          <cell r="A2560" t="str">
            <v>XT8-DKC-F410I-1024</v>
          </cell>
        </row>
        <row r="2561">
          <cell r="A2561" t="str">
            <v>XT8-DKC-F410I-20</v>
          </cell>
        </row>
        <row r="2562">
          <cell r="A2562" t="str">
            <v>XT8-DKC-F410I-4GL</v>
          </cell>
        </row>
        <row r="2563">
          <cell r="A2563" t="str">
            <v>XT8-DKC-F410I-4GS</v>
          </cell>
        </row>
        <row r="2564">
          <cell r="A2564" t="str">
            <v>XT8-DKC-F410I-4ML</v>
          </cell>
        </row>
        <row r="2565">
          <cell r="A2565" t="str">
            <v>XT8-DKC-F410I-4MS</v>
          </cell>
        </row>
        <row r="2566">
          <cell r="A2566" t="str">
            <v>XT8-DKC-F410I-4S</v>
          </cell>
        </row>
        <row r="2567">
          <cell r="A2567" t="str">
            <v>XT8-DKC-F410I-80</v>
          </cell>
        </row>
        <row r="2568">
          <cell r="A2568" t="str">
            <v>XT8-DKC-F410I-8GL</v>
          </cell>
        </row>
        <row r="2569">
          <cell r="A2569" t="str">
            <v>XT8-DKC-F410I-8GS</v>
          </cell>
        </row>
        <row r="2570">
          <cell r="A2570" t="str">
            <v>XT8-DKC-F410I-8GSE</v>
          </cell>
        </row>
        <row r="2571">
          <cell r="A2571" t="str">
            <v>XT8-DKC-F410I-8HSE</v>
          </cell>
        </row>
        <row r="2572">
          <cell r="A2572" t="str">
            <v>XT8-DKC-F410I-8S</v>
          </cell>
        </row>
        <row r="2573">
          <cell r="A2573" t="str">
            <v>XT8-DKC-F410I-L1C</v>
          </cell>
        </row>
        <row r="2574">
          <cell r="A2574" t="str">
            <v>XT8-DKC-F410I-R1C</v>
          </cell>
        </row>
        <row r="2575">
          <cell r="A2575" t="str">
            <v>XT8-DKC-F410I-S256</v>
          </cell>
        </row>
        <row r="2576">
          <cell r="A2576" t="str">
            <v>XT8-DKU-F405I-18J1</v>
          </cell>
        </row>
        <row r="2577">
          <cell r="A2577" t="str">
            <v>XT8-DKU-F405I-18J4</v>
          </cell>
        </row>
        <row r="2578">
          <cell r="A2578" t="str">
            <v>XT8-DKU-F405I-72J1</v>
          </cell>
        </row>
        <row r="2579">
          <cell r="A2579" t="str">
            <v>XT8-DKU-F405I-72J4</v>
          </cell>
        </row>
        <row r="2580">
          <cell r="A2580" t="str">
            <v>XT8-DKU-F405I-B4</v>
          </cell>
        </row>
        <row r="2581">
          <cell r="A2581" t="str">
            <v>XT8-DKU-F405I-EXC</v>
          </cell>
        </row>
        <row r="2582">
          <cell r="A2582" t="str">
            <v>XT8-ED-6064</v>
          </cell>
        </row>
        <row r="2583">
          <cell r="A2583" t="str">
            <v>XT8-FC-512E</v>
          </cell>
        </row>
        <row r="2584">
          <cell r="A2584" t="str">
            <v>XT8-FC-512M</v>
          </cell>
        </row>
        <row r="2585">
          <cell r="A2585" t="str">
            <v>XT8-FC64-1063-N</v>
          </cell>
        </row>
        <row r="2586">
          <cell r="A2586" t="str">
            <v>XT8-FCC-6460-N</v>
          </cell>
        </row>
        <row r="2587">
          <cell r="A2587" t="str">
            <v>XT8-FCE-1473-N</v>
          </cell>
        </row>
        <row r="2588">
          <cell r="A2588" t="str">
            <v>XT8-FCE-6410-N</v>
          </cell>
        </row>
        <row r="2589">
          <cell r="A2589" t="str">
            <v>XT8-FCE-6460-N</v>
          </cell>
        </row>
        <row r="2590">
          <cell r="A2590" t="str">
            <v>XT8-FCE1063-N</v>
          </cell>
        </row>
        <row r="2591">
          <cell r="A2591" t="str">
            <v>XT8-FCE2-6412-N</v>
          </cell>
        </row>
        <row r="2592">
          <cell r="A2592" t="str">
            <v>XT8-FCI-1063-N</v>
          </cell>
        </row>
        <row r="2593">
          <cell r="A2593" t="str">
            <v>XT8-HDS3755</v>
          </cell>
        </row>
        <row r="2594">
          <cell r="A2594" t="str">
            <v>XT8-JZ-050LL025PC</v>
          </cell>
        </row>
        <row r="2595">
          <cell r="A2595" t="str">
            <v>XT8-JZ-050LL050PC</v>
          </cell>
        </row>
        <row r="2596">
          <cell r="A2596" t="str">
            <v>XT8-JZ-050LL100PC</v>
          </cell>
        </row>
        <row r="2597">
          <cell r="A2597" t="str">
            <v>XT8-JZ-050SL025PC</v>
          </cell>
        </row>
        <row r="2598">
          <cell r="A2598" t="str">
            <v>XT8-JZ-050SL050PC</v>
          </cell>
        </row>
        <row r="2599">
          <cell r="A2599" t="str">
            <v>XT8-JZ-050SL100PC</v>
          </cell>
        </row>
        <row r="2600">
          <cell r="A2600" t="str">
            <v>XT8-JZ-050SS002PC</v>
          </cell>
        </row>
        <row r="2601">
          <cell r="A2601" t="str">
            <v>XT8-JZ-050SS005PC</v>
          </cell>
        </row>
        <row r="2602">
          <cell r="A2602" t="str">
            <v>XT8-JZ-050SS010PC</v>
          </cell>
        </row>
        <row r="2603">
          <cell r="A2603" t="str">
            <v>XT8-JZ-050SS013</v>
          </cell>
        </row>
        <row r="2604">
          <cell r="A2604" t="str">
            <v>XT8-JZ-050SS015PC</v>
          </cell>
        </row>
        <row r="2605">
          <cell r="A2605" t="str">
            <v>XT8-JZ-050SS020PC</v>
          </cell>
        </row>
        <row r="2606">
          <cell r="A2606" t="str">
            <v>XT8-JZ-050SS025PC</v>
          </cell>
        </row>
        <row r="2607">
          <cell r="A2607" t="str">
            <v>XT8-JZ-050SS031</v>
          </cell>
        </row>
        <row r="2608">
          <cell r="A2608" t="str">
            <v>XT8-JZ-050SS050PC</v>
          </cell>
        </row>
        <row r="2609">
          <cell r="A2609" t="str">
            <v>XT8-JZ-050SS061</v>
          </cell>
        </row>
        <row r="2610">
          <cell r="A2610" t="str">
            <v>XT8-JZ-050SS100PC</v>
          </cell>
        </row>
        <row r="2611">
          <cell r="A2611" t="str">
            <v>XT8-JZ-050SS122</v>
          </cell>
        </row>
        <row r="2612">
          <cell r="A2612" t="str">
            <v>XT8-SF6000</v>
          </cell>
        </row>
        <row r="2613">
          <cell r="A2613" t="str">
            <v>XT8-SW-200032-01</v>
          </cell>
        </row>
        <row r="2614">
          <cell r="A2614" t="str">
            <v>XT8-SW-228002-01</v>
          </cell>
        </row>
        <row r="2615">
          <cell r="A2615" t="str">
            <v>XT8-SW-228003-01</v>
          </cell>
        </row>
        <row r="2616">
          <cell r="A2616" t="str">
            <v>XT8-SW200007-02</v>
          </cell>
        </row>
        <row r="2617">
          <cell r="A2617" t="str">
            <v>XT8-SW228001-01</v>
          </cell>
        </row>
        <row r="2618">
          <cell r="A2618" t="str">
            <v>XT8-XBR-000011</v>
          </cell>
        </row>
        <row r="2619">
          <cell r="A2619" t="str">
            <v>XT8-XBR-000016</v>
          </cell>
        </row>
        <row r="2620">
          <cell r="A2620" t="str">
            <v>XT8-XBR-000025</v>
          </cell>
        </row>
        <row r="2621">
          <cell r="A2621" t="str">
            <v>XT8-XBR-000052</v>
          </cell>
        </row>
        <row r="2622">
          <cell r="A2622" t="str">
            <v>XT8-XBR-3800ADZ-01</v>
          </cell>
        </row>
        <row r="2623">
          <cell r="A2623" t="str">
            <v>XT8-XBR-3800AWT-01</v>
          </cell>
        </row>
        <row r="2624">
          <cell r="A2624" t="str">
            <v>XT8-XBR-3800EXF-01</v>
          </cell>
        </row>
        <row r="2625">
          <cell r="A2625" t="str">
            <v>XT8-XBR-3800FMB-01</v>
          </cell>
        </row>
        <row r="2626">
          <cell r="A2626" t="str">
            <v>XT8-XBR-3800FWH-01</v>
          </cell>
        </row>
        <row r="2627">
          <cell r="A2627" t="str">
            <v>XT8-XBR-3800NEB-01</v>
          </cell>
        </row>
        <row r="2628">
          <cell r="A2628" t="str">
            <v>XT8-XBR-3800PRF-01</v>
          </cell>
        </row>
        <row r="2629">
          <cell r="A2629" t="str">
            <v>XT8-XBR-3800QLP-01</v>
          </cell>
        </row>
        <row r="2630">
          <cell r="A2630" t="str">
            <v>XT8-XBR-3800RSW-01</v>
          </cell>
        </row>
        <row r="2631">
          <cell r="A2631" t="str">
            <v>XT8-XBR-3800TRK-01</v>
          </cell>
        </row>
        <row r="2632">
          <cell r="A2632" t="str">
            <v>XT8-XBR-3800ULT-01</v>
          </cell>
        </row>
        <row r="2633">
          <cell r="A2633" t="str">
            <v>XT8DKU-F405I-180H1</v>
          </cell>
        </row>
        <row r="2634">
          <cell r="A2634" t="str">
            <v>XT8DKU-F405I-180H4</v>
          </cell>
        </row>
        <row r="2637">
          <cell r="A2637" t="str">
            <v>System Support (Warrayty Upgrade)</v>
          </cell>
        </row>
        <row r="2638">
          <cell r="A2638" t="str">
            <v>W-A36-1P</v>
          </cell>
        </row>
        <row r="2639">
          <cell r="A2639" t="str">
            <v>W-A36-1G</v>
          </cell>
        </row>
        <row r="2640">
          <cell r="A2640" t="str">
            <v>W-A36-1S</v>
          </cell>
        </row>
        <row r="2641">
          <cell r="A2641" t="str">
            <v>W-A28-1P</v>
          </cell>
        </row>
        <row r="2642">
          <cell r="A2642" t="str">
            <v>W-A28-1G</v>
          </cell>
        </row>
        <row r="2643">
          <cell r="A2643" t="str">
            <v>W-A28-1S</v>
          </cell>
        </row>
        <row r="2644">
          <cell r="A2644" t="str">
            <v>W-A14-1P</v>
          </cell>
        </row>
        <row r="2645">
          <cell r="A2645" t="str">
            <v>W-A14-1G</v>
          </cell>
        </row>
        <row r="2646">
          <cell r="A2646" t="str">
            <v>W-A14-1S</v>
          </cell>
        </row>
        <row r="2647">
          <cell r="A2647" t="str">
            <v>W-A21-1P</v>
          </cell>
        </row>
        <row r="2648">
          <cell r="A2648" t="str">
            <v>W-A21-1G</v>
          </cell>
        </row>
        <row r="2649">
          <cell r="A2649" t="str">
            <v>W-A21-1S</v>
          </cell>
        </row>
        <row r="2650">
          <cell r="A2650" t="str">
            <v>W-A22-1P</v>
          </cell>
        </row>
        <row r="2651">
          <cell r="A2651" t="str">
            <v>W-A22-1G</v>
          </cell>
        </row>
        <row r="2652">
          <cell r="A2652" t="str">
            <v>W-A22-1S</v>
          </cell>
        </row>
        <row r="2653">
          <cell r="A2653" t="str">
            <v>W-A23-1P</v>
          </cell>
        </row>
        <row r="2654">
          <cell r="A2654" t="str">
            <v>W-A23-1G</v>
          </cell>
        </row>
        <row r="2655">
          <cell r="A2655" t="str">
            <v>W-A23-1S</v>
          </cell>
        </row>
        <row r="2656">
          <cell r="A2656" t="str">
            <v>W-A27-1P</v>
          </cell>
        </row>
        <row r="2657">
          <cell r="A2657" t="str">
            <v>W-A27-1G</v>
          </cell>
        </row>
        <row r="2658">
          <cell r="A2658" t="str">
            <v>W-A27-1S</v>
          </cell>
        </row>
        <row r="2659">
          <cell r="A2659" t="str">
            <v>W-A30-1P</v>
          </cell>
        </row>
        <row r="2660">
          <cell r="A2660" t="str">
            <v>W-A30-1G</v>
          </cell>
        </row>
        <row r="2661">
          <cell r="A2661" t="str">
            <v>W-A30-1S</v>
          </cell>
        </row>
        <row r="2662">
          <cell r="A2662" t="str">
            <v>W-A30-2P</v>
          </cell>
        </row>
        <row r="2663">
          <cell r="A2663" t="str">
            <v>W-A30-2G</v>
          </cell>
        </row>
        <row r="2664">
          <cell r="A2664" t="str">
            <v>W-A30-2S</v>
          </cell>
        </row>
        <row r="2665">
          <cell r="A2665" t="str">
            <v>W-A30-3P</v>
          </cell>
        </row>
        <row r="2666">
          <cell r="A2666" t="str">
            <v>W-A30-3G</v>
          </cell>
        </row>
        <row r="2667">
          <cell r="A2667" t="str">
            <v>W-A30-3S</v>
          </cell>
        </row>
        <row r="2668">
          <cell r="A2668" t="str">
            <v>W-Netra-ct-400-1P</v>
          </cell>
        </row>
        <row r="2669">
          <cell r="A2669" t="str">
            <v>W-Netra-ct-400-1G</v>
          </cell>
        </row>
        <row r="2670">
          <cell r="A2670" t="str">
            <v>W-Netra-ct-400-1S</v>
          </cell>
        </row>
        <row r="2671">
          <cell r="A2671" t="str">
            <v>W-Netra-ct-800-1P</v>
          </cell>
        </row>
        <row r="2672">
          <cell r="A2672" t="str">
            <v>W-Netra-ct-800-1G</v>
          </cell>
        </row>
        <row r="2673">
          <cell r="A2673" t="str">
            <v>W-Netra-ct-800-1S</v>
          </cell>
        </row>
        <row r="2674">
          <cell r="A2674" t="str">
            <v>W-Netra-ft-1800-1P</v>
          </cell>
        </row>
        <row r="2675">
          <cell r="A2675" t="str">
            <v>W-Netra-ft-1800-1G</v>
          </cell>
        </row>
        <row r="2676">
          <cell r="A2676" t="str">
            <v>W-Netra-ft-1800-1S</v>
          </cell>
        </row>
        <row r="2677">
          <cell r="A2677" t="str">
            <v>W-Netra-S220-1P</v>
          </cell>
        </row>
        <row r="2678">
          <cell r="A2678" t="str">
            <v>W-Netra-S220-1G</v>
          </cell>
        </row>
        <row r="2679">
          <cell r="A2679" t="str">
            <v>W-Netra-S220-1S</v>
          </cell>
        </row>
        <row r="2680">
          <cell r="A2680" t="str">
            <v>W-Netra-stA1000-1P</v>
          </cell>
        </row>
        <row r="2681">
          <cell r="A2681" t="str">
            <v>W-Netra-stA1000-1G</v>
          </cell>
        </row>
        <row r="2682">
          <cell r="A2682" t="str">
            <v>W-Netra-stA1000-1S</v>
          </cell>
        </row>
        <row r="2683">
          <cell r="A2683" t="str">
            <v>W-Netra-stD130-1P</v>
          </cell>
        </row>
        <row r="2684">
          <cell r="A2684" t="str">
            <v>W-Netra-stD130-1G</v>
          </cell>
        </row>
        <row r="2685">
          <cell r="A2685" t="str">
            <v>W-Netra-stD130-1S</v>
          </cell>
        </row>
        <row r="2686">
          <cell r="A2686" t="str">
            <v>W-Netra-t1-1P</v>
          </cell>
        </row>
        <row r="2687">
          <cell r="A2687" t="str">
            <v>W-Netra-t1-1G</v>
          </cell>
        </row>
        <row r="2688">
          <cell r="A2688" t="str">
            <v>W-Netra-t1-1S</v>
          </cell>
        </row>
        <row r="2689">
          <cell r="A2689" t="str">
            <v>W-Netra-t1x5-1P</v>
          </cell>
        </row>
        <row r="2690">
          <cell r="A2690" t="str">
            <v>W-Netra-t1x5-1G</v>
          </cell>
        </row>
        <row r="2691">
          <cell r="A2691" t="str">
            <v>W-Netra-t1x5-1S</v>
          </cell>
        </row>
        <row r="2692">
          <cell r="A2692" t="str">
            <v>W-Netra-t112x-1P</v>
          </cell>
        </row>
        <row r="2693">
          <cell r="A2693" t="str">
            <v>W-Netra-t112x-1G</v>
          </cell>
        </row>
        <row r="2694">
          <cell r="A2694" t="str">
            <v>W-Netra-t112x-1S</v>
          </cell>
        </row>
        <row r="2695">
          <cell r="A2695" t="str">
            <v>W-Netra-stD1000-1P</v>
          </cell>
        </row>
        <row r="2696">
          <cell r="A2696" t="str">
            <v>W-Netra-stD1000-1G</v>
          </cell>
        </row>
        <row r="2697">
          <cell r="A2697" t="str">
            <v>W-Netra-stD1000-1S</v>
          </cell>
        </row>
        <row r="2698">
          <cell r="A2698" t="str">
            <v>W-Netra-t140x-1P</v>
          </cell>
        </row>
        <row r="2699">
          <cell r="A2699" t="str">
            <v>W-Netra-t140x-1G</v>
          </cell>
        </row>
        <row r="2700">
          <cell r="A2700" t="str">
            <v>W-Netra-t140x-1S</v>
          </cell>
        </row>
        <row r="2701">
          <cell r="A2701" t="str">
            <v>W-N21-1P</v>
          </cell>
        </row>
        <row r="2702">
          <cell r="A2702" t="str">
            <v>W-N21-1G</v>
          </cell>
        </row>
        <row r="2703">
          <cell r="A2703" t="str">
            <v>W-N21-1S</v>
          </cell>
        </row>
        <row r="2704">
          <cell r="A2704" t="str">
            <v>W-N19-1P</v>
          </cell>
        </row>
        <row r="2705">
          <cell r="A2705" t="str">
            <v>W-N19-1G</v>
          </cell>
        </row>
        <row r="2706">
          <cell r="A2706" t="str">
            <v>W-N19-1S</v>
          </cell>
        </row>
        <row r="2707">
          <cell r="A2707" t="str">
            <v>W-E450-3P</v>
          </cell>
        </row>
        <row r="2708">
          <cell r="A2708" t="str">
            <v>W-E450-3G</v>
          </cell>
        </row>
        <row r="2709">
          <cell r="A2709" t="str">
            <v>W-E450-3S</v>
          </cell>
        </row>
        <row r="2710">
          <cell r="A2710" t="str">
            <v>W-A21S-1P</v>
          </cell>
        </row>
        <row r="2711">
          <cell r="A2711" t="str">
            <v>W-A21S-1G</v>
          </cell>
        </row>
        <row r="2712">
          <cell r="A2712" t="str">
            <v>W-A21S-1S</v>
          </cell>
        </row>
        <row r="2713">
          <cell r="A2713" t="str">
            <v>W-A22S-1P</v>
          </cell>
        </row>
        <row r="2714">
          <cell r="A2714" t="str">
            <v>W-A22S-1G</v>
          </cell>
        </row>
        <row r="2715">
          <cell r="A2715" t="str">
            <v>W-A22S-1S</v>
          </cell>
        </row>
        <row r="2716">
          <cell r="A2716" t="str">
            <v>W-E220R-3P</v>
          </cell>
        </row>
        <row r="2717">
          <cell r="A2717" t="str">
            <v>W-E220R-3G</v>
          </cell>
        </row>
        <row r="2718">
          <cell r="A2718" t="str">
            <v>W-E220R-3S</v>
          </cell>
        </row>
        <row r="2719">
          <cell r="A2719" t="str">
            <v>W-E250-3P</v>
          </cell>
        </row>
        <row r="2720">
          <cell r="A2720" t="str">
            <v>W-E250-3G</v>
          </cell>
        </row>
        <row r="2721">
          <cell r="A2721" t="str">
            <v>W-E250-3S</v>
          </cell>
        </row>
        <row r="2722">
          <cell r="A2722" t="str">
            <v>W-E420R-3P</v>
          </cell>
        </row>
        <row r="2723">
          <cell r="A2723" t="str">
            <v>W-E420R-3G</v>
          </cell>
        </row>
        <row r="2724">
          <cell r="A2724" t="str">
            <v>W-E420R-3S</v>
          </cell>
        </row>
        <row r="2725">
          <cell r="A2725" t="str">
            <v>W-280R-3P</v>
          </cell>
        </row>
        <row r="2726">
          <cell r="A2726" t="str">
            <v>W-280R-3G</v>
          </cell>
        </row>
        <row r="2727">
          <cell r="A2727" t="str">
            <v>W-280R-3S</v>
          </cell>
        </row>
        <row r="2728">
          <cell r="A2728" t="str">
            <v>W-A30-1P</v>
          </cell>
        </row>
        <row r="2729">
          <cell r="A2729" t="str">
            <v>W-A30-1G</v>
          </cell>
        </row>
        <row r="2730">
          <cell r="A2730" t="str">
            <v>W-A30-1S</v>
          </cell>
        </row>
        <row r="2731">
          <cell r="A2731" t="str">
            <v>W-A30-2P</v>
          </cell>
        </row>
        <row r="2732">
          <cell r="A2732" t="str">
            <v>W-A30-2G</v>
          </cell>
        </row>
        <row r="2733">
          <cell r="A2733" t="str">
            <v>W-A30-2S</v>
          </cell>
        </row>
        <row r="2734">
          <cell r="A2734" t="str">
            <v>W-A30-3P</v>
          </cell>
        </row>
        <row r="2735">
          <cell r="A2735" t="str">
            <v>W-A30-3G</v>
          </cell>
        </row>
        <row r="2736">
          <cell r="A2736" t="str">
            <v>W-A30-3S</v>
          </cell>
        </row>
        <row r="2737">
          <cell r="A2737" t="str">
            <v>W-ENT-SYSBD-1P</v>
          </cell>
        </row>
        <row r="2738">
          <cell r="A2738" t="str">
            <v>W-ENT-SYSBD-1G</v>
          </cell>
        </row>
        <row r="2739">
          <cell r="A2739" t="str">
            <v>W-E3500-1P</v>
          </cell>
        </row>
        <row r="2740">
          <cell r="A2740" t="str">
            <v>W-E3500-1G</v>
          </cell>
        </row>
        <row r="2741">
          <cell r="A2741" t="str">
            <v>W-E4500-1P</v>
          </cell>
        </row>
        <row r="2742">
          <cell r="A2742" t="str">
            <v>W-E4500-1G</v>
          </cell>
        </row>
        <row r="2743">
          <cell r="A2743" t="str">
            <v>W-F3800-1P</v>
          </cell>
        </row>
        <row r="2744">
          <cell r="A2744" t="str">
            <v>W-F3800-1G</v>
          </cell>
        </row>
        <row r="2745">
          <cell r="A2745" t="str">
            <v>W-F3800-3P</v>
          </cell>
        </row>
        <row r="2746">
          <cell r="A2746" t="str">
            <v>W-F3800-3G</v>
          </cell>
        </row>
        <row r="2747">
          <cell r="A2747" t="str">
            <v>W-F4800-1P</v>
          </cell>
        </row>
        <row r="2748">
          <cell r="A2748" t="str">
            <v>W-F4800-1G</v>
          </cell>
        </row>
        <row r="2749">
          <cell r="A2749" t="str">
            <v>W-F4800-3P</v>
          </cell>
        </row>
        <row r="2750">
          <cell r="A2750" t="str">
            <v>W-F4800-3G</v>
          </cell>
        </row>
        <row r="2751">
          <cell r="A2751" t="str">
            <v>W-F4810-1P</v>
          </cell>
        </row>
        <row r="2752">
          <cell r="A2752" t="str">
            <v>W-F4810-1G</v>
          </cell>
        </row>
        <row r="2753">
          <cell r="A2753" t="str">
            <v>W-F4810-3P</v>
          </cell>
        </row>
        <row r="2754">
          <cell r="A2754" t="str">
            <v>W-F4810-3G</v>
          </cell>
        </row>
        <row r="2755">
          <cell r="A2755" t="str">
            <v>W-E5500-1P</v>
          </cell>
        </row>
        <row r="2756">
          <cell r="A2756" t="str">
            <v>W-E5500-1G</v>
          </cell>
        </row>
        <row r="2757">
          <cell r="A2757" t="str">
            <v>W-E6500-1P</v>
          </cell>
        </row>
        <row r="2758">
          <cell r="A2758" t="str">
            <v>W-E6500-1G</v>
          </cell>
        </row>
        <row r="2759">
          <cell r="A2759" t="str">
            <v>W-E10000-1P</v>
          </cell>
        </row>
        <row r="2760">
          <cell r="A2760" t="str">
            <v>W-E10000-SYSBD-1P</v>
          </cell>
        </row>
        <row r="2761">
          <cell r="A2761" t="str">
            <v>W-A21SSP-1P</v>
          </cell>
        </row>
        <row r="2762">
          <cell r="A2762" t="str">
            <v>W-A21SSP-1G</v>
          </cell>
        </row>
        <row r="2763">
          <cell r="A2763" t="str">
            <v>W-A21SSP-1S</v>
          </cell>
        </row>
        <row r="2764">
          <cell r="A2764" t="str">
            <v>W-E1SB-COD-1P</v>
          </cell>
        </row>
        <row r="2765">
          <cell r="A2765" t="str">
            <v>W-E10KTRU1-1P</v>
          </cell>
        </row>
        <row r="2766">
          <cell r="A2766" t="str">
            <v>W-E10KTRU2-1P</v>
          </cell>
        </row>
        <row r="2767">
          <cell r="A2767" t="str">
            <v>W-E10KCEXP-1P</v>
          </cell>
        </row>
        <row r="2768">
          <cell r="A2768" t="str">
            <v>W-CE10KTRU1-1P</v>
          </cell>
        </row>
        <row r="2769">
          <cell r="A2769" t="str">
            <v>W-CE10KTRU2-1P</v>
          </cell>
        </row>
        <row r="2770">
          <cell r="A2770" t="str">
            <v>W-F6800-1P</v>
          </cell>
        </row>
        <row r="2771">
          <cell r="A2771" t="str">
            <v>W-F6800-3P</v>
          </cell>
        </row>
        <row r="2772">
          <cell r="A2772" t="str">
            <v>W-COD-2602-1P</v>
          </cell>
        </row>
        <row r="2773">
          <cell r="A2773" t="str">
            <v>W-COD-2602-1G</v>
          </cell>
        </row>
        <row r="2774">
          <cell r="A2774" t="str">
            <v>W-COD-RTU-2602-1P</v>
          </cell>
        </row>
        <row r="2775">
          <cell r="A2775" t="str">
            <v>W-COD-RTU-2602-1G</v>
          </cell>
        </row>
        <row r="2776">
          <cell r="A2776" t="str">
            <v>W-SYSBD2-1P</v>
          </cell>
        </row>
        <row r="2777">
          <cell r="A2777" t="str">
            <v>W-SYSBD2-1G</v>
          </cell>
        </row>
        <row r="2778">
          <cell r="A2778" t="str">
            <v>W-SYSBD2-3P</v>
          </cell>
        </row>
        <row r="2779">
          <cell r="A2779" t="str">
            <v>W-SYSBD2-3G</v>
          </cell>
        </row>
        <row r="2780">
          <cell r="A2780" t="str">
            <v>W-SYSBD4-1P</v>
          </cell>
        </row>
        <row r="2781">
          <cell r="A2781" t="str">
            <v>W-SYSBD4-1G</v>
          </cell>
        </row>
        <row r="2782">
          <cell r="A2782" t="str">
            <v>W-SYSBD4-3P</v>
          </cell>
        </row>
        <row r="2783">
          <cell r="A2783" t="str">
            <v>W-SYSBD4-3G</v>
          </cell>
        </row>
        <row r="2784">
          <cell r="A2784" t="str">
            <v>W-F68-SYSBD2-1P</v>
          </cell>
        </row>
        <row r="2785">
          <cell r="A2785" t="str">
            <v>W-F68-SYSBD2-3P</v>
          </cell>
        </row>
        <row r="2786">
          <cell r="A2786" t="str">
            <v>W-F68-SYSBD4-1P</v>
          </cell>
        </row>
        <row r="2787">
          <cell r="A2787" t="str">
            <v>W-F68-SYSBD4-3P</v>
          </cell>
        </row>
        <row r="2788">
          <cell r="A2788" t="str">
            <v>W-E10K-COD-1P</v>
          </cell>
        </row>
        <row r="2789">
          <cell r="A2789" t="str">
            <v>W-HPC450-3P</v>
          </cell>
        </row>
        <row r="2790">
          <cell r="A2790" t="str">
            <v>W-HPC450-3G</v>
          </cell>
        </row>
        <row r="2791">
          <cell r="A2791" t="str">
            <v>W-HPC450-3S</v>
          </cell>
        </row>
        <row r="2792">
          <cell r="A2792" t="str">
            <v>W-HPC3500-1P</v>
          </cell>
        </row>
        <row r="2793">
          <cell r="A2793" t="str">
            <v>W-HPC3500-1G</v>
          </cell>
        </row>
        <row r="2794">
          <cell r="A2794" t="str">
            <v>W-HPC4500-1P</v>
          </cell>
        </row>
        <row r="2795">
          <cell r="A2795" t="str">
            <v>W-HPC4500-1G</v>
          </cell>
        </row>
        <row r="2796">
          <cell r="A2796" t="str">
            <v>W-HPC5500-1P</v>
          </cell>
        </row>
        <row r="2797">
          <cell r="A2797" t="str">
            <v>W-HPC5500-1G</v>
          </cell>
        </row>
        <row r="2798">
          <cell r="A2798" t="str">
            <v>W-HPC6500-1P</v>
          </cell>
        </row>
        <row r="2799">
          <cell r="A2799" t="str">
            <v>W-HPC6500-1G</v>
          </cell>
        </row>
        <row r="2800">
          <cell r="A2800" t="str">
            <v>W-HPC10000-1P</v>
          </cell>
        </row>
        <row r="2801">
          <cell r="A2801" t="str">
            <v>W-A1000-2P</v>
          </cell>
        </row>
        <row r="2802">
          <cell r="A2802" t="str">
            <v>W-A1000-2G</v>
          </cell>
        </row>
        <row r="2803">
          <cell r="A2803" t="str">
            <v>W-A1000-2S</v>
          </cell>
        </row>
        <row r="2804">
          <cell r="A2804" t="str">
            <v>W-A1000-CTRBD-2P</v>
          </cell>
        </row>
        <row r="2805">
          <cell r="A2805" t="str">
            <v>W-A1000-CTRBD-2G</v>
          </cell>
        </row>
        <row r="2806">
          <cell r="A2806" t="str">
            <v>W-A1000-CTRBD-2S</v>
          </cell>
        </row>
        <row r="2807">
          <cell r="A2807" t="str">
            <v>W-D1000-2P</v>
          </cell>
        </row>
        <row r="2808">
          <cell r="A2808" t="str">
            <v>W-D1000-2G</v>
          </cell>
        </row>
        <row r="2809">
          <cell r="A2809" t="str">
            <v>W-D1000-2S</v>
          </cell>
        </row>
        <row r="2810">
          <cell r="A2810" t="str">
            <v>W-A3500-2T-2P</v>
          </cell>
        </row>
        <row r="2811">
          <cell r="A2811" t="str">
            <v>W-A3500-2T-2G</v>
          </cell>
        </row>
        <row r="2812">
          <cell r="A2812" t="str">
            <v>W-A3500-2T-2S</v>
          </cell>
        </row>
        <row r="2813">
          <cell r="A2813" t="str">
            <v>W-A3500-5T-2P</v>
          </cell>
        </row>
        <row r="2814">
          <cell r="A2814" t="str">
            <v>W-A3500-5T-2G</v>
          </cell>
        </row>
        <row r="2815">
          <cell r="A2815" t="str">
            <v>W-A3500-5T-2S</v>
          </cell>
        </row>
        <row r="2816">
          <cell r="A2816" t="str">
            <v>W-A3500-7T-2P</v>
          </cell>
        </row>
        <row r="2817">
          <cell r="A2817" t="str">
            <v>W-A3500-7T-2G</v>
          </cell>
        </row>
        <row r="2818">
          <cell r="A2818" t="str">
            <v>W-A3500-7T-2S</v>
          </cell>
        </row>
        <row r="2819">
          <cell r="A2819" t="str">
            <v>W-A3500-15T-2P</v>
          </cell>
        </row>
        <row r="2820">
          <cell r="A2820" t="str">
            <v>W-A3500-15T-2G</v>
          </cell>
        </row>
        <row r="2821">
          <cell r="A2821" t="str">
            <v>W-A3500-15T-2S</v>
          </cell>
        </row>
        <row r="2822">
          <cell r="A2822" t="str">
            <v>W-A3500-CTRL-2P</v>
          </cell>
        </row>
        <row r="2823">
          <cell r="A2823" t="str">
            <v>W-A3500-CTRL-2G</v>
          </cell>
        </row>
        <row r="2824">
          <cell r="A2824" t="str">
            <v>W-A3500-CTRL-2S</v>
          </cell>
        </row>
        <row r="2825">
          <cell r="A2825" t="str">
            <v>W-A5x00-1A-2P</v>
          </cell>
        </row>
        <row r="2826">
          <cell r="A2826" t="str">
            <v>W-A5x00-1A-2G</v>
          </cell>
        </row>
        <row r="2827">
          <cell r="A2827" t="str">
            <v>W-A5x00-1A-2S</v>
          </cell>
        </row>
        <row r="2828">
          <cell r="A2828" t="str">
            <v>W-A5x00-2A-2P</v>
          </cell>
        </row>
        <row r="2829">
          <cell r="A2829" t="str">
            <v>W-A5x00-2A-2G</v>
          </cell>
        </row>
        <row r="2830">
          <cell r="A2830" t="str">
            <v>W-A5x00-2A-2S</v>
          </cell>
        </row>
        <row r="2831">
          <cell r="A2831" t="str">
            <v>W-A5x00-4A-2P</v>
          </cell>
        </row>
        <row r="2832">
          <cell r="A2832" t="str">
            <v>W-A5x00-4A-2G</v>
          </cell>
        </row>
        <row r="2833">
          <cell r="A2833" t="str">
            <v>W-A5x00-4A-2S</v>
          </cell>
        </row>
        <row r="2834">
          <cell r="A2834" t="str">
            <v>W-A5x00-6A-2P</v>
          </cell>
        </row>
        <row r="2835">
          <cell r="A2835" t="str">
            <v>W-A5x00-6A-2G</v>
          </cell>
        </row>
        <row r="2836">
          <cell r="A2836" t="str">
            <v>W-A5x00-6A-2S</v>
          </cell>
        </row>
        <row r="2837">
          <cell r="A2837" t="str">
            <v>WP-A5x00-1A-2P</v>
          </cell>
        </row>
        <row r="2838">
          <cell r="A2838" t="str">
            <v>WP-A5x00-6A-2P</v>
          </cell>
        </row>
        <row r="2839">
          <cell r="A2839" t="str">
            <v>WP-A3500-5T-2P</v>
          </cell>
        </row>
        <row r="2840">
          <cell r="A2840" t="str">
            <v>W-A7000-C-2P</v>
          </cell>
        </row>
        <row r="2841">
          <cell r="A2841" t="str">
            <v>W-A7000-C-2G</v>
          </cell>
        </row>
        <row r="2842">
          <cell r="A2842" t="str">
            <v>W-A7000-C-2S</v>
          </cell>
        </row>
        <row r="2843">
          <cell r="A2843" t="str">
            <v>W-A7000-SP-2P</v>
          </cell>
        </row>
        <row r="2844">
          <cell r="A2844" t="str">
            <v>W-A7000-SP-2G</v>
          </cell>
        </row>
        <row r="2845">
          <cell r="A2845" t="str">
            <v>W-A7000-SP-2S</v>
          </cell>
        </row>
        <row r="2846">
          <cell r="A2846" t="str">
            <v>W-A7000-2EC-2P</v>
          </cell>
        </row>
        <row r="2847">
          <cell r="A2847" t="str">
            <v>W-A7000-2EC-2G</v>
          </cell>
        </row>
        <row r="2848">
          <cell r="A2848" t="str">
            <v>W-A7000-2EC-2S</v>
          </cell>
        </row>
        <row r="2849">
          <cell r="A2849" t="str">
            <v>W-A7000-4EC-2P</v>
          </cell>
        </row>
        <row r="2850">
          <cell r="A2850" t="str">
            <v>W-A7000-4EC-2G</v>
          </cell>
        </row>
        <row r="2851">
          <cell r="A2851" t="str">
            <v>W-A7000-4EC-2S</v>
          </cell>
        </row>
        <row r="2852">
          <cell r="A2852" t="str">
            <v>W-L9-2P</v>
          </cell>
        </row>
        <row r="2853">
          <cell r="A2853" t="str">
            <v>W-L9-2G</v>
          </cell>
        </row>
        <row r="2854">
          <cell r="A2854" t="str">
            <v>W-L9-2S</v>
          </cell>
        </row>
        <row r="2855">
          <cell r="A2855" t="str">
            <v>W-L9VX-2P</v>
          </cell>
        </row>
        <row r="2856">
          <cell r="A2856" t="str">
            <v>W-L9VX-2G</v>
          </cell>
        </row>
        <row r="2857">
          <cell r="A2857" t="str">
            <v>W-L9VX-2S</v>
          </cell>
        </row>
        <row r="2858">
          <cell r="A2858" t="str">
            <v>W-L280-2P</v>
          </cell>
        </row>
        <row r="2859">
          <cell r="A2859" t="str">
            <v>W-L280-2G</v>
          </cell>
        </row>
        <row r="2860">
          <cell r="A2860" t="str">
            <v>W-L280-2S</v>
          </cell>
        </row>
        <row r="2861">
          <cell r="A2861" t="str">
            <v>W-L400-2P</v>
          </cell>
        </row>
        <row r="2862">
          <cell r="A2862" t="str">
            <v>W-L400-2G</v>
          </cell>
        </row>
        <row r="2863">
          <cell r="A2863" t="str">
            <v>W-L400-2S</v>
          </cell>
        </row>
        <row r="2864">
          <cell r="A2864" t="str">
            <v>W-L1000-2P</v>
          </cell>
        </row>
        <row r="2865">
          <cell r="A2865" t="str">
            <v>W-L1000-2G</v>
          </cell>
        </row>
        <row r="2866">
          <cell r="A2866" t="str">
            <v>W-L1000-2S</v>
          </cell>
        </row>
        <row r="2867">
          <cell r="A2867" t="str">
            <v>W-L1800-2P</v>
          </cell>
        </row>
        <row r="2868">
          <cell r="A2868" t="str">
            <v>W-L1800-2G</v>
          </cell>
        </row>
        <row r="2869">
          <cell r="A2869" t="str">
            <v>W-L1800-2S</v>
          </cell>
        </row>
        <row r="2870">
          <cell r="A2870" t="str">
            <v>W-L3500-2P</v>
          </cell>
        </row>
        <row r="2871">
          <cell r="A2871" t="str">
            <v>W-L3500-2G</v>
          </cell>
        </row>
        <row r="2872">
          <cell r="A2872" t="str">
            <v>W-L3500-2S</v>
          </cell>
        </row>
        <row r="2873">
          <cell r="A2873" t="str">
            <v>W-L11000-4D-2P</v>
          </cell>
        </row>
        <row r="2874">
          <cell r="A2874" t="str">
            <v>W-L11000-4D-2G</v>
          </cell>
        </row>
        <row r="2875">
          <cell r="A2875" t="str">
            <v>W-L11000-4D-2S</v>
          </cell>
        </row>
        <row r="2876">
          <cell r="A2876" t="str">
            <v>W-L11000-16D-2P</v>
          </cell>
        </row>
        <row r="2877">
          <cell r="A2877" t="str">
            <v>W-L11000-16D-2G</v>
          </cell>
        </row>
        <row r="2878">
          <cell r="A2878" t="str">
            <v>W-L11000-16D-2S</v>
          </cell>
        </row>
        <row r="2879">
          <cell r="A2879" t="str">
            <v>W-L11000-2UPG-2P</v>
          </cell>
        </row>
        <row r="2880">
          <cell r="A2880" t="str">
            <v>W-L11000-2UPG-2G</v>
          </cell>
        </row>
        <row r="2881">
          <cell r="A2881" t="str">
            <v>W-L11000-2UPG-2S</v>
          </cell>
        </row>
        <row r="2882">
          <cell r="A2882" t="str">
            <v>W-T300-WG-2P</v>
          </cell>
        </row>
        <row r="2883">
          <cell r="A2883" t="str">
            <v>W-T300-WG-2G</v>
          </cell>
        </row>
        <row r="2884">
          <cell r="A2884" t="str">
            <v>W-T300-WG-2S</v>
          </cell>
        </row>
        <row r="2885">
          <cell r="A2885" t="str">
            <v>W-L700BASE-1P</v>
          </cell>
        </row>
        <row r="2886">
          <cell r="A2886" t="str">
            <v>W-L700BASE-1G</v>
          </cell>
        </row>
        <row r="2887">
          <cell r="A2887" t="str">
            <v>W-L700BASE-1S</v>
          </cell>
        </row>
        <row r="2888">
          <cell r="A2888" t="str">
            <v>W-L7002T-WR-1P</v>
          </cell>
        </row>
        <row r="2889">
          <cell r="A2889" t="str">
            <v>W-L7002T-WR-1G</v>
          </cell>
        </row>
        <row r="2890">
          <cell r="A2890" t="str">
            <v>W-L7002T-WR-1S</v>
          </cell>
        </row>
        <row r="2891">
          <cell r="A2891" t="str">
            <v>W-L7002CAP-1P</v>
          </cell>
        </row>
        <row r="2892">
          <cell r="A2892" t="str">
            <v>W-L7002CAP-1G</v>
          </cell>
        </row>
        <row r="2893">
          <cell r="A2893" t="str">
            <v>W-L7002CAP-1S</v>
          </cell>
        </row>
        <row r="2894">
          <cell r="A2894" t="str">
            <v>W-L700DRV-1P</v>
          </cell>
        </row>
        <row r="2895">
          <cell r="A2895" t="str">
            <v>W-L700DRV-1G</v>
          </cell>
        </row>
        <row r="2896">
          <cell r="A2896" t="str">
            <v>W-L700DRV-1S</v>
          </cell>
        </row>
        <row r="2897">
          <cell r="A2897" t="str">
            <v>W-L20-60C-2P</v>
          </cell>
        </row>
        <row r="2898">
          <cell r="A2898" t="str">
            <v>W-L20-60C-2G</v>
          </cell>
        </row>
        <row r="2899">
          <cell r="A2899" t="str">
            <v>W-L20-60C-2S</v>
          </cell>
        </row>
        <row r="2900">
          <cell r="A2900" t="str">
            <v>WH-L20-60C-2P</v>
          </cell>
        </row>
        <row r="2901">
          <cell r="A2901" t="str">
            <v>WH-L20-60C-2G</v>
          </cell>
        </row>
        <row r="2902">
          <cell r="A2902" t="str">
            <v>WH-L20-60C-2S</v>
          </cell>
        </row>
        <row r="2903">
          <cell r="A2903" t="str">
            <v>W-L20-20C-2P</v>
          </cell>
        </row>
        <row r="2904">
          <cell r="A2904" t="str">
            <v>W-L20-20C-2G</v>
          </cell>
        </row>
        <row r="2905">
          <cell r="A2905" t="str">
            <v>W-L20-20C-2S</v>
          </cell>
        </row>
        <row r="2906">
          <cell r="A2906" t="str">
            <v>WH-L20-20C-2P</v>
          </cell>
        </row>
        <row r="2907">
          <cell r="A2907" t="str">
            <v>WH-L20-20C-2G</v>
          </cell>
        </row>
        <row r="2908">
          <cell r="A2908" t="str">
            <v>WH-L20-20C-2S</v>
          </cell>
        </row>
        <row r="2909">
          <cell r="A2909" t="str">
            <v>W-L20-40C-2P</v>
          </cell>
        </row>
        <row r="2910">
          <cell r="A2910" t="str">
            <v>W-L20-40C-2G</v>
          </cell>
        </row>
        <row r="2911">
          <cell r="A2911" t="str">
            <v>W-L20-40C-2S</v>
          </cell>
        </row>
        <row r="2912">
          <cell r="A2912" t="str">
            <v>WH-L20-40C-2P</v>
          </cell>
        </row>
        <row r="2913">
          <cell r="A2913" t="str">
            <v>WH-L20-40C-2G</v>
          </cell>
        </row>
        <row r="2914">
          <cell r="A2914" t="str">
            <v>WH-L20-40C-2S</v>
          </cell>
        </row>
        <row r="2915">
          <cell r="A2915" t="str">
            <v>W-L20-DLT-2P</v>
          </cell>
        </row>
        <row r="2916">
          <cell r="A2916" t="str">
            <v>W-L20-DLT-2G</v>
          </cell>
        </row>
        <row r="2917">
          <cell r="A2917" t="str">
            <v>W-L20-DLT-2S</v>
          </cell>
        </row>
        <row r="2918">
          <cell r="A2918" t="str">
            <v>WH-L20-DLT-2P</v>
          </cell>
        </row>
        <row r="2919">
          <cell r="A2919" t="str">
            <v>WH-L20-DLT-2G</v>
          </cell>
        </row>
        <row r="2920">
          <cell r="A2920" t="str">
            <v>WH-L20-DLT-2S</v>
          </cell>
        </row>
        <row r="2921">
          <cell r="A2921" t="str">
            <v>W-L20BVX22-1P</v>
          </cell>
        </row>
        <row r="2922">
          <cell r="A2922" t="str">
            <v>W-L20BVX22-1G</v>
          </cell>
        </row>
        <row r="2923">
          <cell r="A2923" t="str">
            <v>W-L20BVX22-1S</v>
          </cell>
        </row>
        <row r="2924">
          <cell r="A2924" t="str">
            <v>W-L180-Base-1P</v>
          </cell>
        </row>
        <row r="2925">
          <cell r="A2925" t="str">
            <v>W-L180-Base-1G</v>
          </cell>
        </row>
        <row r="2926">
          <cell r="A2926" t="str">
            <v>W-L180-Base-1S</v>
          </cell>
        </row>
        <row r="2927">
          <cell r="A2927" t="str">
            <v>W-L180-Cexp-1P</v>
          </cell>
        </row>
        <row r="2928">
          <cell r="A2928" t="str">
            <v>W-L180-Cexp-1G</v>
          </cell>
        </row>
        <row r="2929">
          <cell r="A2929" t="str">
            <v>W-L180-Cexp-1S</v>
          </cell>
        </row>
        <row r="2930">
          <cell r="A2930" t="str">
            <v>W-L180-9840-1P</v>
          </cell>
        </row>
        <row r="2931">
          <cell r="A2931" t="str">
            <v>W-L180-9840-1G</v>
          </cell>
        </row>
        <row r="2932">
          <cell r="A2932" t="str">
            <v>W-L180-9840-1S</v>
          </cell>
        </row>
        <row r="2933">
          <cell r="A2933" t="str">
            <v>W-L180-DLT7-1P</v>
          </cell>
        </row>
        <row r="2934">
          <cell r="A2934" t="str">
            <v>W-L180-DLT7-1G</v>
          </cell>
        </row>
        <row r="2935">
          <cell r="A2935" t="str">
            <v>W-L180-DLT7-1S</v>
          </cell>
        </row>
        <row r="2936">
          <cell r="A2936" t="str">
            <v>W-L700BASE2-1P</v>
          </cell>
        </row>
        <row r="2937">
          <cell r="A2937" t="str">
            <v>W-L700BASE2-1G</v>
          </cell>
        </row>
        <row r="2938">
          <cell r="A2938" t="str">
            <v>W-L700BASE2-1S</v>
          </cell>
        </row>
        <row r="2939">
          <cell r="A2939" t="str">
            <v>WH-L700BASE2-1P</v>
          </cell>
        </row>
        <row r="2940">
          <cell r="A2940" t="str">
            <v>WH-L700BASE2-1G</v>
          </cell>
        </row>
        <row r="2941">
          <cell r="A2941" t="str">
            <v>WH-L700BASE2-1S</v>
          </cell>
        </row>
        <row r="2942">
          <cell r="A2942" t="str">
            <v>W-L7002CAP-1P</v>
          </cell>
        </row>
        <row r="2943">
          <cell r="A2943" t="str">
            <v>W-L7002CAP-1G</v>
          </cell>
        </row>
        <row r="2944">
          <cell r="A2944" t="str">
            <v>W-L7002CAP-1S</v>
          </cell>
        </row>
        <row r="2945">
          <cell r="A2945" t="str">
            <v>W-L7002TWR-1P</v>
          </cell>
        </row>
        <row r="2946">
          <cell r="A2946" t="str">
            <v>W-L7002TWR-1G</v>
          </cell>
        </row>
        <row r="2947">
          <cell r="A2947" t="str">
            <v>W-L7002TWR-1S</v>
          </cell>
        </row>
        <row r="2948">
          <cell r="A2948" t="str">
            <v>W-L700DRV-1P</v>
          </cell>
        </row>
        <row r="2949">
          <cell r="A2949" t="str">
            <v>W-L700DRV-1G</v>
          </cell>
        </row>
        <row r="2950">
          <cell r="A2950" t="str">
            <v>W-L700DRV-1S</v>
          </cell>
        </row>
        <row r="2951">
          <cell r="A2951" t="str">
            <v>W-T3FLR-3P</v>
          </cell>
        </row>
        <row r="2952">
          <cell r="A2952" t="str">
            <v>W-T3FLR-3G</v>
          </cell>
        </row>
        <row r="2953">
          <cell r="A2953" t="str">
            <v>W-T3FLR-3S</v>
          </cell>
        </row>
        <row r="2954">
          <cell r="A2954" t="str">
            <v>W-A31-TCF-STR-3S</v>
          </cell>
        </row>
        <row r="2955">
          <cell r="A2955" t="str">
            <v>W-N8200-L-3P</v>
          </cell>
        </row>
        <row r="2956">
          <cell r="A2956" t="str">
            <v>W-N8200-L-3G</v>
          </cell>
        </row>
        <row r="2957">
          <cell r="A2957" t="str">
            <v>W-N8200-L-3S</v>
          </cell>
        </row>
        <row r="2958">
          <cell r="A2958" t="str">
            <v>W-N8200-H-3P</v>
          </cell>
        </row>
        <row r="2959">
          <cell r="A2959" t="str">
            <v>W-N8200-H-3G</v>
          </cell>
        </row>
        <row r="2960">
          <cell r="A2960" t="str">
            <v>W-N8200-H-3S</v>
          </cell>
        </row>
        <row r="2961">
          <cell r="A2961" t="str">
            <v>W-FCS-A35-2P</v>
          </cell>
        </row>
        <row r="2962">
          <cell r="A2962" t="str">
            <v>W-FCSW16P-2P</v>
          </cell>
        </row>
        <row r="2963">
          <cell r="A2963" t="str">
            <v>W-T3WG-2P</v>
          </cell>
        </row>
        <row r="2964">
          <cell r="A2964" t="str">
            <v>W-T3WG-2G</v>
          </cell>
        </row>
        <row r="2965">
          <cell r="A2965" t="str">
            <v>W-T3WG-2S</v>
          </cell>
        </row>
        <row r="2966">
          <cell r="A2966" t="str">
            <v>W-T3ES-2A-1P</v>
          </cell>
        </row>
        <row r="2967">
          <cell r="A2967" t="str">
            <v>W-T3ES-2A-2P</v>
          </cell>
        </row>
        <row r="2968">
          <cell r="A2968" t="str">
            <v>W-T3ES-2A-3P</v>
          </cell>
        </row>
        <row r="2969">
          <cell r="A2969" t="str">
            <v>W-T3ES-4A-2P</v>
          </cell>
        </row>
        <row r="2970">
          <cell r="A2970" t="str">
            <v>W-T3ES-8A-2P</v>
          </cell>
        </row>
        <row r="2971">
          <cell r="A2971" t="str">
            <v>W-T3X2S8-2P</v>
          </cell>
        </row>
        <row r="2972">
          <cell r="A2972" t="str">
            <v>W-T3X8S8-2P</v>
          </cell>
        </row>
        <row r="2973">
          <cell r="A2973" t="str">
            <v>W-SCI-S WT-1P</v>
          </cell>
        </row>
        <row r="2974">
          <cell r="A2974" t="str">
            <v>W-SCI-S WT-1G</v>
          </cell>
        </row>
        <row r="2975">
          <cell r="A2975" t="str">
            <v>W-SCI-S WT-1S</v>
          </cell>
        </row>
        <row r="2976">
          <cell r="A2976" t="str">
            <v>W-VECTOR-S WT-1P</v>
          </cell>
        </row>
        <row r="2977">
          <cell r="A2977" t="str">
            <v>W-VECTOR-S WT-1G</v>
          </cell>
        </row>
        <row r="2978">
          <cell r="A2978" t="str">
            <v>W-VECTOR-S WT-1S</v>
          </cell>
        </row>
        <row r="2979">
          <cell r="A2979" t="str">
            <v>W-A31-TCF-BAS-3P</v>
          </cell>
        </row>
        <row r="2980">
          <cell r="A2980" t="str">
            <v>W-A31-TCF-BAS-3G</v>
          </cell>
        </row>
        <row r="2981">
          <cell r="A2981" t="str">
            <v>W-A31-TCF-BAS-3S</v>
          </cell>
        </row>
        <row r="2982">
          <cell r="A2982" t="str">
            <v>W-A31-TCF-2WY-3P</v>
          </cell>
        </row>
        <row r="2983">
          <cell r="A2983" t="str">
            <v>W-A31-TCF-2WY-3G</v>
          </cell>
        </row>
        <row r="2984">
          <cell r="A2984" t="str">
            <v>W-A31-TCF-2WY-3S</v>
          </cell>
        </row>
        <row r="2985">
          <cell r="A2985" t="str">
            <v>W-A31-TCF-4WY-3P</v>
          </cell>
        </row>
        <row r="2986">
          <cell r="A2986" t="str">
            <v>W-A31-TCF-4WY-3G</v>
          </cell>
        </row>
        <row r="2987">
          <cell r="A2987" t="str">
            <v>W-A31-TCF-4WY-3S</v>
          </cell>
        </row>
        <row r="2988">
          <cell r="A2988" t="str">
            <v>W-A31-TCF-STR-3P</v>
          </cell>
        </row>
        <row r="2989">
          <cell r="A2989" t="str">
            <v>W-A31-TCF-STR-3G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  <sheetName val="HW투자가이드_CPU용량산정"/>
      <sheetName val="SW투자가이드_SW종류"/>
      <sheetName val="매핑정보"/>
      <sheetName val="Sheet1"/>
      <sheetName val="List(삭제금지)"/>
      <sheetName val="여유PU현황-전체"/>
      <sheetName val="여유PU현황-Win"/>
      <sheetName val="여유PU현황-UNIX"/>
      <sheetName val="공통"/>
      <sheetName val="인사데이타(정규)"/>
      <sheetName val="빌딩코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2">
          <cell r="A2" t="str">
            <v>DB</v>
          </cell>
        </row>
        <row r="3">
          <cell r="A3" t="str">
            <v>WEB/WAS/AP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0"/>
  <sheetViews>
    <sheetView showGridLines="0" tabSelected="1" view="pageBreakPreview" zoomScaleNormal="100" zoomScaleSheetLayoutView="100" workbookViewId="0">
      <selection sqref="A1:G1"/>
    </sheetView>
  </sheetViews>
  <sheetFormatPr defaultColWidth="8" defaultRowHeight="16"/>
  <cols>
    <col min="1" max="1" width="14.1640625" style="18" customWidth="1"/>
    <col min="2" max="2" width="19.83203125" style="18" customWidth="1"/>
    <col min="3" max="3" width="37.6640625" style="18" customWidth="1"/>
    <col min="4" max="4" width="5" style="27" bestFit="1" customWidth="1"/>
    <col min="5" max="5" width="12.83203125" style="27" bestFit="1" customWidth="1"/>
    <col min="6" max="6" width="14.4140625" style="27" bestFit="1" customWidth="1"/>
    <col min="7" max="7" width="15.1640625" style="18" customWidth="1"/>
    <col min="8" max="8" width="27.4140625" style="28" customWidth="1"/>
    <col min="9" max="9" width="2.1640625" style="18" customWidth="1"/>
    <col min="10" max="10" width="10.9140625" style="18" bestFit="1" customWidth="1"/>
    <col min="11" max="11" width="14.1640625" style="18" bestFit="1" customWidth="1"/>
    <col min="12" max="12" width="10.9140625" style="18" bestFit="1" customWidth="1"/>
    <col min="13" max="245" width="8" style="18"/>
    <col min="246" max="246" width="15.6640625" style="18" customWidth="1"/>
    <col min="247" max="247" width="16.5" style="18" customWidth="1"/>
    <col min="248" max="248" width="17.83203125" style="18" customWidth="1"/>
    <col min="249" max="249" width="10.1640625" style="18" customWidth="1"/>
    <col min="250" max="250" width="6.6640625" style="18" bestFit="1" customWidth="1"/>
    <col min="251" max="251" width="13" style="18" customWidth="1"/>
    <col min="252" max="252" width="16.08203125" style="18" customWidth="1"/>
    <col min="253" max="253" width="15.1640625" style="18" customWidth="1"/>
    <col min="254" max="254" width="2.1640625" style="18" customWidth="1"/>
    <col min="255" max="255" width="8.5" style="18" bestFit="1" customWidth="1"/>
    <col min="256" max="256" width="9.6640625" style="18" bestFit="1" customWidth="1"/>
    <col min="257" max="257" width="8.33203125" style="18" bestFit="1" customWidth="1"/>
    <col min="258" max="258" width="10.5" style="18" bestFit="1" customWidth="1"/>
    <col min="259" max="501" width="8" style="18"/>
    <col min="502" max="502" width="15.6640625" style="18" customWidth="1"/>
    <col min="503" max="503" width="16.5" style="18" customWidth="1"/>
    <col min="504" max="504" width="17.83203125" style="18" customWidth="1"/>
    <col min="505" max="505" width="10.1640625" style="18" customWidth="1"/>
    <col min="506" max="506" width="6.6640625" style="18" bestFit="1" customWidth="1"/>
    <col min="507" max="507" width="13" style="18" customWidth="1"/>
    <col min="508" max="508" width="16.08203125" style="18" customWidth="1"/>
    <col min="509" max="509" width="15.1640625" style="18" customWidth="1"/>
    <col min="510" max="510" width="2.1640625" style="18" customWidth="1"/>
    <col min="511" max="511" width="8.5" style="18" bestFit="1" customWidth="1"/>
    <col min="512" max="512" width="9.6640625" style="18" bestFit="1" customWidth="1"/>
    <col min="513" max="513" width="8.33203125" style="18" bestFit="1" customWidth="1"/>
    <col min="514" max="514" width="10.5" style="18" bestFit="1" customWidth="1"/>
    <col min="515" max="757" width="8" style="18"/>
    <col min="758" max="758" width="15.6640625" style="18" customWidth="1"/>
    <col min="759" max="759" width="16.5" style="18" customWidth="1"/>
    <col min="760" max="760" width="17.83203125" style="18" customWidth="1"/>
    <col min="761" max="761" width="10.1640625" style="18" customWidth="1"/>
    <col min="762" max="762" width="6.6640625" style="18" bestFit="1" customWidth="1"/>
    <col min="763" max="763" width="13" style="18" customWidth="1"/>
    <col min="764" max="764" width="16.08203125" style="18" customWidth="1"/>
    <col min="765" max="765" width="15.1640625" style="18" customWidth="1"/>
    <col min="766" max="766" width="2.1640625" style="18" customWidth="1"/>
    <col min="767" max="767" width="8.5" style="18" bestFit="1" customWidth="1"/>
    <col min="768" max="768" width="9.6640625" style="18" bestFit="1" customWidth="1"/>
    <col min="769" max="769" width="8.33203125" style="18" bestFit="1" customWidth="1"/>
    <col min="770" max="770" width="10.5" style="18" bestFit="1" customWidth="1"/>
    <col min="771" max="1013" width="8" style="18"/>
    <col min="1014" max="1014" width="15.6640625" style="18" customWidth="1"/>
    <col min="1015" max="1015" width="16.5" style="18" customWidth="1"/>
    <col min="1016" max="1016" width="17.83203125" style="18" customWidth="1"/>
    <col min="1017" max="1017" width="10.1640625" style="18" customWidth="1"/>
    <col min="1018" max="1018" width="6.6640625" style="18" bestFit="1" customWidth="1"/>
    <col min="1019" max="1019" width="13" style="18" customWidth="1"/>
    <col min="1020" max="1020" width="16.08203125" style="18" customWidth="1"/>
    <col min="1021" max="1021" width="15.1640625" style="18" customWidth="1"/>
    <col min="1022" max="1022" width="2.1640625" style="18" customWidth="1"/>
    <col min="1023" max="1023" width="8.5" style="18" bestFit="1" customWidth="1"/>
    <col min="1024" max="1024" width="9.6640625" style="18" bestFit="1" customWidth="1"/>
    <col min="1025" max="1025" width="8.33203125" style="18" bestFit="1" customWidth="1"/>
    <col min="1026" max="1026" width="10.5" style="18" bestFit="1" customWidth="1"/>
    <col min="1027" max="1269" width="8" style="18"/>
    <col min="1270" max="1270" width="15.6640625" style="18" customWidth="1"/>
    <col min="1271" max="1271" width="16.5" style="18" customWidth="1"/>
    <col min="1272" max="1272" width="17.83203125" style="18" customWidth="1"/>
    <col min="1273" max="1273" width="10.1640625" style="18" customWidth="1"/>
    <col min="1274" max="1274" width="6.6640625" style="18" bestFit="1" customWidth="1"/>
    <col min="1275" max="1275" width="13" style="18" customWidth="1"/>
    <col min="1276" max="1276" width="16.08203125" style="18" customWidth="1"/>
    <col min="1277" max="1277" width="15.1640625" style="18" customWidth="1"/>
    <col min="1278" max="1278" width="2.1640625" style="18" customWidth="1"/>
    <col min="1279" max="1279" width="8.5" style="18" bestFit="1" customWidth="1"/>
    <col min="1280" max="1280" width="9.6640625" style="18" bestFit="1" customWidth="1"/>
    <col min="1281" max="1281" width="8.33203125" style="18" bestFit="1" customWidth="1"/>
    <col min="1282" max="1282" width="10.5" style="18" bestFit="1" customWidth="1"/>
    <col min="1283" max="1525" width="8" style="18"/>
    <col min="1526" max="1526" width="15.6640625" style="18" customWidth="1"/>
    <col min="1527" max="1527" width="16.5" style="18" customWidth="1"/>
    <col min="1528" max="1528" width="17.83203125" style="18" customWidth="1"/>
    <col min="1529" max="1529" width="10.1640625" style="18" customWidth="1"/>
    <col min="1530" max="1530" width="6.6640625" style="18" bestFit="1" customWidth="1"/>
    <col min="1531" max="1531" width="13" style="18" customWidth="1"/>
    <col min="1532" max="1532" width="16.08203125" style="18" customWidth="1"/>
    <col min="1533" max="1533" width="15.1640625" style="18" customWidth="1"/>
    <col min="1534" max="1534" width="2.1640625" style="18" customWidth="1"/>
    <col min="1535" max="1535" width="8.5" style="18" bestFit="1" customWidth="1"/>
    <col min="1536" max="1536" width="9.6640625" style="18" bestFit="1" customWidth="1"/>
    <col min="1537" max="1537" width="8.33203125" style="18" bestFit="1" customWidth="1"/>
    <col min="1538" max="1538" width="10.5" style="18" bestFit="1" customWidth="1"/>
    <col min="1539" max="1781" width="8" style="18"/>
    <col min="1782" max="1782" width="15.6640625" style="18" customWidth="1"/>
    <col min="1783" max="1783" width="16.5" style="18" customWidth="1"/>
    <col min="1784" max="1784" width="17.83203125" style="18" customWidth="1"/>
    <col min="1785" max="1785" width="10.1640625" style="18" customWidth="1"/>
    <col min="1786" max="1786" width="6.6640625" style="18" bestFit="1" customWidth="1"/>
    <col min="1787" max="1787" width="13" style="18" customWidth="1"/>
    <col min="1788" max="1788" width="16.08203125" style="18" customWidth="1"/>
    <col min="1789" max="1789" width="15.1640625" style="18" customWidth="1"/>
    <col min="1790" max="1790" width="2.1640625" style="18" customWidth="1"/>
    <col min="1791" max="1791" width="8.5" style="18" bestFit="1" customWidth="1"/>
    <col min="1792" max="1792" width="9.6640625" style="18" bestFit="1" customWidth="1"/>
    <col min="1793" max="1793" width="8.33203125" style="18" bestFit="1" customWidth="1"/>
    <col min="1794" max="1794" width="10.5" style="18" bestFit="1" customWidth="1"/>
    <col min="1795" max="2037" width="8" style="18"/>
    <col min="2038" max="2038" width="15.6640625" style="18" customWidth="1"/>
    <col min="2039" max="2039" width="16.5" style="18" customWidth="1"/>
    <col min="2040" max="2040" width="17.83203125" style="18" customWidth="1"/>
    <col min="2041" max="2041" width="10.1640625" style="18" customWidth="1"/>
    <col min="2042" max="2042" width="6.6640625" style="18" bestFit="1" customWidth="1"/>
    <col min="2043" max="2043" width="13" style="18" customWidth="1"/>
    <col min="2044" max="2044" width="16.08203125" style="18" customWidth="1"/>
    <col min="2045" max="2045" width="15.1640625" style="18" customWidth="1"/>
    <col min="2046" max="2046" width="2.1640625" style="18" customWidth="1"/>
    <col min="2047" max="2047" width="8.5" style="18" bestFit="1" customWidth="1"/>
    <col min="2048" max="2048" width="9.6640625" style="18" bestFit="1" customWidth="1"/>
    <col min="2049" max="2049" width="8.33203125" style="18" bestFit="1" customWidth="1"/>
    <col min="2050" max="2050" width="10.5" style="18" bestFit="1" customWidth="1"/>
    <col min="2051" max="2293" width="8" style="18"/>
    <col min="2294" max="2294" width="15.6640625" style="18" customWidth="1"/>
    <col min="2295" max="2295" width="16.5" style="18" customWidth="1"/>
    <col min="2296" max="2296" width="17.83203125" style="18" customWidth="1"/>
    <col min="2297" max="2297" width="10.1640625" style="18" customWidth="1"/>
    <col min="2298" max="2298" width="6.6640625" style="18" bestFit="1" customWidth="1"/>
    <col min="2299" max="2299" width="13" style="18" customWidth="1"/>
    <col min="2300" max="2300" width="16.08203125" style="18" customWidth="1"/>
    <col min="2301" max="2301" width="15.1640625" style="18" customWidth="1"/>
    <col min="2302" max="2302" width="2.1640625" style="18" customWidth="1"/>
    <col min="2303" max="2303" width="8.5" style="18" bestFit="1" customWidth="1"/>
    <col min="2304" max="2304" width="9.6640625" style="18" bestFit="1" customWidth="1"/>
    <col min="2305" max="2305" width="8.33203125" style="18" bestFit="1" customWidth="1"/>
    <col min="2306" max="2306" width="10.5" style="18" bestFit="1" customWidth="1"/>
    <col min="2307" max="2549" width="8" style="18"/>
    <col min="2550" max="2550" width="15.6640625" style="18" customWidth="1"/>
    <col min="2551" max="2551" width="16.5" style="18" customWidth="1"/>
    <col min="2552" max="2552" width="17.83203125" style="18" customWidth="1"/>
    <col min="2553" max="2553" width="10.1640625" style="18" customWidth="1"/>
    <col min="2554" max="2554" width="6.6640625" style="18" bestFit="1" customWidth="1"/>
    <col min="2555" max="2555" width="13" style="18" customWidth="1"/>
    <col min="2556" max="2556" width="16.08203125" style="18" customWidth="1"/>
    <col min="2557" max="2557" width="15.1640625" style="18" customWidth="1"/>
    <col min="2558" max="2558" width="2.1640625" style="18" customWidth="1"/>
    <col min="2559" max="2559" width="8.5" style="18" bestFit="1" customWidth="1"/>
    <col min="2560" max="2560" width="9.6640625" style="18" bestFit="1" customWidth="1"/>
    <col min="2561" max="2561" width="8.33203125" style="18" bestFit="1" customWidth="1"/>
    <col min="2562" max="2562" width="10.5" style="18" bestFit="1" customWidth="1"/>
    <col min="2563" max="2805" width="8" style="18"/>
    <col min="2806" max="2806" width="15.6640625" style="18" customWidth="1"/>
    <col min="2807" max="2807" width="16.5" style="18" customWidth="1"/>
    <col min="2808" max="2808" width="17.83203125" style="18" customWidth="1"/>
    <col min="2809" max="2809" width="10.1640625" style="18" customWidth="1"/>
    <col min="2810" max="2810" width="6.6640625" style="18" bestFit="1" customWidth="1"/>
    <col min="2811" max="2811" width="13" style="18" customWidth="1"/>
    <col min="2812" max="2812" width="16.08203125" style="18" customWidth="1"/>
    <col min="2813" max="2813" width="15.1640625" style="18" customWidth="1"/>
    <col min="2814" max="2814" width="2.1640625" style="18" customWidth="1"/>
    <col min="2815" max="2815" width="8.5" style="18" bestFit="1" customWidth="1"/>
    <col min="2816" max="2816" width="9.6640625" style="18" bestFit="1" customWidth="1"/>
    <col min="2817" max="2817" width="8.33203125" style="18" bestFit="1" customWidth="1"/>
    <col min="2818" max="2818" width="10.5" style="18" bestFit="1" customWidth="1"/>
    <col min="2819" max="3061" width="8" style="18"/>
    <col min="3062" max="3062" width="15.6640625" style="18" customWidth="1"/>
    <col min="3063" max="3063" width="16.5" style="18" customWidth="1"/>
    <col min="3064" max="3064" width="17.83203125" style="18" customWidth="1"/>
    <col min="3065" max="3065" width="10.1640625" style="18" customWidth="1"/>
    <col min="3066" max="3066" width="6.6640625" style="18" bestFit="1" customWidth="1"/>
    <col min="3067" max="3067" width="13" style="18" customWidth="1"/>
    <col min="3068" max="3068" width="16.08203125" style="18" customWidth="1"/>
    <col min="3069" max="3069" width="15.1640625" style="18" customWidth="1"/>
    <col min="3070" max="3070" width="2.1640625" style="18" customWidth="1"/>
    <col min="3071" max="3071" width="8.5" style="18" bestFit="1" customWidth="1"/>
    <col min="3072" max="3072" width="9.6640625" style="18" bestFit="1" customWidth="1"/>
    <col min="3073" max="3073" width="8.33203125" style="18" bestFit="1" customWidth="1"/>
    <col min="3074" max="3074" width="10.5" style="18" bestFit="1" customWidth="1"/>
    <col min="3075" max="3317" width="8" style="18"/>
    <col min="3318" max="3318" width="15.6640625" style="18" customWidth="1"/>
    <col min="3319" max="3319" width="16.5" style="18" customWidth="1"/>
    <col min="3320" max="3320" width="17.83203125" style="18" customWidth="1"/>
    <col min="3321" max="3321" width="10.1640625" style="18" customWidth="1"/>
    <col min="3322" max="3322" width="6.6640625" style="18" bestFit="1" customWidth="1"/>
    <col min="3323" max="3323" width="13" style="18" customWidth="1"/>
    <col min="3324" max="3324" width="16.08203125" style="18" customWidth="1"/>
    <col min="3325" max="3325" width="15.1640625" style="18" customWidth="1"/>
    <col min="3326" max="3326" width="2.1640625" style="18" customWidth="1"/>
    <col min="3327" max="3327" width="8.5" style="18" bestFit="1" customWidth="1"/>
    <col min="3328" max="3328" width="9.6640625" style="18" bestFit="1" customWidth="1"/>
    <col min="3329" max="3329" width="8.33203125" style="18" bestFit="1" customWidth="1"/>
    <col min="3330" max="3330" width="10.5" style="18" bestFit="1" customWidth="1"/>
    <col min="3331" max="3573" width="8" style="18"/>
    <col min="3574" max="3574" width="15.6640625" style="18" customWidth="1"/>
    <col min="3575" max="3575" width="16.5" style="18" customWidth="1"/>
    <col min="3576" max="3576" width="17.83203125" style="18" customWidth="1"/>
    <col min="3577" max="3577" width="10.1640625" style="18" customWidth="1"/>
    <col min="3578" max="3578" width="6.6640625" style="18" bestFit="1" customWidth="1"/>
    <col min="3579" max="3579" width="13" style="18" customWidth="1"/>
    <col min="3580" max="3580" width="16.08203125" style="18" customWidth="1"/>
    <col min="3581" max="3581" width="15.1640625" style="18" customWidth="1"/>
    <col min="3582" max="3582" width="2.1640625" style="18" customWidth="1"/>
    <col min="3583" max="3583" width="8.5" style="18" bestFit="1" customWidth="1"/>
    <col min="3584" max="3584" width="9.6640625" style="18" bestFit="1" customWidth="1"/>
    <col min="3585" max="3585" width="8.33203125" style="18" bestFit="1" customWidth="1"/>
    <col min="3586" max="3586" width="10.5" style="18" bestFit="1" customWidth="1"/>
    <col min="3587" max="3829" width="8" style="18"/>
    <col min="3830" max="3830" width="15.6640625" style="18" customWidth="1"/>
    <col min="3831" max="3831" width="16.5" style="18" customWidth="1"/>
    <col min="3832" max="3832" width="17.83203125" style="18" customWidth="1"/>
    <col min="3833" max="3833" width="10.1640625" style="18" customWidth="1"/>
    <col min="3834" max="3834" width="6.6640625" style="18" bestFit="1" customWidth="1"/>
    <col min="3835" max="3835" width="13" style="18" customWidth="1"/>
    <col min="3836" max="3836" width="16.08203125" style="18" customWidth="1"/>
    <col min="3837" max="3837" width="15.1640625" style="18" customWidth="1"/>
    <col min="3838" max="3838" width="2.1640625" style="18" customWidth="1"/>
    <col min="3839" max="3839" width="8.5" style="18" bestFit="1" customWidth="1"/>
    <col min="3840" max="3840" width="9.6640625" style="18" bestFit="1" customWidth="1"/>
    <col min="3841" max="3841" width="8.33203125" style="18" bestFit="1" customWidth="1"/>
    <col min="3842" max="3842" width="10.5" style="18" bestFit="1" customWidth="1"/>
    <col min="3843" max="4085" width="8" style="18"/>
    <col min="4086" max="4086" width="15.6640625" style="18" customWidth="1"/>
    <col min="4087" max="4087" width="16.5" style="18" customWidth="1"/>
    <col min="4088" max="4088" width="17.83203125" style="18" customWidth="1"/>
    <col min="4089" max="4089" width="10.1640625" style="18" customWidth="1"/>
    <col min="4090" max="4090" width="6.6640625" style="18" bestFit="1" customWidth="1"/>
    <col min="4091" max="4091" width="13" style="18" customWidth="1"/>
    <col min="4092" max="4092" width="16.08203125" style="18" customWidth="1"/>
    <col min="4093" max="4093" width="15.1640625" style="18" customWidth="1"/>
    <col min="4094" max="4094" width="2.1640625" style="18" customWidth="1"/>
    <col min="4095" max="4095" width="8.5" style="18" bestFit="1" customWidth="1"/>
    <col min="4096" max="4096" width="9.6640625" style="18" bestFit="1" customWidth="1"/>
    <col min="4097" max="4097" width="8.33203125" style="18" bestFit="1" customWidth="1"/>
    <col min="4098" max="4098" width="10.5" style="18" bestFit="1" customWidth="1"/>
    <col min="4099" max="4341" width="8" style="18"/>
    <col min="4342" max="4342" width="15.6640625" style="18" customWidth="1"/>
    <col min="4343" max="4343" width="16.5" style="18" customWidth="1"/>
    <col min="4344" max="4344" width="17.83203125" style="18" customWidth="1"/>
    <col min="4345" max="4345" width="10.1640625" style="18" customWidth="1"/>
    <col min="4346" max="4346" width="6.6640625" style="18" bestFit="1" customWidth="1"/>
    <col min="4347" max="4347" width="13" style="18" customWidth="1"/>
    <col min="4348" max="4348" width="16.08203125" style="18" customWidth="1"/>
    <col min="4349" max="4349" width="15.1640625" style="18" customWidth="1"/>
    <col min="4350" max="4350" width="2.1640625" style="18" customWidth="1"/>
    <col min="4351" max="4351" width="8.5" style="18" bestFit="1" customWidth="1"/>
    <col min="4352" max="4352" width="9.6640625" style="18" bestFit="1" customWidth="1"/>
    <col min="4353" max="4353" width="8.33203125" style="18" bestFit="1" customWidth="1"/>
    <col min="4354" max="4354" width="10.5" style="18" bestFit="1" customWidth="1"/>
    <col min="4355" max="4597" width="8" style="18"/>
    <col min="4598" max="4598" width="15.6640625" style="18" customWidth="1"/>
    <col min="4599" max="4599" width="16.5" style="18" customWidth="1"/>
    <col min="4600" max="4600" width="17.83203125" style="18" customWidth="1"/>
    <col min="4601" max="4601" width="10.1640625" style="18" customWidth="1"/>
    <col min="4602" max="4602" width="6.6640625" style="18" bestFit="1" customWidth="1"/>
    <col min="4603" max="4603" width="13" style="18" customWidth="1"/>
    <col min="4604" max="4604" width="16.08203125" style="18" customWidth="1"/>
    <col min="4605" max="4605" width="15.1640625" style="18" customWidth="1"/>
    <col min="4606" max="4606" width="2.1640625" style="18" customWidth="1"/>
    <col min="4607" max="4607" width="8.5" style="18" bestFit="1" customWidth="1"/>
    <col min="4608" max="4608" width="9.6640625" style="18" bestFit="1" customWidth="1"/>
    <col min="4609" max="4609" width="8.33203125" style="18" bestFit="1" customWidth="1"/>
    <col min="4610" max="4610" width="10.5" style="18" bestFit="1" customWidth="1"/>
    <col min="4611" max="4853" width="8" style="18"/>
    <col min="4854" max="4854" width="15.6640625" style="18" customWidth="1"/>
    <col min="4855" max="4855" width="16.5" style="18" customWidth="1"/>
    <col min="4856" max="4856" width="17.83203125" style="18" customWidth="1"/>
    <col min="4857" max="4857" width="10.1640625" style="18" customWidth="1"/>
    <col min="4858" max="4858" width="6.6640625" style="18" bestFit="1" customWidth="1"/>
    <col min="4859" max="4859" width="13" style="18" customWidth="1"/>
    <col min="4860" max="4860" width="16.08203125" style="18" customWidth="1"/>
    <col min="4861" max="4861" width="15.1640625" style="18" customWidth="1"/>
    <col min="4862" max="4862" width="2.1640625" style="18" customWidth="1"/>
    <col min="4863" max="4863" width="8.5" style="18" bestFit="1" customWidth="1"/>
    <col min="4864" max="4864" width="9.6640625" style="18" bestFit="1" customWidth="1"/>
    <col min="4865" max="4865" width="8.33203125" style="18" bestFit="1" customWidth="1"/>
    <col min="4866" max="4866" width="10.5" style="18" bestFit="1" customWidth="1"/>
    <col min="4867" max="5109" width="8" style="18"/>
    <col min="5110" max="5110" width="15.6640625" style="18" customWidth="1"/>
    <col min="5111" max="5111" width="16.5" style="18" customWidth="1"/>
    <col min="5112" max="5112" width="17.83203125" style="18" customWidth="1"/>
    <col min="5113" max="5113" width="10.1640625" style="18" customWidth="1"/>
    <col min="5114" max="5114" width="6.6640625" style="18" bestFit="1" customWidth="1"/>
    <col min="5115" max="5115" width="13" style="18" customWidth="1"/>
    <col min="5116" max="5116" width="16.08203125" style="18" customWidth="1"/>
    <col min="5117" max="5117" width="15.1640625" style="18" customWidth="1"/>
    <col min="5118" max="5118" width="2.1640625" style="18" customWidth="1"/>
    <col min="5119" max="5119" width="8.5" style="18" bestFit="1" customWidth="1"/>
    <col min="5120" max="5120" width="9.6640625" style="18" bestFit="1" customWidth="1"/>
    <col min="5121" max="5121" width="8.33203125" style="18" bestFit="1" customWidth="1"/>
    <col min="5122" max="5122" width="10.5" style="18" bestFit="1" customWidth="1"/>
    <col min="5123" max="5365" width="8" style="18"/>
    <col min="5366" max="5366" width="15.6640625" style="18" customWidth="1"/>
    <col min="5367" max="5367" width="16.5" style="18" customWidth="1"/>
    <col min="5368" max="5368" width="17.83203125" style="18" customWidth="1"/>
    <col min="5369" max="5369" width="10.1640625" style="18" customWidth="1"/>
    <col min="5370" max="5370" width="6.6640625" style="18" bestFit="1" customWidth="1"/>
    <col min="5371" max="5371" width="13" style="18" customWidth="1"/>
    <col min="5372" max="5372" width="16.08203125" style="18" customWidth="1"/>
    <col min="5373" max="5373" width="15.1640625" style="18" customWidth="1"/>
    <col min="5374" max="5374" width="2.1640625" style="18" customWidth="1"/>
    <col min="5375" max="5375" width="8.5" style="18" bestFit="1" customWidth="1"/>
    <col min="5376" max="5376" width="9.6640625" style="18" bestFit="1" customWidth="1"/>
    <col min="5377" max="5377" width="8.33203125" style="18" bestFit="1" customWidth="1"/>
    <col min="5378" max="5378" width="10.5" style="18" bestFit="1" customWidth="1"/>
    <col min="5379" max="5621" width="8" style="18"/>
    <col min="5622" max="5622" width="15.6640625" style="18" customWidth="1"/>
    <col min="5623" max="5623" width="16.5" style="18" customWidth="1"/>
    <col min="5624" max="5624" width="17.83203125" style="18" customWidth="1"/>
    <col min="5625" max="5625" width="10.1640625" style="18" customWidth="1"/>
    <col min="5626" max="5626" width="6.6640625" style="18" bestFit="1" customWidth="1"/>
    <col min="5627" max="5627" width="13" style="18" customWidth="1"/>
    <col min="5628" max="5628" width="16.08203125" style="18" customWidth="1"/>
    <col min="5629" max="5629" width="15.1640625" style="18" customWidth="1"/>
    <col min="5630" max="5630" width="2.1640625" style="18" customWidth="1"/>
    <col min="5631" max="5631" width="8.5" style="18" bestFit="1" customWidth="1"/>
    <col min="5632" max="5632" width="9.6640625" style="18" bestFit="1" customWidth="1"/>
    <col min="5633" max="5633" width="8.33203125" style="18" bestFit="1" customWidth="1"/>
    <col min="5634" max="5634" width="10.5" style="18" bestFit="1" customWidth="1"/>
    <col min="5635" max="5877" width="8" style="18"/>
    <col min="5878" max="5878" width="15.6640625" style="18" customWidth="1"/>
    <col min="5879" max="5879" width="16.5" style="18" customWidth="1"/>
    <col min="5880" max="5880" width="17.83203125" style="18" customWidth="1"/>
    <col min="5881" max="5881" width="10.1640625" style="18" customWidth="1"/>
    <col min="5882" max="5882" width="6.6640625" style="18" bestFit="1" customWidth="1"/>
    <col min="5883" max="5883" width="13" style="18" customWidth="1"/>
    <col min="5884" max="5884" width="16.08203125" style="18" customWidth="1"/>
    <col min="5885" max="5885" width="15.1640625" style="18" customWidth="1"/>
    <col min="5886" max="5886" width="2.1640625" style="18" customWidth="1"/>
    <col min="5887" max="5887" width="8.5" style="18" bestFit="1" customWidth="1"/>
    <col min="5888" max="5888" width="9.6640625" style="18" bestFit="1" customWidth="1"/>
    <col min="5889" max="5889" width="8.33203125" style="18" bestFit="1" customWidth="1"/>
    <col min="5890" max="5890" width="10.5" style="18" bestFit="1" customWidth="1"/>
    <col min="5891" max="6133" width="8" style="18"/>
    <col min="6134" max="6134" width="15.6640625" style="18" customWidth="1"/>
    <col min="6135" max="6135" width="16.5" style="18" customWidth="1"/>
    <col min="6136" max="6136" width="17.83203125" style="18" customWidth="1"/>
    <col min="6137" max="6137" width="10.1640625" style="18" customWidth="1"/>
    <col min="6138" max="6138" width="6.6640625" style="18" bestFit="1" customWidth="1"/>
    <col min="6139" max="6139" width="13" style="18" customWidth="1"/>
    <col min="6140" max="6140" width="16.08203125" style="18" customWidth="1"/>
    <col min="6141" max="6141" width="15.1640625" style="18" customWidth="1"/>
    <col min="6142" max="6142" width="2.1640625" style="18" customWidth="1"/>
    <col min="6143" max="6143" width="8.5" style="18" bestFit="1" customWidth="1"/>
    <col min="6144" max="6144" width="9.6640625" style="18" bestFit="1" customWidth="1"/>
    <col min="6145" max="6145" width="8.33203125" style="18" bestFit="1" customWidth="1"/>
    <col min="6146" max="6146" width="10.5" style="18" bestFit="1" customWidth="1"/>
    <col min="6147" max="6389" width="8" style="18"/>
    <col min="6390" max="6390" width="15.6640625" style="18" customWidth="1"/>
    <col min="6391" max="6391" width="16.5" style="18" customWidth="1"/>
    <col min="6392" max="6392" width="17.83203125" style="18" customWidth="1"/>
    <col min="6393" max="6393" width="10.1640625" style="18" customWidth="1"/>
    <col min="6394" max="6394" width="6.6640625" style="18" bestFit="1" customWidth="1"/>
    <col min="6395" max="6395" width="13" style="18" customWidth="1"/>
    <col min="6396" max="6396" width="16.08203125" style="18" customWidth="1"/>
    <col min="6397" max="6397" width="15.1640625" style="18" customWidth="1"/>
    <col min="6398" max="6398" width="2.1640625" style="18" customWidth="1"/>
    <col min="6399" max="6399" width="8.5" style="18" bestFit="1" customWidth="1"/>
    <col min="6400" max="6400" width="9.6640625" style="18" bestFit="1" customWidth="1"/>
    <col min="6401" max="6401" width="8.33203125" style="18" bestFit="1" customWidth="1"/>
    <col min="6402" max="6402" width="10.5" style="18" bestFit="1" customWidth="1"/>
    <col min="6403" max="6645" width="8" style="18"/>
    <col min="6646" max="6646" width="15.6640625" style="18" customWidth="1"/>
    <col min="6647" max="6647" width="16.5" style="18" customWidth="1"/>
    <col min="6648" max="6648" width="17.83203125" style="18" customWidth="1"/>
    <col min="6649" max="6649" width="10.1640625" style="18" customWidth="1"/>
    <col min="6650" max="6650" width="6.6640625" style="18" bestFit="1" customWidth="1"/>
    <col min="6651" max="6651" width="13" style="18" customWidth="1"/>
    <col min="6652" max="6652" width="16.08203125" style="18" customWidth="1"/>
    <col min="6653" max="6653" width="15.1640625" style="18" customWidth="1"/>
    <col min="6654" max="6654" width="2.1640625" style="18" customWidth="1"/>
    <col min="6655" max="6655" width="8.5" style="18" bestFit="1" customWidth="1"/>
    <col min="6656" max="6656" width="9.6640625" style="18" bestFit="1" customWidth="1"/>
    <col min="6657" max="6657" width="8.33203125" style="18" bestFit="1" customWidth="1"/>
    <col min="6658" max="6658" width="10.5" style="18" bestFit="1" customWidth="1"/>
    <col min="6659" max="6901" width="8" style="18"/>
    <col min="6902" max="6902" width="15.6640625" style="18" customWidth="1"/>
    <col min="6903" max="6903" width="16.5" style="18" customWidth="1"/>
    <col min="6904" max="6904" width="17.83203125" style="18" customWidth="1"/>
    <col min="6905" max="6905" width="10.1640625" style="18" customWidth="1"/>
    <col min="6906" max="6906" width="6.6640625" style="18" bestFit="1" customWidth="1"/>
    <col min="6907" max="6907" width="13" style="18" customWidth="1"/>
    <col min="6908" max="6908" width="16.08203125" style="18" customWidth="1"/>
    <col min="6909" max="6909" width="15.1640625" style="18" customWidth="1"/>
    <col min="6910" max="6910" width="2.1640625" style="18" customWidth="1"/>
    <col min="6911" max="6911" width="8.5" style="18" bestFit="1" customWidth="1"/>
    <col min="6912" max="6912" width="9.6640625" style="18" bestFit="1" customWidth="1"/>
    <col min="6913" max="6913" width="8.33203125" style="18" bestFit="1" customWidth="1"/>
    <col min="6914" max="6914" width="10.5" style="18" bestFit="1" customWidth="1"/>
    <col min="6915" max="7157" width="8" style="18"/>
    <col min="7158" max="7158" width="15.6640625" style="18" customWidth="1"/>
    <col min="7159" max="7159" width="16.5" style="18" customWidth="1"/>
    <col min="7160" max="7160" width="17.83203125" style="18" customWidth="1"/>
    <col min="7161" max="7161" width="10.1640625" style="18" customWidth="1"/>
    <col min="7162" max="7162" width="6.6640625" style="18" bestFit="1" customWidth="1"/>
    <col min="7163" max="7163" width="13" style="18" customWidth="1"/>
    <col min="7164" max="7164" width="16.08203125" style="18" customWidth="1"/>
    <col min="7165" max="7165" width="15.1640625" style="18" customWidth="1"/>
    <col min="7166" max="7166" width="2.1640625" style="18" customWidth="1"/>
    <col min="7167" max="7167" width="8.5" style="18" bestFit="1" customWidth="1"/>
    <col min="7168" max="7168" width="9.6640625" style="18" bestFit="1" customWidth="1"/>
    <col min="7169" max="7169" width="8.33203125" style="18" bestFit="1" customWidth="1"/>
    <col min="7170" max="7170" width="10.5" style="18" bestFit="1" customWidth="1"/>
    <col min="7171" max="7413" width="8" style="18"/>
    <col min="7414" max="7414" width="15.6640625" style="18" customWidth="1"/>
    <col min="7415" max="7415" width="16.5" style="18" customWidth="1"/>
    <col min="7416" max="7416" width="17.83203125" style="18" customWidth="1"/>
    <col min="7417" max="7417" width="10.1640625" style="18" customWidth="1"/>
    <col min="7418" max="7418" width="6.6640625" style="18" bestFit="1" customWidth="1"/>
    <col min="7419" max="7419" width="13" style="18" customWidth="1"/>
    <col min="7420" max="7420" width="16.08203125" style="18" customWidth="1"/>
    <col min="7421" max="7421" width="15.1640625" style="18" customWidth="1"/>
    <col min="7422" max="7422" width="2.1640625" style="18" customWidth="1"/>
    <col min="7423" max="7423" width="8.5" style="18" bestFit="1" customWidth="1"/>
    <col min="7424" max="7424" width="9.6640625" style="18" bestFit="1" customWidth="1"/>
    <col min="7425" max="7425" width="8.33203125" style="18" bestFit="1" customWidth="1"/>
    <col min="7426" max="7426" width="10.5" style="18" bestFit="1" customWidth="1"/>
    <col min="7427" max="7669" width="8" style="18"/>
    <col min="7670" max="7670" width="15.6640625" style="18" customWidth="1"/>
    <col min="7671" max="7671" width="16.5" style="18" customWidth="1"/>
    <col min="7672" max="7672" width="17.83203125" style="18" customWidth="1"/>
    <col min="7673" max="7673" width="10.1640625" style="18" customWidth="1"/>
    <col min="7674" max="7674" width="6.6640625" style="18" bestFit="1" customWidth="1"/>
    <col min="7675" max="7675" width="13" style="18" customWidth="1"/>
    <col min="7676" max="7676" width="16.08203125" style="18" customWidth="1"/>
    <col min="7677" max="7677" width="15.1640625" style="18" customWidth="1"/>
    <col min="7678" max="7678" width="2.1640625" style="18" customWidth="1"/>
    <col min="7679" max="7679" width="8.5" style="18" bestFit="1" customWidth="1"/>
    <col min="7680" max="7680" width="9.6640625" style="18" bestFit="1" customWidth="1"/>
    <col min="7681" max="7681" width="8.33203125" style="18" bestFit="1" customWidth="1"/>
    <col min="7682" max="7682" width="10.5" style="18" bestFit="1" customWidth="1"/>
    <col min="7683" max="7925" width="8" style="18"/>
    <col min="7926" max="7926" width="15.6640625" style="18" customWidth="1"/>
    <col min="7927" max="7927" width="16.5" style="18" customWidth="1"/>
    <col min="7928" max="7928" width="17.83203125" style="18" customWidth="1"/>
    <col min="7929" max="7929" width="10.1640625" style="18" customWidth="1"/>
    <col min="7930" max="7930" width="6.6640625" style="18" bestFit="1" customWidth="1"/>
    <col min="7931" max="7931" width="13" style="18" customWidth="1"/>
    <col min="7932" max="7932" width="16.08203125" style="18" customWidth="1"/>
    <col min="7933" max="7933" width="15.1640625" style="18" customWidth="1"/>
    <col min="7934" max="7934" width="2.1640625" style="18" customWidth="1"/>
    <col min="7935" max="7935" width="8.5" style="18" bestFit="1" customWidth="1"/>
    <col min="7936" max="7936" width="9.6640625" style="18" bestFit="1" customWidth="1"/>
    <col min="7937" max="7937" width="8.33203125" style="18" bestFit="1" customWidth="1"/>
    <col min="7938" max="7938" width="10.5" style="18" bestFit="1" customWidth="1"/>
    <col min="7939" max="8181" width="8" style="18"/>
    <col min="8182" max="8182" width="15.6640625" style="18" customWidth="1"/>
    <col min="8183" max="8183" width="16.5" style="18" customWidth="1"/>
    <col min="8184" max="8184" width="17.83203125" style="18" customWidth="1"/>
    <col min="8185" max="8185" width="10.1640625" style="18" customWidth="1"/>
    <col min="8186" max="8186" width="6.6640625" style="18" bestFit="1" customWidth="1"/>
    <col min="8187" max="8187" width="13" style="18" customWidth="1"/>
    <col min="8188" max="8188" width="16.08203125" style="18" customWidth="1"/>
    <col min="8189" max="8189" width="15.1640625" style="18" customWidth="1"/>
    <col min="8190" max="8190" width="2.1640625" style="18" customWidth="1"/>
    <col min="8191" max="8191" width="8.5" style="18" bestFit="1" customWidth="1"/>
    <col min="8192" max="8192" width="9.6640625" style="18" bestFit="1" customWidth="1"/>
    <col min="8193" max="8193" width="8.33203125" style="18" bestFit="1" customWidth="1"/>
    <col min="8194" max="8194" width="10.5" style="18" bestFit="1" customWidth="1"/>
    <col min="8195" max="8437" width="8" style="18"/>
    <col min="8438" max="8438" width="15.6640625" style="18" customWidth="1"/>
    <col min="8439" max="8439" width="16.5" style="18" customWidth="1"/>
    <col min="8440" max="8440" width="17.83203125" style="18" customWidth="1"/>
    <col min="8441" max="8441" width="10.1640625" style="18" customWidth="1"/>
    <col min="8442" max="8442" width="6.6640625" style="18" bestFit="1" customWidth="1"/>
    <col min="8443" max="8443" width="13" style="18" customWidth="1"/>
    <col min="8444" max="8444" width="16.08203125" style="18" customWidth="1"/>
    <col min="8445" max="8445" width="15.1640625" style="18" customWidth="1"/>
    <col min="8446" max="8446" width="2.1640625" style="18" customWidth="1"/>
    <col min="8447" max="8447" width="8.5" style="18" bestFit="1" customWidth="1"/>
    <col min="8448" max="8448" width="9.6640625" style="18" bestFit="1" customWidth="1"/>
    <col min="8449" max="8449" width="8.33203125" style="18" bestFit="1" customWidth="1"/>
    <col min="8450" max="8450" width="10.5" style="18" bestFit="1" customWidth="1"/>
    <col min="8451" max="8693" width="8" style="18"/>
    <col min="8694" max="8694" width="15.6640625" style="18" customWidth="1"/>
    <col min="8695" max="8695" width="16.5" style="18" customWidth="1"/>
    <col min="8696" max="8696" width="17.83203125" style="18" customWidth="1"/>
    <col min="8697" max="8697" width="10.1640625" style="18" customWidth="1"/>
    <col min="8698" max="8698" width="6.6640625" style="18" bestFit="1" customWidth="1"/>
    <col min="8699" max="8699" width="13" style="18" customWidth="1"/>
    <col min="8700" max="8700" width="16.08203125" style="18" customWidth="1"/>
    <col min="8701" max="8701" width="15.1640625" style="18" customWidth="1"/>
    <col min="8702" max="8702" width="2.1640625" style="18" customWidth="1"/>
    <col min="8703" max="8703" width="8.5" style="18" bestFit="1" customWidth="1"/>
    <col min="8704" max="8704" width="9.6640625" style="18" bestFit="1" customWidth="1"/>
    <col min="8705" max="8705" width="8.33203125" style="18" bestFit="1" customWidth="1"/>
    <col min="8706" max="8706" width="10.5" style="18" bestFit="1" customWidth="1"/>
    <col min="8707" max="8949" width="8" style="18"/>
    <col min="8950" max="8950" width="15.6640625" style="18" customWidth="1"/>
    <col min="8951" max="8951" width="16.5" style="18" customWidth="1"/>
    <col min="8952" max="8952" width="17.83203125" style="18" customWidth="1"/>
    <col min="8953" max="8953" width="10.1640625" style="18" customWidth="1"/>
    <col min="8954" max="8954" width="6.6640625" style="18" bestFit="1" customWidth="1"/>
    <col min="8955" max="8955" width="13" style="18" customWidth="1"/>
    <col min="8956" max="8956" width="16.08203125" style="18" customWidth="1"/>
    <col min="8957" max="8957" width="15.1640625" style="18" customWidth="1"/>
    <col min="8958" max="8958" width="2.1640625" style="18" customWidth="1"/>
    <col min="8959" max="8959" width="8.5" style="18" bestFit="1" customWidth="1"/>
    <col min="8960" max="8960" width="9.6640625" style="18" bestFit="1" customWidth="1"/>
    <col min="8961" max="8961" width="8.33203125" style="18" bestFit="1" customWidth="1"/>
    <col min="8962" max="8962" width="10.5" style="18" bestFit="1" customWidth="1"/>
    <col min="8963" max="9205" width="8" style="18"/>
    <col min="9206" max="9206" width="15.6640625" style="18" customWidth="1"/>
    <col min="9207" max="9207" width="16.5" style="18" customWidth="1"/>
    <col min="9208" max="9208" width="17.83203125" style="18" customWidth="1"/>
    <col min="9209" max="9209" width="10.1640625" style="18" customWidth="1"/>
    <col min="9210" max="9210" width="6.6640625" style="18" bestFit="1" customWidth="1"/>
    <col min="9211" max="9211" width="13" style="18" customWidth="1"/>
    <col min="9212" max="9212" width="16.08203125" style="18" customWidth="1"/>
    <col min="9213" max="9213" width="15.1640625" style="18" customWidth="1"/>
    <col min="9214" max="9214" width="2.1640625" style="18" customWidth="1"/>
    <col min="9215" max="9215" width="8.5" style="18" bestFit="1" customWidth="1"/>
    <col min="9216" max="9216" width="9.6640625" style="18" bestFit="1" customWidth="1"/>
    <col min="9217" max="9217" width="8.33203125" style="18" bestFit="1" customWidth="1"/>
    <col min="9218" max="9218" width="10.5" style="18" bestFit="1" customWidth="1"/>
    <col min="9219" max="9461" width="8" style="18"/>
    <col min="9462" max="9462" width="15.6640625" style="18" customWidth="1"/>
    <col min="9463" max="9463" width="16.5" style="18" customWidth="1"/>
    <col min="9464" max="9464" width="17.83203125" style="18" customWidth="1"/>
    <col min="9465" max="9465" width="10.1640625" style="18" customWidth="1"/>
    <col min="9466" max="9466" width="6.6640625" style="18" bestFit="1" customWidth="1"/>
    <col min="9467" max="9467" width="13" style="18" customWidth="1"/>
    <col min="9468" max="9468" width="16.08203125" style="18" customWidth="1"/>
    <col min="9469" max="9469" width="15.1640625" style="18" customWidth="1"/>
    <col min="9470" max="9470" width="2.1640625" style="18" customWidth="1"/>
    <col min="9471" max="9471" width="8.5" style="18" bestFit="1" customWidth="1"/>
    <col min="9472" max="9472" width="9.6640625" style="18" bestFit="1" customWidth="1"/>
    <col min="9473" max="9473" width="8.33203125" style="18" bestFit="1" customWidth="1"/>
    <col min="9474" max="9474" width="10.5" style="18" bestFit="1" customWidth="1"/>
    <col min="9475" max="9717" width="8" style="18"/>
    <col min="9718" max="9718" width="15.6640625" style="18" customWidth="1"/>
    <col min="9719" max="9719" width="16.5" style="18" customWidth="1"/>
    <col min="9720" max="9720" width="17.83203125" style="18" customWidth="1"/>
    <col min="9721" max="9721" width="10.1640625" style="18" customWidth="1"/>
    <col min="9722" max="9722" width="6.6640625" style="18" bestFit="1" customWidth="1"/>
    <col min="9723" max="9723" width="13" style="18" customWidth="1"/>
    <col min="9724" max="9724" width="16.08203125" style="18" customWidth="1"/>
    <col min="9725" max="9725" width="15.1640625" style="18" customWidth="1"/>
    <col min="9726" max="9726" width="2.1640625" style="18" customWidth="1"/>
    <col min="9727" max="9727" width="8.5" style="18" bestFit="1" customWidth="1"/>
    <col min="9728" max="9728" width="9.6640625" style="18" bestFit="1" customWidth="1"/>
    <col min="9729" max="9729" width="8.33203125" style="18" bestFit="1" customWidth="1"/>
    <col min="9730" max="9730" width="10.5" style="18" bestFit="1" customWidth="1"/>
    <col min="9731" max="9973" width="8" style="18"/>
    <col min="9974" max="9974" width="15.6640625" style="18" customWidth="1"/>
    <col min="9975" max="9975" width="16.5" style="18" customWidth="1"/>
    <col min="9976" max="9976" width="17.83203125" style="18" customWidth="1"/>
    <col min="9977" max="9977" width="10.1640625" style="18" customWidth="1"/>
    <col min="9978" max="9978" width="6.6640625" style="18" bestFit="1" customWidth="1"/>
    <col min="9979" max="9979" width="13" style="18" customWidth="1"/>
    <col min="9980" max="9980" width="16.08203125" style="18" customWidth="1"/>
    <col min="9981" max="9981" width="15.1640625" style="18" customWidth="1"/>
    <col min="9982" max="9982" width="2.1640625" style="18" customWidth="1"/>
    <col min="9983" max="9983" width="8.5" style="18" bestFit="1" customWidth="1"/>
    <col min="9984" max="9984" width="9.6640625" style="18" bestFit="1" customWidth="1"/>
    <col min="9985" max="9985" width="8.33203125" style="18" bestFit="1" customWidth="1"/>
    <col min="9986" max="9986" width="10.5" style="18" bestFit="1" customWidth="1"/>
    <col min="9987" max="10229" width="8" style="18"/>
    <col min="10230" max="10230" width="15.6640625" style="18" customWidth="1"/>
    <col min="10231" max="10231" width="16.5" style="18" customWidth="1"/>
    <col min="10232" max="10232" width="17.83203125" style="18" customWidth="1"/>
    <col min="10233" max="10233" width="10.1640625" style="18" customWidth="1"/>
    <col min="10234" max="10234" width="6.6640625" style="18" bestFit="1" customWidth="1"/>
    <col min="10235" max="10235" width="13" style="18" customWidth="1"/>
    <col min="10236" max="10236" width="16.08203125" style="18" customWidth="1"/>
    <col min="10237" max="10237" width="15.1640625" style="18" customWidth="1"/>
    <col min="10238" max="10238" width="2.1640625" style="18" customWidth="1"/>
    <col min="10239" max="10239" width="8.5" style="18" bestFit="1" customWidth="1"/>
    <col min="10240" max="10240" width="9.6640625" style="18" bestFit="1" customWidth="1"/>
    <col min="10241" max="10241" width="8.33203125" style="18" bestFit="1" customWidth="1"/>
    <col min="10242" max="10242" width="10.5" style="18" bestFit="1" customWidth="1"/>
    <col min="10243" max="10485" width="8" style="18"/>
    <col min="10486" max="10486" width="15.6640625" style="18" customWidth="1"/>
    <col min="10487" max="10487" width="16.5" style="18" customWidth="1"/>
    <col min="10488" max="10488" width="17.83203125" style="18" customWidth="1"/>
    <col min="10489" max="10489" width="10.1640625" style="18" customWidth="1"/>
    <col min="10490" max="10490" width="6.6640625" style="18" bestFit="1" customWidth="1"/>
    <col min="10491" max="10491" width="13" style="18" customWidth="1"/>
    <col min="10492" max="10492" width="16.08203125" style="18" customWidth="1"/>
    <col min="10493" max="10493" width="15.1640625" style="18" customWidth="1"/>
    <col min="10494" max="10494" width="2.1640625" style="18" customWidth="1"/>
    <col min="10495" max="10495" width="8.5" style="18" bestFit="1" customWidth="1"/>
    <col min="10496" max="10496" width="9.6640625" style="18" bestFit="1" customWidth="1"/>
    <col min="10497" max="10497" width="8.33203125" style="18" bestFit="1" customWidth="1"/>
    <col min="10498" max="10498" width="10.5" style="18" bestFit="1" customWidth="1"/>
    <col min="10499" max="10741" width="8" style="18"/>
    <col min="10742" max="10742" width="15.6640625" style="18" customWidth="1"/>
    <col min="10743" max="10743" width="16.5" style="18" customWidth="1"/>
    <col min="10744" max="10744" width="17.83203125" style="18" customWidth="1"/>
    <col min="10745" max="10745" width="10.1640625" style="18" customWidth="1"/>
    <col min="10746" max="10746" width="6.6640625" style="18" bestFit="1" customWidth="1"/>
    <col min="10747" max="10747" width="13" style="18" customWidth="1"/>
    <col min="10748" max="10748" width="16.08203125" style="18" customWidth="1"/>
    <col min="10749" max="10749" width="15.1640625" style="18" customWidth="1"/>
    <col min="10750" max="10750" width="2.1640625" style="18" customWidth="1"/>
    <col min="10751" max="10751" width="8.5" style="18" bestFit="1" customWidth="1"/>
    <col min="10752" max="10752" width="9.6640625" style="18" bestFit="1" customWidth="1"/>
    <col min="10753" max="10753" width="8.33203125" style="18" bestFit="1" customWidth="1"/>
    <col min="10754" max="10754" width="10.5" style="18" bestFit="1" customWidth="1"/>
    <col min="10755" max="10997" width="8" style="18"/>
    <col min="10998" max="10998" width="15.6640625" style="18" customWidth="1"/>
    <col min="10999" max="10999" width="16.5" style="18" customWidth="1"/>
    <col min="11000" max="11000" width="17.83203125" style="18" customWidth="1"/>
    <col min="11001" max="11001" width="10.1640625" style="18" customWidth="1"/>
    <col min="11002" max="11002" width="6.6640625" style="18" bestFit="1" customWidth="1"/>
    <col min="11003" max="11003" width="13" style="18" customWidth="1"/>
    <col min="11004" max="11004" width="16.08203125" style="18" customWidth="1"/>
    <col min="11005" max="11005" width="15.1640625" style="18" customWidth="1"/>
    <col min="11006" max="11006" width="2.1640625" style="18" customWidth="1"/>
    <col min="11007" max="11007" width="8.5" style="18" bestFit="1" customWidth="1"/>
    <col min="11008" max="11008" width="9.6640625" style="18" bestFit="1" customWidth="1"/>
    <col min="11009" max="11009" width="8.33203125" style="18" bestFit="1" customWidth="1"/>
    <col min="11010" max="11010" width="10.5" style="18" bestFit="1" customWidth="1"/>
    <col min="11011" max="11253" width="8" style="18"/>
    <col min="11254" max="11254" width="15.6640625" style="18" customWidth="1"/>
    <col min="11255" max="11255" width="16.5" style="18" customWidth="1"/>
    <col min="11256" max="11256" width="17.83203125" style="18" customWidth="1"/>
    <col min="11257" max="11257" width="10.1640625" style="18" customWidth="1"/>
    <col min="11258" max="11258" width="6.6640625" style="18" bestFit="1" customWidth="1"/>
    <col min="11259" max="11259" width="13" style="18" customWidth="1"/>
    <col min="11260" max="11260" width="16.08203125" style="18" customWidth="1"/>
    <col min="11261" max="11261" width="15.1640625" style="18" customWidth="1"/>
    <col min="11262" max="11262" width="2.1640625" style="18" customWidth="1"/>
    <col min="11263" max="11263" width="8.5" style="18" bestFit="1" customWidth="1"/>
    <col min="11264" max="11264" width="9.6640625" style="18" bestFit="1" customWidth="1"/>
    <col min="11265" max="11265" width="8.33203125" style="18" bestFit="1" customWidth="1"/>
    <col min="11266" max="11266" width="10.5" style="18" bestFit="1" customWidth="1"/>
    <col min="11267" max="11509" width="8" style="18"/>
    <col min="11510" max="11510" width="15.6640625" style="18" customWidth="1"/>
    <col min="11511" max="11511" width="16.5" style="18" customWidth="1"/>
    <col min="11512" max="11512" width="17.83203125" style="18" customWidth="1"/>
    <col min="11513" max="11513" width="10.1640625" style="18" customWidth="1"/>
    <col min="11514" max="11514" width="6.6640625" style="18" bestFit="1" customWidth="1"/>
    <col min="11515" max="11515" width="13" style="18" customWidth="1"/>
    <col min="11516" max="11516" width="16.08203125" style="18" customWidth="1"/>
    <col min="11517" max="11517" width="15.1640625" style="18" customWidth="1"/>
    <col min="11518" max="11518" width="2.1640625" style="18" customWidth="1"/>
    <col min="11519" max="11519" width="8.5" style="18" bestFit="1" customWidth="1"/>
    <col min="11520" max="11520" width="9.6640625" style="18" bestFit="1" customWidth="1"/>
    <col min="11521" max="11521" width="8.33203125" style="18" bestFit="1" customWidth="1"/>
    <col min="11522" max="11522" width="10.5" style="18" bestFit="1" customWidth="1"/>
    <col min="11523" max="11765" width="8" style="18"/>
    <col min="11766" max="11766" width="15.6640625" style="18" customWidth="1"/>
    <col min="11767" max="11767" width="16.5" style="18" customWidth="1"/>
    <col min="11768" max="11768" width="17.83203125" style="18" customWidth="1"/>
    <col min="11769" max="11769" width="10.1640625" style="18" customWidth="1"/>
    <col min="11770" max="11770" width="6.6640625" style="18" bestFit="1" customWidth="1"/>
    <col min="11771" max="11771" width="13" style="18" customWidth="1"/>
    <col min="11772" max="11772" width="16.08203125" style="18" customWidth="1"/>
    <col min="11773" max="11773" width="15.1640625" style="18" customWidth="1"/>
    <col min="11774" max="11774" width="2.1640625" style="18" customWidth="1"/>
    <col min="11775" max="11775" width="8.5" style="18" bestFit="1" customWidth="1"/>
    <col min="11776" max="11776" width="9.6640625" style="18" bestFit="1" customWidth="1"/>
    <col min="11777" max="11777" width="8.33203125" style="18" bestFit="1" customWidth="1"/>
    <col min="11778" max="11778" width="10.5" style="18" bestFit="1" customWidth="1"/>
    <col min="11779" max="12021" width="8" style="18"/>
    <col min="12022" max="12022" width="15.6640625" style="18" customWidth="1"/>
    <col min="12023" max="12023" width="16.5" style="18" customWidth="1"/>
    <col min="12024" max="12024" width="17.83203125" style="18" customWidth="1"/>
    <col min="12025" max="12025" width="10.1640625" style="18" customWidth="1"/>
    <col min="12026" max="12026" width="6.6640625" style="18" bestFit="1" customWidth="1"/>
    <col min="12027" max="12027" width="13" style="18" customWidth="1"/>
    <col min="12028" max="12028" width="16.08203125" style="18" customWidth="1"/>
    <col min="12029" max="12029" width="15.1640625" style="18" customWidth="1"/>
    <col min="12030" max="12030" width="2.1640625" style="18" customWidth="1"/>
    <col min="12031" max="12031" width="8.5" style="18" bestFit="1" customWidth="1"/>
    <col min="12032" max="12032" width="9.6640625" style="18" bestFit="1" customWidth="1"/>
    <col min="12033" max="12033" width="8.33203125" style="18" bestFit="1" customWidth="1"/>
    <col min="12034" max="12034" width="10.5" style="18" bestFit="1" customWidth="1"/>
    <col min="12035" max="12277" width="8" style="18"/>
    <col min="12278" max="12278" width="15.6640625" style="18" customWidth="1"/>
    <col min="12279" max="12279" width="16.5" style="18" customWidth="1"/>
    <col min="12280" max="12280" width="17.83203125" style="18" customWidth="1"/>
    <col min="12281" max="12281" width="10.1640625" style="18" customWidth="1"/>
    <col min="12282" max="12282" width="6.6640625" style="18" bestFit="1" customWidth="1"/>
    <col min="12283" max="12283" width="13" style="18" customWidth="1"/>
    <col min="12284" max="12284" width="16.08203125" style="18" customWidth="1"/>
    <col min="12285" max="12285" width="15.1640625" style="18" customWidth="1"/>
    <col min="12286" max="12286" width="2.1640625" style="18" customWidth="1"/>
    <col min="12287" max="12287" width="8.5" style="18" bestFit="1" customWidth="1"/>
    <col min="12288" max="12288" width="9.6640625" style="18" bestFit="1" customWidth="1"/>
    <col min="12289" max="12289" width="8.33203125" style="18" bestFit="1" customWidth="1"/>
    <col min="12290" max="12290" width="10.5" style="18" bestFit="1" customWidth="1"/>
    <col min="12291" max="12533" width="8" style="18"/>
    <col min="12534" max="12534" width="15.6640625" style="18" customWidth="1"/>
    <col min="12535" max="12535" width="16.5" style="18" customWidth="1"/>
    <col min="12536" max="12536" width="17.83203125" style="18" customWidth="1"/>
    <col min="12537" max="12537" width="10.1640625" style="18" customWidth="1"/>
    <col min="12538" max="12538" width="6.6640625" style="18" bestFit="1" customWidth="1"/>
    <col min="12539" max="12539" width="13" style="18" customWidth="1"/>
    <col min="12540" max="12540" width="16.08203125" style="18" customWidth="1"/>
    <col min="12541" max="12541" width="15.1640625" style="18" customWidth="1"/>
    <col min="12542" max="12542" width="2.1640625" style="18" customWidth="1"/>
    <col min="12543" max="12543" width="8.5" style="18" bestFit="1" customWidth="1"/>
    <col min="12544" max="12544" width="9.6640625" style="18" bestFit="1" customWidth="1"/>
    <col min="12545" max="12545" width="8.33203125" style="18" bestFit="1" customWidth="1"/>
    <col min="12546" max="12546" width="10.5" style="18" bestFit="1" customWidth="1"/>
    <col min="12547" max="12789" width="8" style="18"/>
    <col min="12790" max="12790" width="15.6640625" style="18" customWidth="1"/>
    <col min="12791" max="12791" width="16.5" style="18" customWidth="1"/>
    <col min="12792" max="12792" width="17.83203125" style="18" customWidth="1"/>
    <col min="12793" max="12793" width="10.1640625" style="18" customWidth="1"/>
    <col min="12794" max="12794" width="6.6640625" style="18" bestFit="1" customWidth="1"/>
    <col min="12795" max="12795" width="13" style="18" customWidth="1"/>
    <col min="12796" max="12796" width="16.08203125" style="18" customWidth="1"/>
    <col min="12797" max="12797" width="15.1640625" style="18" customWidth="1"/>
    <col min="12798" max="12798" width="2.1640625" style="18" customWidth="1"/>
    <col min="12799" max="12799" width="8.5" style="18" bestFit="1" customWidth="1"/>
    <col min="12800" max="12800" width="9.6640625" style="18" bestFit="1" customWidth="1"/>
    <col min="12801" max="12801" width="8.33203125" style="18" bestFit="1" customWidth="1"/>
    <col min="12802" max="12802" width="10.5" style="18" bestFit="1" customWidth="1"/>
    <col min="12803" max="13045" width="8" style="18"/>
    <col min="13046" max="13046" width="15.6640625" style="18" customWidth="1"/>
    <col min="13047" max="13047" width="16.5" style="18" customWidth="1"/>
    <col min="13048" max="13048" width="17.83203125" style="18" customWidth="1"/>
    <col min="13049" max="13049" width="10.1640625" style="18" customWidth="1"/>
    <col min="13050" max="13050" width="6.6640625" style="18" bestFit="1" customWidth="1"/>
    <col min="13051" max="13051" width="13" style="18" customWidth="1"/>
    <col min="13052" max="13052" width="16.08203125" style="18" customWidth="1"/>
    <col min="13053" max="13053" width="15.1640625" style="18" customWidth="1"/>
    <col min="13054" max="13054" width="2.1640625" style="18" customWidth="1"/>
    <col min="13055" max="13055" width="8.5" style="18" bestFit="1" customWidth="1"/>
    <col min="13056" max="13056" width="9.6640625" style="18" bestFit="1" customWidth="1"/>
    <col min="13057" max="13057" width="8.33203125" style="18" bestFit="1" customWidth="1"/>
    <col min="13058" max="13058" width="10.5" style="18" bestFit="1" customWidth="1"/>
    <col min="13059" max="13301" width="8" style="18"/>
    <col min="13302" max="13302" width="15.6640625" style="18" customWidth="1"/>
    <col min="13303" max="13303" width="16.5" style="18" customWidth="1"/>
    <col min="13304" max="13304" width="17.83203125" style="18" customWidth="1"/>
    <col min="13305" max="13305" width="10.1640625" style="18" customWidth="1"/>
    <col min="13306" max="13306" width="6.6640625" style="18" bestFit="1" customWidth="1"/>
    <col min="13307" max="13307" width="13" style="18" customWidth="1"/>
    <col min="13308" max="13308" width="16.08203125" style="18" customWidth="1"/>
    <col min="13309" max="13309" width="15.1640625" style="18" customWidth="1"/>
    <col min="13310" max="13310" width="2.1640625" style="18" customWidth="1"/>
    <col min="13311" max="13311" width="8.5" style="18" bestFit="1" customWidth="1"/>
    <col min="13312" max="13312" width="9.6640625" style="18" bestFit="1" customWidth="1"/>
    <col min="13313" max="13313" width="8.33203125" style="18" bestFit="1" customWidth="1"/>
    <col min="13314" max="13314" width="10.5" style="18" bestFit="1" customWidth="1"/>
    <col min="13315" max="13557" width="8" style="18"/>
    <col min="13558" max="13558" width="15.6640625" style="18" customWidth="1"/>
    <col min="13559" max="13559" width="16.5" style="18" customWidth="1"/>
    <col min="13560" max="13560" width="17.83203125" style="18" customWidth="1"/>
    <col min="13561" max="13561" width="10.1640625" style="18" customWidth="1"/>
    <col min="13562" max="13562" width="6.6640625" style="18" bestFit="1" customWidth="1"/>
    <col min="13563" max="13563" width="13" style="18" customWidth="1"/>
    <col min="13564" max="13564" width="16.08203125" style="18" customWidth="1"/>
    <col min="13565" max="13565" width="15.1640625" style="18" customWidth="1"/>
    <col min="13566" max="13566" width="2.1640625" style="18" customWidth="1"/>
    <col min="13567" max="13567" width="8.5" style="18" bestFit="1" customWidth="1"/>
    <col min="13568" max="13568" width="9.6640625" style="18" bestFit="1" customWidth="1"/>
    <col min="13569" max="13569" width="8.33203125" style="18" bestFit="1" customWidth="1"/>
    <col min="13570" max="13570" width="10.5" style="18" bestFit="1" customWidth="1"/>
    <col min="13571" max="13813" width="8" style="18"/>
    <col min="13814" max="13814" width="15.6640625" style="18" customWidth="1"/>
    <col min="13815" max="13815" width="16.5" style="18" customWidth="1"/>
    <col min="13816" max="13816" width="17.83203125" style="18" customWidth="1"/>
    <col min="13817" max="13817" width="10.1640625" style="18" customWidth="1"/>
    <col min="13818" max="13818" width="6.6640625" style="18" bestFit="1" customWidth="1"/>
    <col min="13819" max="13819" width="13" style="18" customWidth="1"/>
    <col min="13820" max="13820" width="16.08203125" style="18" customWidth="1"/>
    <col min="13821" max="13821" width="15.1640625" style="18" customWidth="1"/>
    <col min="13822" max="13822" width="2.1640625" style="18" customWidth="1"/>
    <col min="13823" max="13823" width="8.5" style="18" bestFit="1" customWidth="1"/>
    <col min="13824" max="13824" width="9.6640625" style="18" bestFit="1" customWidth="1"/>
    <col min="13825" max="13825" width="8.33203125" style="18" bestFit="1" customWidth="1"/>
    <col min="13826" max="13826" width="10.5" style="18" bestFit="1" customWidth="1"/>
    <col min="13827" max="14069" width="8" style="18"/>
    <col min="14070" max="14070" width="15.6640625" style="18" customWidth="1"/>
    <col min="14071" max="14071" width="16.5" style="18" customWidth="1"/>
    <col min="14072" max="14072" width="17.83203125" style="18" customWidth="1"/>
    <col min="14073" max="14073" width="10.1640625" style="18" customWidth="1"/>
    <col min="14074" max="14074" width="6.6640625" style="18" bestFit="1" customWidth="1"/>
    <col min="14075" max="14075" width="13" style="18" customWidth="1"/>
    <col min="14076" max="14076" width="16.08203125" style="18" customWidth="1"/>
    <col min="14077" max="14077" width="15.1640625" style="18" customWidth="1"/>
    <col min="14078" max="14078" width="2.1640625" style="18" customWidth="1"/>
    <col min="14079" max="14079" width="8.5" style="18" bestFit="1" customWidth="1"/>
    <col min="14080" max="14080" width="9.6640625" style="18" bestFit="1" customWidth="1"/>
    <col min="14081" max="14081" width="8.33203125" style="18" bestFit="1" customWidth="1"/>
    <col min="14082" max="14082" width="10.5" style="18" bestFit="1" customWidth="1"/>
    <col min="14083" max="14325" width="8" style="18"/>
    <col min="14326" max="14326" width="15.6640625" style="18" customWidth="1"/>
    <col min="14327" max="14327" width="16.5" style="18" customWidth="1"/>
    <col min="14328" max="14328" width="17.83203125" style="18" customWidth="1"/>
    <col min="14329" max="14329" width="10.1640625" style="18" customWidth="1"/>
    <col min="14330" max="14330" width="6.6640625" style="18" bestFit="1" customWidth="1"/>
    <col min="14331" max="14331" width="13" style="18" customWidth="1"/>
    <col min="14332" max="14332" width="16.08203125" style="18" customWidth="1"/>
    <col min="14333" max="14333" width="15.1640625" style="18" customWidth="1"/>
    <col min="14334" max="14334" width="2.1640625" style="18" customWidth="1"/>
    <col min="14335" max="14335" width="8.5" style="18" bestFit="1" customWidth="1"/>
    <col min="14336" max="14336" width="9.6640625" style="18" bestFit="1" customWidth="1"/>
    <col min="14337" max="14337" width="8.33203125" style="18" bestFit="1" customWidth="1"/>
    <col min="14338" max="14338" width="10.5" style="18" bestFit="1" customWidth="1"/>
    <col min="14339" max="14581" width="8" style="18"/>
    <col min="14582" max="14582" width="15.6640625" style="18" customWidth="1"/>
    <col min="14583" max="14583" width="16.5" style="18" customWidth="1"/>
    <col min="14584" max="14584" width="17.83203125" style="18" customWidth="1"/>
    <col min="14585" max="14585" width="10.1640625" style="18" customWidth="1"/>
    <col min="14586" max="14586" width="6.6640625" style="18" bestFit="1" customWidth="1"/>
    <col min="14587" max="14587" width="13" style="18" customWidth="1"/>
    <col min="14588" max="14588" width="16.08203125" style="18" customWidth="1"/>
    <col min="14589" max="14589" width="15.1640625" style="18" customWidth="1"/>
    <col min="14590" max="14590" width="2.1640625" style="18" customWidth="1"/>
    <col min="14591" max="14591" width="8.5" style="18" bestFit="1" customWidth="1"/>
    <col min="14592" max="14592" width="9.6640625" style="18" bestFit="1" customWidth="1"/>
    <col min="14593" max="14593" width="8.33203125" style="18" bestFit="1" customWidth="1"/>
    <col min="14594" max="14594" width="10.5" style="18" bestFit="1" customWidth="1"/>
    <col min="14595" max="14837" width="8" style="18"/>
    <col min="14838" max="14838" width="15.6640625" style="18" customWidth="1"/>
    <col min="14839" max="14839" width="16.5" style="18" customWidth="1"/>
    <col min="14840" max="14840" width="17.83203125" style="18" customWidth="1"/>
    <col min="14841" max="14841" width="10.1640625" style="18" customWidth="1"/>
    <col min="14842" max="14842" width="6.6640625" style="18" bestFit="1" customWidth="1"/>
    <col min="14843" max="14843" width="13" style="18" customWidth="1"/>
    <col min="14844" max="14844" width="16.08203125" style="18" customWidth="1"/>
    <col min="14845" max="14845" width="15.1640625" style="18" customWidth="1"/>
    <col min="14846" max="14846" width="2.1640625" style="18" customWidth="1"/>
    <col min="14847" max="14847" width="8.5" style="18" bestFit="1" customWidth="1"/>
    <col min="14848" max="14848" width="9.6640625" style="18" bestFit="1" customWidth="1"/>
    <col min="14849" max="14849" width="8.33203125" style="18" bestFit="1" customWidth="1"/>
    <col min="14850" max="14850" width="10.5" style="18" bestFit="1" customWidth="1"/>
    <col min="14851" max="15093" width="8" style="18"/>
    <col min="15094" max="15094" width="15.6640625" style="18" customWidth="1"/>
    <col min="15095" max="15095" width="16.5" style="18" customWidth="1"/>
    <col min="15096" max="15096" width="17.83203125" style="18" customWidth="1"/>
    <col min="15097" max="15097" width="10.1640625" style="18" customWidth="1"/>
    <col min="15098" max="15098" width="6.6640625" style="18" bestFit="1" customWidth="1"/>
    <col min="15099" max="15099" width="13" style="18" customWidth="1"/>
    <col min="15100" max="15100" width="16.08203125" style="18" customWidth="1"/>
    <col min="15101" max="15101" width="15.1640625" style="18" customWidth="1"/>
    <col min="15102" max="15102" width="2.1640625" style="18" customWidth="1"/>
    <col min="15103" max="15103" width="8.5" style="18" bestFit="1" customWidth="1"/>
    <col min="15104" max="15104" width="9.6640625" style="18" bestFit="1" customWidth="1"/>
    <col min="15105" max="15105" width="8.33203125" style="18" bestFit="1" customWidth="1"/>
    <col min="15106" max="15106" width="10.5" style="18" bestFit="1" customWidth="1"/>
    <col min="15107" max="15349" width="8" style="18"/>
    <col min="15350" max="15350" width="15.6640625" style="18" customWidth="1"/>
    <col min="15351" max="15351" width="16.5" style="18" customWidth="1"/>
    <col min="15352" max="15352" width="17.83203125" style="18" customWidth="1"/>
    <col min="15353" max="15353" width="10.1640625" style="18" customWidth="1"/>
    <col min="15354" max="15354" width="6.6640625" style="18" bestFit="1" customWidth="1"/>
    <col min="15355" max="15355" width="13" style="18" customWidth="1"/>
    <col min="15356" max="15356" width="16.08203125" style="18" customWidth="1"/>
    <col min="15357" max="15357" width="15.1640625" style="18" customWidth="1"/>
    <col min="15358" max="15358" width="2.1640625" style="18" customWidth="1"/>
    <col min="15359" max="15359" width="8.5" style="18" bestFit="1" customWidth="1"/>
    <col min="15360" max="15360" width="9.6640625" style="18" bestFit="1" customWidth="1"/>
    <col min="15361" max="15361" width="8.33203125" style="18" bestFit="1" customWidth="1"/>
    <col min="15362" max="15362" width="10.5" style="18" bestFit="1" customWidth="1"/>
    <col min="15363" max="15605" width="8" style="18"/>
    <col min="15606" max="15606" width="15.6640625" style="18" customWidth="1"/>
    <col min="15607" max="15607" width="16.5" style="18" customWidth="1"/>
    <col min="15608" max="15608" width="17.83203125" style="18" customWidth="1"/>
    <col min="15609" max="15609" width="10.1640625" style="18" customWidth="1"/>
    <col min="15610" max="15610" width="6.6640625" style="18" bestFit="1" customWidth="1"/>
    <col min="15611" max="15611" width="13" style="18" customWidth="1"/>
    <col min="15612" max="15612" width="16.08203125" style="18" customWidth="1"/>
    <col min="15613" max="15613" width="15.1640625" style="18" customWidth="1"/>
    <col min="15614" max="15614" width="2.1640625" style="18" customWidth="1"/>
    <col min="15615" max="15615" width="8.5" style="18" bestFit="1" customWidth="1"/>
    <col min="15616" max="15616" width="9.6640625" style="18" bestFit="1" customWidth="1"/>
    <col min="15617" max="15617" width="8.33203125" style="18" bestFit="1" customWidth="1"/>
    <col min="15618" max="15618" width="10.5" style="18" bestFit="1" customWidth="1"/>
    <col min="15619" max="15861" width="8" style="18"/>
    <col min="15862" max="15862" width="15.6640625" style="18" customWidth="1"/>
    <col min="15863" max="15863" width="16.5" style="18" customWidth="1"/>
    <col min="15864" max="15864" width="17.83203125" style="18" customWidth="1"/>
    <col min="15865" max="15865" width="10.1640625" style="18" customWidth="1"/>
    <col min="15866" max="15866" width="6.6640625" style="18" bestFit="1" customWidth="1"/>
    <col min="15867" max="15867" width="13" style="18" customWidth="1"/>
    <col min="15868" max="15868" width="16.08203125" style="18" customWidth="1"/>
    <col min="15869" max="15869" width="15.1640625" style="18" customWidth="1"/>
    <col min="15870" max="15870" width="2.1640625" style="18" customWidth="1"/>
    <col min="15871" max="15871" width="8.5" style="18" bestFit="1" customWidth="1"/>
    <col min="15872" max="15872" width="9.6640625" style="18" bestFit="1" customWidth="1"/>
    <col min="15873" max="15873" width="8.33203125" style="18" bestFit="1" customWidth="1"/>
    <col min="15874" max="15874" width="10.5" style="18" bestFit="1" customWidth="1"/>
    <col min="15875" max="16117" width="8" style="18"/>
    <col min="16118" max="16118" width="15.6640625" style="18" customWidth="1"/>
    <col min="16119" max="16119" width="16.5" style="18" customWidth="1"/>
    <col min="16120" max="16120" width="17.83203125" style="18" customWidth="1"/>
    <col min="16121" max="16121" width="10.1640625" style="18" customWidth="1"/>
    <col min="16122" max="16122" width="6.6640625" style="18" bestFit="1" customWidth="1"/>
    <col min="16123" max="16123" width="13" style="18" customWidth="1"/>
    <col min="16124" max="16124" width="16.08203125" style="18" customWidth="1"/>
    <col min="16125" max="16125" width="15.1640625" style="18" customWidth="1"/>
    <col min="16126" max="16126" width="2.1640625" style="18" customWidth="1"/>
    <col min="16127" max="16127" width="8.5" style="18" bestFit="1" customWidth="1"/>
    <col min="16128" max="16128" width="9.6640625" style="18" bestFit="1" customWidth="1"/>
    <col min="16129" max="16129" width="8.33203125" style="18" bestFit="1" customWidth="1"/>
    <col min="16130" max="16130" width="10.5" style="18" bestFit="1" customWidth="1"/>
    <col min="16131" max="16384" width="8" style="18"/>
  </cols>
  <sheetData>
    <row r="1" spans="1:12" s="1" customFormat="1" ht="51.75" customHeight="1">
      <c r="A1" s="88" t="s">
        <v>16</v>
      </c>
      <c r="B1" s="88"/>
      <c r="C1" s="88"/>
      <c r="D1" s="88"/>
      <c r="E1" s="88"/>
      <c r="F1" s="88"/>
      <c r="G1" s="88"/>
      <c r="H1" s="68"/>
    </row>
    <row r="2" spans="1:12" s="4" customFormat="1" ht="15.75" customHeight="1">
      <c r="A2" s="2"/>
      <c r="B2" s="2"/>
      <c r="C2" s="2"/>
      <c r="D2" s="2"/>
      <c r="E2" s="2"/>
      <c r="F2" s="2"/>
      <c r="G2" s="2"/>
      <c r="H2" s="3"/>
    </row>
    <row r="3" spans="1:12" s="4" customFormat="1" ht="19.5" customHeight="1">
      <c r="A3" s="5"/>
      <c r="B3" s="5"/>
      <c r="C3" s="5"/>
      <c r="D3" s="7"/>
      <c r="E3" s="7"/>
      <c r="F3" s="7"/>
    </row>
    <row r="4" spans="1:12" s="4" customFormat="1" ht="24" customHeight="1">
      <c r="A4" s="48" t="s">
        <v>17</v>
      </c>
      <c r="B4" s="48"/>
      <c r="C4" s="8"/>
      <c r="D4" s="7"/>
      <c r="E4" s="7"/>
      <c r="F4" s="7"/>
      <c r="G4" s="6"/>
    </row>
    <row r="5" spans="1:12" s="4" customFormat="1" ht="24" customHeight="1">
      <c r="A5" s="49" t="s">
        <v>66</v>
      </c>
      <c r="B5" s="49"/>
      <c r="C5" s="49"/>
      <c r="D5" s="7"/>
      <c r="E5" s="7"/>
      <c r="F5" s="7"/>
      <c r="G5" s="89" t="s">
        <v>56</v>
      </c>
      <c r="H5" s="89"/>
    </row>
    <row r="6" spans="1:12" s="4" customFormat="1" ht="24" customHeight="1">
      <c r="A6" s="81" t="s">
        <v>75</v>
      </c>
      <c r="B6" s="81"/>
      <c r="C6" s="81"/>
      <c r="D6" s="7"/>
      <c r="E6" s="7"/>
      <c r="F6" s="7"/>
      <c r="G6" s="90" t="s">
        <v>53</v>
      </c>
      <c r="H6" s="90"/>
    </row>
    <row r="7" spans="1:12" s="4" customFormat="1" ht="24" customHeight="1">
      <c r="A7" s="82">
        <v>45559</v>
      </c>
      <c r="B7" s="82"/>
      <c r="C7" s="82"/>
      <c r="D7" s="7"/>
      <c r="E7" s="7"/>
      <c r="F7" s="7"/>
      <c r="G7" s="52" t="s">
        <v>18</v>
      </c>
    </row>
    <row r="8" spans="1:12" s="4" customFormat="1" ht="24" customHeight="1">
      <c r="A8" s="10"/>
      <c r="B8" s="10"/>
      <c r="C8" s="10"/>
      <c r="D8" s="7"/>
      <c r="E8" s="7"/>
      <c r="F8" s="7"/>
      <c r="G8" s="52" t="s">
        <v>19</v>
      </c>
    </row>
    <row r="9" spans="1:12" s="4" customFormat="1" ht="15.75" customHeight="1">
      <c r="A9" s="50" t="s">
        <v>51</v>
      </c>
      <c r="B9" s="99" t="s">
        <v>67</v>
      </c>
      <c r="C9" s="99"/>
      <c r="D9" s="11"/>
      <c r="E9" s="11"/>
      <c r="F9" s="11"/>
      <c r="G9" s="52" t="s">
        <v>20</v>
      </c>
    </row>
    <row r="10" spans="1:12" s="4" customFormat="1" ht="3.75" customHeight="1">
      <c r="A10" s="50"/>
      <c r="B10" s="51"/>
      <c r="C10" s="51"/>
      <c r="D10" s="11"/>
      <c r="E10" s="11"/>
      <c r="F10" s="11"/>
      <c r="G10" s="12"/>
      <c r="H10" s="9"/>
    </row>
    <row r="11" spans="1:12" s="4" customFormat="1" ht="15.75" customHeight="1">
      <c r="A11" s="50" t="s">
        <v>52</v>
      </c>
      <c r="B11" s="100">
        <f>G68</f>
        <v>1462567200</v>
      </c>
      <c r="C11" s="100"/>
      <c r="D11" s="47"/>
      <c r="E11" s="47"/>
      <c r="F11" s="47"/>
      <c r="G11" s="46"/>
      <c r="H11" s="13" t="s">
        <v>49</v>
      </c>
    </row>
    <row r="12" spans="1:12" s="4" customFormat="1" ht="4.5" customHeight="1" thickBot="1">
      <c r="A12" s="14"/>
      <c r="B12" s="14"/>
      <c r="C12" s="14"/>
      <c r="D12" s="15"/>
      <c r="E12" s="15"/>
      <c r="F12" s="15"/>
      <c r="G12" s="15"/>
      <c r="H12" s="15"/>
    </row>
    <row r="13" spans="1:12" s="4" customFormat="1" ht="51.5" thickBot="1">
      <c r="A13" s="33" t="s">
        <v>45</v>
      </c>
      <c r="B13" s="34" t="s">
        <v>21</v>
      </c>
      <c r="C13" s="34" t="s">
        <v>25</v>
      </c>
      <c r="D13" s="35" t="s">
        <v>30</v>
      </c>
      <c r="E13" s="35" t="s">
        <v>71</v>
      </c>
      <c r="F13" s="35" t="s">
        <v>73</v>
      </c>
      <c r="G13" s="35" t="s">
        <v>74</v>
      </c>
      <c r="H13" s="45" t="s">
        <v>22</v>
      </c>
    </row>
    <row r="14" spans="1:12" s="16" customFormat="1" ht="16" customHeight="1">
      <c r="A14" s="101" t="s">
        <v>47</v>
      </c>
      <c r="B14" s="75" t="s">
        <v>60</v>
      </c>
      <c r="C14" s="43" t="s">
        <v>0</v>
      </c>
      <c r="D14" s="44">
        <v>1</v>
      </c>
      <c r="E14" s="44">
        <v>1501500</v>
      </c>
      <c r="F14" s="60">
        <f>E14*D14*3</f>
        <v>4504500</v>
      </c>
      <c r="G14" s="61">
        <f>E14*12*D14</f>
        <v>18018000</v>
      </c>
      <c r="H14" s="83" t="s">
        <v>64</v>
      </c>
      <c r="K14" s="70"/>
      <c r="L14" s="70"/>
    </row>
    <row r="15" spans="1:12" s="16" customFormat="1">
      <c r="A15" s="102"/>
      <c r="B15" s="76"/>
      <c r="C15" s="41" t="s">
        <v>1</v>
      </c>
      <c r="D15" s="32">
        <v>1</v>
      </c>
      <c r="E15" s="42">
        <v>1501500.0000000002</v>
      </c>
      <c r="F15" s="61">
        <f>E15*D15*3</f>
        <v>4504500.0000000009</v>
      </c>
      <c r="G15" s="61">
        <f>E15*12*D15</f>
        <v>18018000.000000004</v>
      </c>
      <c r="H15" s="84"/>
      <c r="K15" s="70"/>
      <c r="L15" s="70"/>
    </row>
    <row r="16" spans="1:12" s="16" customFormat="1">
      <c r="A16" s="102"/>
      <c r="B16" s="76"/>
      <c r="C16" s="41" t="s">
        <v>2</v>
      </c>
      <c r="D16" s="32">
        <v>1</v>
      </c>
      <c r="E16" s="42">
        <v>1501500.0000000002</v>
      </c>
      <c r="F16" s="61">
        <f t="shared" ref="F16:F25" si="0">E16*D16*3</f>
        <v>4504500.0000000009</v>
      </c>
      <c r="G16" s="61">
        <f t="shared" ref="G16:G25" si="1">E16*12*D16</f>
        <v>18018000.000000004</v>
      </c>
      <c r="H16" s="84"/>
      <c r="K16" s="70"/>
      <c r="L16" s="70"/>
    </row>
    <row r="17" spans="1:12" s="16" customFormat="1">
      <c r="A17" s="102"/>
      <c r="B17" s="76"/>
      <c r="C17" s="41" t="s">
        <v>3</v>
      </c>
      <c r="D17" s="32">
        <v>1</v>
      </c>
      <c r="E17" s="32">
        <v>3465000.0000000005</v>
      </c>
      <c r="F17" s="61">
        <f t="shared" si="0"/>
        <v>10395000.000000002</v>
      </c>
      <c r="G17" s="61">
        <f t="shared" si="1"/>
        <v>41580000.000000007</v>
      </c>
      <c r="H17" s="84"/>
      <c r="K17" s="70"/>
      <c r="L17" s="70"/>
    </row>
    <row r="18" spans="1:12" s="16" customFormat="1">
      <c r="A18" s="102"/>
      <c r="B18" s="76"/>
      <c r="C18" s="41" t="s">
        <v>4</v>
      </c>
      <c r="D18" s="32">
        <v>1</v>
      </c>
      <c r="E18" s="32">
        <v>3465000.0000000005</v>
      </c>
      <c r="F18" s="61">
        <f t="shared" si="0"/>
        <v>10395000.000000002</v>
      </c>
      <c r="G18" s="61">
        <f t="shared" si="1"/>
        <v>41580000.000000007</v>
      </c>
      <c r="H18" s="84"/>
      <c r="K18" s="70"/>
      <c r="L18" s="70"/>
    </row>
    <row r="19" spans="1:12" s="16" customFormat="1">
      <c r="A19" s="102"/>
      <c r="B19" s="76"/>
      <c r="C19" s="41" t="s">
        <v>5</v>
      </c>
      <c r="D19" s="32">
        <v>1</v>
      </c>
      <c r="E19" s="32">
        <v>577500</v>
      </c>
      <c r="F19" s="61">
        <f t="shared" si="0"/>
        <v>1732500</v>
      </c>
      <c r="G19" s="61">
        <f t="shared" si="1"/>
        <v>6930000</v>
      </c>
      <c r="H19" s="84"/>
      <c r="K19" s="70"/>
      <c r="L19" s="70"/>
    </row>
    <row r="20" spans="1:12" s="16" customFormat="1">
      <c r="A20" s="102"/>
      <c r="B20" s="76"/>
      <c r="C20" s="41" t="s">
        <v>6</v>
      </c>
      <c r="D20" s="32">
        <v>1</v>
      </c>
      <c r="E20" s="32">
        <v>577500</v>
      </c>
      <c r="F20" s="61">
        <f t="shared" si="0"/>
        <v>1732500</v>
      </c>
      <c r="G20" s="61">
        <f t="shared" si="1"/>
        <v>6930000</v>
      </c>
      <c r="H20" s="84"/>
      <c r="K20" s="70"/>
      <c r="L20" s="70"/>
    </row>
    <row r="21" spans="1:12" s="16" customFormat="1">
      <c r="A21" s="102"/>
      <c r="B21" s="76"/>
      <c r="C21" s="41" t="s">
        <v>7</v>
      </c>
      <c r="D21" s="32">
        <v>1</v>
      </c>
      <c r="E21" s="32">
        <v>3811500.0000000005</v>
      </c>
      <c r="F21" s="61">
        <f t="shared" si="0"/>
        <v>11434500.000000002</v>
      </c>
      <c r="G21" s="61">
        <f t="shared" si="1"/>
        <v>45738000.000000007</v>
      </c>
      <c r="H21" s="84"/>
      <c r="K21" s="70"/>
      <c r="L21" s="70"/>
    </row>
    <row r="22" spans="1:12" s="4" customFormat="1">
      <c r="A22" s="102"/>
      <c r="B22" s="76"/>
      <c r="C22" s="41" t="s">
        <v>8</v>
      </c>
      <c r="D22" s="32">
        <v>1</v>
      </c>
      <c r="E22" s="32">
        <v>3811500.0000000005</v>
      </c>
      <c r="F22" s="61">
        <f t="shared" si="0"/>
        <v>11434500.000000002</v>
      </c>
      <c r="G22" s="61">
        <f t="shared" si="1"/>
        <v>45738000.000000007</v>
      </c>
      <c r="H22" s="84"/>
      <c r="K22" s="70"/>
      <c r="L22" s="70"/>
    </row>
    <row r="23" spans="1:12" s="4" customFormat="1">
      <c r="A23" s="102"/>
      <c r="B23" s="76"/>
      <c r="C23" s="41" t="s">
        <v>9</v>
      </c>
      <c r="D23" s="32">
        <v>1</v>
      </c>
      <c r="E23" s="32">
        <v>1501500.0000000002</v>
      </c>
      <c r="F23" s="61">
        <f t="shared" si="0"/>
        <v>4504500.0000000009</v>
      </c>
      <c r="G23" s="61">
        <f t="shared" si="1"/>
        <v>18018000.000000004</v>
      </c>
      <c r="H23" s="84"/>
      <c r="K23" s="70"/>
      <c r="L23" s="70"/>
    </row>
    <row r="24" spans="1:12">
      <c r="A24" s="102"/>
      <c r="B24" s="76"/>
      <c r="C24" s="41" t="s">
        <v>10</v>
      </c>
      <c r="D24" s="32">
        <v>1</v>
      </c>
      <c r="E24" s="32">
        <v>4620000</v>
      </c>
      <c r="F24" s="61">
        <f t="shared" si="0"/>
        <v>13860000</v>
      </c>
      <c r="G24" s="61">
        <f t="shared" si="1"/>
        <v>55440000</v>
      </c>
      <c r="H24" s="84"/>
      <c r="K24" s="70"/>
      <c r="L24" s="70"/>
    </row>
    <row r="25" spans="1:12">
      <c r="A25" s="102"/>
      <c r="B25" s="76"/>
      <c r="C25" s="41" t="s">
        <v>11</v>
      </c>
      <c r="D25" s="32">
        <v>1</v>
      </c>
      <c r="E25" s="32">
        <v>4620000</v>
      </c>
      <c r="F25" s="61">
        <f t="shared" si="0"/>
        <v>13860000</v>
      </c>
      <c r="G25" s="61">
        <f t="shared" si="1"/>
        <v>55440000</v>
      </c>
      <c r="H25" s="84"/>
      <c r="K25" s="70"/>
      <c r="L25" s="70"/>
    </row>
    <row r="26" spans="1:12" ht="16.5" thickBot="1">
      <c r="A26" s="102"/>
      <c r="B26" s="77"/>
      <c r="C26" s="54" t="s">
        <v>38</v>
      </c>
      <c r="D26" s="53">
        <v>12</v>
      </c>
      <c r="E26" s="53">
        <f>24000*12</f>
        <v>288000</v>
      </c>
      <c r="F26" s="61">
        <f>E26*3</f>
        <v>864000</v>
      </c>
      <c r="G26" s="62">
        <f>E26*12</f>
        <v>3456000</v>
      </c>
      <c r="H26" s="84"/>
      <c r="J26" s="69"/>
      <c r="K26" s="70"/>
      <c r="L26" s="70"/>
    </row>
    <row r="27" spans="1:12" ht="16" customHeight="1">
      <c r="A27" s="102"/>
      <c r="B27" s="75" t="s">
        <v>61</v>
      </c>
      <c r="C27" s="36" t="s">
        <v>31</v>
      </c>
      <c r="D27" s="37">
        <v>1</v>
      </c>
      <c r="E27" s="37">
        <v>2310000</v>
      </c>
      <c r="F27" s="60">
        <f>E27*D27*3</f>
        <v>6930000</v>
      </c>
      <c r="G27" s="74">
        <f>E27*12*D27</f>
        <v>27720000</v>
      </c>
      <c r="H27" s="84"/>
      <c r="K27" s="70"/>
      <c r="L27" s="70"/>
    </row>
    <row r="28" spans="1:12">
      <c r="A28" s="102"/>
      <c r="B28" s="76"/>
      <c r="C28" s="31" t="s">
        <v>32</v>
      </c>
      <c r="D28" s="32">
        <v>1</v>
      </c>
      <c r="E28" s="32">
        <v>2310000</v>
      </c>
      <c r="F28" s="61">
        <f t="shared" ref="F28:F33" si="2">E28*D28*3</f>
        <v>6930000</v>
      </c>
      <c r="G28" s="61">
        <f t="shared" ref="G28:G33" si="3">E28*12*D28</f>
        <v>27720000</v>
      </c>
      <c r="H28" s="84"/>
      <c r="K28" s="70"/>
      <c r="L28" s="70"/>
    </row>
    <row r="29" spans="1:12">
      <c r="A29" s="102"/>
      <c r="B29" s="76"/>
      <c r="C29" s="31" t="s">
        <v>33</v>
      </c>
      <c r="D29" s="32">
        <v>1</v>
      </c>
      <c r="E29" s="32">
        <v>1386000</v>
      </c>
      <c r="F29" s="61">
        <f t="shared" si="2"/>
        <v>4158000</v>
      </c>
      <c r="G29" s="61">
        <f t="shared" si="3"/>
        <v>16632000</v>
      </c>
      <c r="H29" s="84"/>
      <c r="K29" s="70"/>
      <c r="L29" s="70"/>
    </row>
    <row r="30" spans="1:12">
      <c r="A30" s="102"/>
      <c r="B30" s="76"/>
      <c r="C30" s="31" t="s">
        <v>34</v>
      </c>
      <c r="D30" s="32">
        <v>1</v>
      </c>
      <c r="E30" s="32">
        <v>5775000.0000000009</v>
      </c>
      <c r="F30" s="61">
        <f t="shared" si="2"/>
        <v>17325000.000000004</v>
      </c>
      <c r="G30" s="61">
        <f t="shared" si="3"/>
        <v>69300000.000000015</v>
      </c>
      <c r="H30" s="84"/>
      <c r="K30" s="70"/>
      <c r="L30" s="70"/>
    </row>
    <row r="31" spans="1:12">
      <c r="A31" s="102"/>
      <c r="B31" s="76"/>
      <c r="C31" s="31" t="s">
        <v>35</v>
      </c>
      <c r="D31" s="32">
        <v>1</v>
      </c>
      <c r="E31" s="32">
        <v>5428500</v>
      </c>
      <c r="F31" s="61">
        <f t="shared" si="2"/>
        <v>16285500</v>
      </c>
      <c r="G31" s="61">
        <f t="shared" si="3"/>
        <v>65142000</v>
      </c>
      <c r="H31" s="84"/>
      <c r="K31" s="70"/>
      <c r="L31" s="70"/>
    </row>
    <row r="32" spans="1:12">
      <c r="A32" s="102"/>
      <c r="B32" s="76"/>
      <c r="C32" s="31" t="s">
        <v>36</v>
      </c>
      <c r="D32" s="32">
        <v>1</v>
      </c>
      <c r="E32" s="32">
        <v>3465000.0000000005</v>
      </c>
      <c r="F32" s="61">
        <f t="shared" si="2"/>
        <v>10395000.000000002</v>
      </c>
      <c r="G32" s="61">
        <f t="shared" si="3"/>
        <v>41580000.000000007</v>
      </c>
      <c r="H32" s="84"/>
      <c r="K32" s="70"/>
      <c r="L32" s="70"/>
    </row>
    <row r="33" spans="1:12">
      <c r="A33" s="102"/>
      <c r="B33" s="76"/>
      <c r="C33" s="31" t="s">
        <v>37</v>
      </c>
      <c r="D33" s="32">
        <v>1</v>
      </c>
      <c r="E33" s="32">
        <v>3234000.0000000005</v>
      </c>
      <c r="F33" s="61">
        <f t="shared" si="2"/>
        <v>9702000.0000000019</v>
      </c>
      <c r="G33" s="61">
        <f t="shared" si="3"/>
        <v>38808000.000000007</v>
      </c>
      <c r="H33" s="84"/>
      <c r="J33" s="30"/>
      <c r="K33" s="70"/>
      <c r="L33" s="70"/>
    </row>
    <row r="34" spans="1:12" ht="16.5" thickBot="1">
      <c r="A34" s="102"/>
      <c r="B34" s="77"/>
      <c r="C34" s="54" t="s">
        <v>38</v>
      </c>
      <c r="D34" s="53">
        <v>7</v>
      </c>
      <c r="E34" s="53">
        <f>24700*7</f>
        <v>172900</v>
      </c>
      <c r="F34" s="61">
        <f>E34*3</f>
        <v>518700</v>
      </c>
      <c r="G34" s="62">
        <f>E34*12</f>
        <v>2074800</v>
      </c>
      <c r="H34" s="84"/>
      <c r="J34" s="30"/>
      <c r="K34" s="70"/>
      <c r="L34" s="70"/>
    </row>
    <row r="35" spans="1:12" ht="16" customHeight="1">
      <c r="A35" s="102"/>
      <c r="B35" s="75" t="s">
        <v>62</v>
      </c>
      <c r="C35" s="36" t="s">
        <v>40</v>
      </c>
      <c r="D35" s="37">
        <v>1</v>
      </c>
      <c r="E35" s="37">
        <v>1732500.0000000002</v>
      </c>
      <c r="F35" s="60">
        <f>E35*D35*3</f>
        <v>5197500.0000000009</v>
      </c>
      <c r="G35" s="74">
        <f>E35*12*D35</f>
        <v>20790000.000000004</v>
      </c>
      <c r="H35" s="84"/>
      <c r="K35" s="70"/>
      <c r="L35" s="70"/>
    </row>
    <row r="36" spans="1:12">
      <c r="A36" s="102"/>
      <c r="B36" s="76"/>
      <c r="C36" s="31" t="s">
        <v>39</v>
      </c>
      <c r="D36" s="32">
        <v>1</v>
      </c>
      <c r="E36" s="32">
        <v>1732500.0000000002</v>
      </c>
      <c r="F36" s="61">
        <f t="shared" ref="F36:F39" si="4">E36*D36*3</f>
        <v>5197500.0000000009</v>
      </c>
      <c r="G36" s="61">
        <f t="shared" ref="G36:G44" si="5">E36*12*D36</f>
        <v>20790000.000000004</v>
      </c>
      <c r="H36" s="84"/>
      <c r="K36" s="70"/>
      <c r="L36" s="70"/>
    </row>
    <row r="37" spans="1:12">
      <c r="A37" s="102"/>
      <c r="B37" s="76"/>
      <c r="C37" s="31" t="s">
        <v>41</v>
      </c>
      <c r="D37" s="32">
        <v>1</v>
      </c>
      <c r="E37" s="32">
        <v>115500.00000000001</v>
      </c>
      <c r="F37" s="61">
        <f t="shared" si="4"/>
        <v>346500.00000000006</v>
      </c>
      <c r="G37" s="61">
        <f t="shared" si="5"/>
        <v>1386000.0000000002</v>
      </c>
      <c r="H37" s="84"/>
      <c r="K37" s="70"/>
      <c r="L37" s="70"/>
    </row>
    <row r="38" spans="1:12">
      <c r="A38" s="102"/>
      <c r="B38" s="76"/>
      <c r="C38" s="31" t="s">
        <v>42</v>
      </c>
      <c r="D38" s="32">
        <v>1</v>
      </c>
      <c r="E38" s="32">
        <v>115500.00000000001</v>
      </c>
      <c r="F38" s="61">
        <f t="shared" si="4"/>
        <v>346500.00000000006</v>
      </c>
      <c r="G38" s="61">
        <f t="shared" si="5"/>
        <v>1386000.0000000002</v>
      </c>
      <c r="H38" s="84"/>
      <c r="K38" s="70"/>
      <c r="L38" s="70"/>
    </row>
    <row r="39" spans="1:12">
      <c r="A39" s="102"/>
      <c r="B39" s="76"/>
      <c r="C39" s="31" t="s">
        <v>43</v>
      </c>
      <c r="D39" s="32">
        <v>1</v>
      </c>
      <c r="E39" s="32">
        <v>115500.00000000001</v>
      </c>
      <c r="F39" s="61">
        <f t="shared" si="4"/>
        <v>346500.00000000006</v>
      </c>
      <c r="G39" s="61">
        <f t="shared" si="5"/>
        <v>1386000.0000000002</v>
      </c>
      <c r="H39" s="84"/>
      <c r="J39" s="71"/>
      <c r="K39" s="70"/>
      <c r="L39" s="70"/>
    </row>
    <row r="40" spans="1:12" ht="16.5" thickBot="1">
      <c r="A40" s="102"/>
      <c r="B40" s="76"/>
      <c r="C40" s="55" t="s">
        <v>44</v>
      </c>
      <c r="D40" s="42">
        <v>1</v>
      </c>
      <c r="E40" s="42">
        <v>115500.00000000001</v>
      </c>
      <c r="F40" s="62">
        <f>E40*D40*3</f>
        <v>346500.00000000006</v>
      </c>
      <c r="G40" s="62">
        <f t="shared" si="5"/>
        <v>1386000.0000000002</v>
      </c>
      <c r="H40" s="84"/>
      <c r="J40" s="71"/>
      <c r="K40" s="70"/>
      <c r="L40" s="70"/>
    </row>
    <row r="41" spans="1:12">
      <c r="A41" s="102"/>
      <c r="B41" s="75" t="s">
        <v>70</v>
      </c>
      <c r="C41" s="36" t="s">
        <v>12</v>
      </c>
      <c r="D41" s="37">
        <v>1</v>
      </c>
      <c r="E41" s="37">
        <v>498300.00000000006</v>
      </c>
      <c r="F41" s="60">
        <f>E41*D41*3</f>
        <v>1494900.0000000002</v>
      </c>
      <c r="G41" s="74">
        <f>E41*12*D41</f>
        <v>5979600.0000000009</v>
      </c>
      <c r="H41" s="78" t="s">
        <v>64</v>
      </c>
      <c r="J41" s="71"/>
      <c r="K41" s="70"/>
      <c r="L41" s="70"/>
    </row>
    <row r="42" spans="1:12">
      <c r="A42" s="102"/>
      <c r="B42" s="76"/>
      <c r="C42" s="31" t="s">
        <v>13</v>
      </c>
      <c r="D42" s="32">
        <v>1</v>
      </c>
      <c r="E42" s="32">
        <v>498300.00000000006</v>
      </c>
      <c r="F42" s="61">
        <f t="shared" ref="F42:F44" si="6">E42*D42*3</f>
        <v>1494900.0000000002</v>
      </c>
      <c r="G42" s="61">
        <f t="shared" si="5"/>
        <v>5979600.0000000009</v>
      </c>
      <c r="H42" s="79"/>
      <c r="J42" s="71"/>
      <c r="K42" s="70"/>
      <c r="L42" s="70"/>
    </row>
    <row r="43" spans="1:12">
      <c r="A43" s="102"/>
      <c r="B43" s="76"/>
      <c r="C43" s="31" t="s">
        <v>14</v>
      </c>
      <c r="D43" s="32">
        <v>1</v>
      </c>
      <c r="E43" s="32">
        <v>498300.00000000006</v>
      </c>
      <c r="F43" s="61">
        <f t="shared" si="6"/>
        <v>1494900.0000000002</v>
      </c>
      <c r="G43" s="61">
        <f t="shared" si="5"/>
        <v>5979600.0000000009</v>
      </c>
      <c r="H43" s="79"/>
      <c r="J43" s="71"/>
      <c r="K43" s="70"/>
      <c r="L43" s="70"/>
    </row>
    <row r="44" spans="1:12" ht="16.5" thickBot="1">
      <c r="A44" s="104"/>
      <c r="B44" s="77"/>
      <c r="C44" s="54" t="s">
        <v>15</v>
      </c>
      <c r="D44" s="53">
        <v>1</v>
      </c>
      <c r="E44" s="53">
        <v>498300.00000000006</v>
      </c>
      <c r="F44" s="62">
        <f t="shared" si="6"/>
        <v>1494900.0000000002</v>
      </c>
      <c r="G44" s="62">
        <f t="shared" si="5"/>
        <v>5979600.0000000009</v>
      </c>
      <c r="H44" s="80"/>
      <c r="J44" s="71"/>
      <c r="K44" s="70"/>
      <c r="L44" s="70"/>
    </row>
    <row r="45" spans="1:12" ht="17.5" thickBot="1">
      <c r="A45" s="85" t="s">
        <v>59</v>
      </c>
      <c r="B45" s="86"/>
      <c r="C45" s="87"/>
      <c r="D45" s="63"/>
      <c r="E45" s="56">
        <f>SUM(E14:E44)</f>
        <v>61243600</v>
      </c>
      <c r="F45" s="56">
        <f>SUM(F14:F44)</f>
        <v>183730800</v>
      </c>
      <c r="G45" s="56">
        <f>SUM(G14:G44)</f>
        <v>734923200</v>
      </c>
      <c r="H45" s="57"/>
      <c r="J45" s="71"/>
    </row>
    <row r="46" spans="1:12">
      <c r="A46" s="101" t="s">
        <v>48</v>
      </c>
      <c r="B46" s="75" t="s">
        <v>63</v>
      </c>
      <c r="C46" s="36" t="s">
        <v>0</v>
      </c>
      <c r="D46" s="37">
        <v>1</v>
      </c>
      <c r="E46" s="37">
        <v>1963200</v>
      </c>
      <c r="F46" s="60">
        <f>E46*D46*3</f>
        <v>5889600</v>
      </c>
      <c r="G46" s="74">
        <f>E46*12*D46</f>
        <v>23558400</v>
      </c>
      <c r="H46" s="78" t="s">
        <v>64</v>
      </c>
      <c r="J46" s="71"/>
      <c r="K46" s="71"/>
      <c r="L46" s="71"/>
    </row>
    <row r="47" spans="1:12">
      <c r="A47" s="102"/>
      <c r="B47" s="76"/>
      <c r="C47" s="31" t="s">
        <v>1</v>
      </c>
      <c r="D47" s="32">
        <v>1</v>
      </c>
      <c r="E47" s="32">
        <v>1963200</v>
      </c>
      <c r="F47" s="61">
        <f t="shared" ref="F47" si="7">E47*D47*3</f>
        <v>5889600</v>
      </c>
      <c r="G47" s="61">
        <f t="shared" ref="G47" si="8">E47*12*D47</f>
        <v>23558400</v>
      </c>
      <c r="H47" s="79"/>
      <c r="K47" s="71"/>
      <c r="L47" s="71"/>
    </row>
    <row r="48" spans="1:12">
      <c r="A48" s="102"/>
      <c r="B48" s="76"/>
      <c r="C48" s="31" t="s">
        <v>2</v>
      </c>
      <c r="D48" s="32">
        <v>1</v>
      </c>
      <c r="E48" s="32">
        <v>1963200</v>
      </c>
      <c r="F48" s="61">
        <f t="shared" ref="F48:F64" si="9">E48*D48*3</f>
        <v>5889600</v>
      </c>
      <c r="G48" s="61">
        <f t="shared" ref="G48:G64" si="10">E48*12*D48</f>
        <v>23558400</v>
      </c>
      <c r="H48" s="79"/>
      <c r="K48" s="71"/>
      <c r="L48" s="71"/>
    </row>
    <row r="49" spans="1:12">
      <c r="A49" s="102"/>
      <c r="B49" s="76"/>
      <c r="C49" s="31" t="s">
        <v>3</v>
      </c>
      <c r="D49" s="32">
        <v>1</v>
      </c>
      <c r="E49" s="32">
        <v>4621400</v>
      </c>
      <c r="F49" s="61">
        <f t="shared" si="9"/>
        <v>13864200</v>
      </c>
      <c r="G49" s="61">
        <f t="shared" si="10"/>
        <v>55456800</v>
      </c>
      <c r="H49" s="79"/>
      <c r="K49" s="71"/>
      <c r="L49" s="71"/>
    </row>
    <row r="50" spans="1:12">
      <c r="A50" s="102"/>
      <c r="B50" s="76"/>
      <c r="C50" s="31" t="s">
        <v>4</v>
      </c>
      <c r="D50" s="32">
        <v>1</v>
      </c>
      <c r="E50" s="32">
        <v>3465000.0000000005</v>
      </c>
      <c r="F50" s="61">
        <f t="shared" si="9"/>
        <v>10395000.000000002</v>
      </c>
      <c r="G50" s="61">
        <f t="shared" si="10"/>
        <v>41580000.000000007</v>
      </c>
      <c r="H50" s="79"/>
      <c r="K50" s="70"/>
      <c r="L50" s="70"/>
    </row>
    <row r="51" spans="1:12">
      <c r="A51" s="102"/>
      <c r="B51" s="76"/>
      <c r="C51" s="31" t="s">
        <v>5</v>
      </c>
      <c r="D51" s="32">
        <v>1</v>
      </c>
      <c r="E51" s="32">
        <v>1732500.0000000002</v>
      </c>
      <c r="F51" s="61">
        <f t="shared" si="9"/>
        <v>5197500.0000000009</v>
      </c>
      <c r="G51" s="61">
        <f t="shared" si="10"/>
        <v>20790000.000000004</v>
      </c>
      <c r="H51" s="79"/>
      <c r="K51" s="70"/>
      <c r="L51" s="70"/>
    </row>
    <row r="52" spans="1:12">
      <c r="A52" s="102"/>
      <c r="B52" s="76"/>
      <c r="C52" s="31" t="s">
        <v>6</v>
      </c>
      <c r="D52" s="32">
        <v>1</v>
      </c>
      <c r="E52" s="32">
        <v>1732500.0000000002</v>
      </c>
      <c r="F52" s="61">
        <f t="shared" si="9"/>
        <v>5197500.0000000009</v>
      </c>
      <c r="G52" s="61">
        <f t="shared" si="10"/>
        <v>20790000.000000004</v>
      </c>
      <c r="H52" s="79"/>
      <c r="K52" s="70"/>
      <c r="L52" s="70"/>
    </row>
    <row r="53" spans="1:12">
      <c r="A53" s="102"/>
      <c r="B53" s="76"/>
      <c r="C53" s="31" t="s">
        <v>7</v>
      </c>
      <c r="D53" s="32">
        <v>1</v>
      </c>
      <c r="E53" s="32">
        <v>3463700</v>
      </c>
      <c r="F53" s="61">
        <f t="shared" si="9"/>
        <v>10391100</v>
      </c>
      <c r="G53" s="61">
        <f t="shared" si="10"/>
        <v>41564400</v>
      </c>
      <c r="H53" s="79"/>
      <c r="K53" s="72"/>
      <c r="L53" s="72"/>
    </row>
    <row r="54" spans="1:12">
      <c r="A54" s="102"/>
      <c r="B54" s="76"/>
      <c r="C54" s="31" t="s">
        <v>8</v>
      </c>
      <c r="D54" s="32">
        <v>1</v>
      </c>
      <c r="E54" s="32">
        <v>3463700</v>
      </c>
      <c r="F54" s="61">
        <f t="shared" si="9"/>
        <v>10391100</v>
      </c>
      <c r="G54" s="61">
        <f t="shared" si="10"/>
        <v>41564400</v>
      </c>
      <c r="H54" s="79"/>
      <c r="K54" s="72"/>
      <c r="L54" s="72"/>
    </row>
    <row r="55" spans="1:12">
      <c r="A55" s="102"/>
      <c r="B55" s="76"/>
      <c r="C55" s="31" t="s">
        <v>9</v>
      </c>
      <c r="D55" s="32">
        <v>1</v>
      </c>
      <c r="E55" s="32">
        <v>1732300</v>
      </c>
      <c r="F55" s="61">
        <f t="shared" si="9"/>
        <v>5196900</v>
      </c>
      <c r="G55" s="61">
        <f t="shared" si="10"/>
        <v>20787600</v>
      </c>
      <c r="H55" s="79"/>
      <c r="K55" s="72"/>
      <c r="L55" s="72"/>
    </row>
    <row r="56" spans="1:12">
      <c r="A56" s="102"/>
      <c r="B56" s="76"/>
      <c r="C56" s="31" t="s">
        <v>10</v>
      </c>
      <c r="D56" s="32">
        <v>1</v>
      </c>
      <c r="E56" s="32">
        <v>4620000</v>
      </c>
      <c r="F56" s="61">
        <f t="shared" si="9"/>
        <v>13860000</v>
      </c>
      <c r="G56" s="61">
        <f t="shared" si="10"/>
        <v>55440000</v>
      </c>
      <c r="H56" s="79"/>
      <c r="K56" s="70"/>
      <c r="L56" s="70"/>
    </row>
    <row r="57" spans="1:12">
      <c r="A57" s="102"/>
      <c r="B57" s="76"/>
      <c r="C57" s="31" t="s">
        <v>11</v>
      </c>
      <c r="D57" s="32">
        <v>1</v>
      </c>
      <c r="E57" s="32">
        <v>3465000.0000000005</v>
      </c>
      <c r="F57" s="61">
        <f t="shared" si="9"/>
        <v>10395000.000000002</v>
      </c>
      <c r="G57" s="61">
        <f t="shared" si="10"/>
        <v>41580000.000000007</v>
      </c>
      <c r="H57" s="79"/>
      <c r="K57" s="70"/>
      <c r="L57" s="70"/>
    </row>
    <row r="58" spans="1:12">
      <c r="A58" s="102"/>
      <c r="B58" s="76"/>
      <c r="C58" s="31" t="s">
        <v>31</v>
      </c>
      <c r="D58" s="32">
        <v>1</v>
      </c>
      <c r="E58" s="32">
        <v>1963500.0000000002</v>
      </c>
      <c r="F58" s="61">
        <f t="shared" si="9"/>
        <v>5890500.0000000009</v>
      </c>
      <c r="G58" s="61">
        <f t="shared" si="10"/>
        <v>23562000.000000004</v>
      </c>
      <c r="H58" s="79"/>
      <c r="K58" s="70"/>
      <c r="L58" s="70"/>
    </row>
    <row r="59" spans="1:12">
      <c r="A59" s="102"/>
      <c r="B59" s="76"/>
      <c r="C59" s="31" t="s">
        <v>32</v>
      </c>
      <c r="D59" s="32">
        <v>1</v>
      </c>
      <c r="E59" s="32">
        <v>1963500.0000000002</v>
      </c>
      <c r="F59" s="61">
        <f t="shared" si="9"/>
        <v>5890500.0000000009</v>
      </c>
      <c r="G59" s="61">
        <f t="shared" si="10"/>
        <v>23562000.000000004</v>
      </c>
      <c r="H59" s="79"/>
      <c r="K59" s="70"/>
      <c r="L59" s="70"/>
    </row>
    <row r="60" spans="1:12">
      <c r="A60" s="102"/>
      <c r="B60" s="76"/>
      <c r="C60" s="31" t="s">
        <v>33</v>
      </c>
      <c r="D60" s="32">
        <v>1</v>
      </c>
      <c r="E60" s="32">
        <v>1732500.0000000002</v>
      </c>
      <c r="F60" s="61">
        <f t="shared" si="9"/>
        <v>5197500.0000000009</v>
      </c>
      <c r="G60" s="61">
        <f t="shared" si="10"/>
        <v>20790000.000000004</v>
      </c>
      <c r="H60" s="79"/>
      <c r="K60" s="70"/>
      <c r="L60" s="70"/>
    </row>
    <row r="61" spans="1:12">
      <c r="A61" s="102"/>
      <c r="B61" s="76"/>
      <c r="C61" s="31" t="s">
        <v>34</v>
      </c>
      <c r="D61" s="32">
        <v>1</v>
      </c>
      <c r="E61" s="32">
        <v>4620000</v>
      </c>
      <c r="F61" s="61">
        <f t="shared" si="9"/>
        <v>13860000</v>
      </c>
      <c r="G61" s="61">
        <f t="shared" si="10"/>
        <v>55440000</v>
      </c>
      <c r="H61" s="79"/>
      <c r="K61" s="70"/>
      <c r="L61" s="70"/>
    </row>
    <row r="62" spans="1:12">
      <c r="A62" s="102"/>
      <c r="B62" s="76"/>
      <c r="C62" s="31" t="s">
        <v>35</v>
      </c>
      <c r="D62" s="32">
        <v>1</v>
      </c>
      <c r="E62" s="32">
        <v>3467400</v>
      </c>
      <c r="F62" s="61">
        <f t="shared" si="9"/>
        <v>10402200</v>
      </c>
      <c r="G62" s="61">
        <f t="shared" si="10"/>
        <v>41608800</v>
      </c>
      <c r="H62" s="79"/>
      <c r="K62" s="72"/>
      <c r="L62" s="72"/>
    </row>
    <row r="63" spans="1:12">
      <c r="A63" s="102"/>
      <c r="B63" s="76"/>
      <c r="C63" s="31" t="s">
        <v>36</v>
      </c>
      <c r="D63" s="32">
        <v>1</v>
      </c>
      <c r="E63" s="32">
        <v>3465000.0000000005</v>
      </c>
      <c r="F63" s="61">
        <f t="shared" si="9"/>
        <v>10395000.000000002</v>
      </c>
      <c r="G63" s="61">
        <f t="shared" si="10"/>
        <v>41580000.000000007</v>
      </c>
      <c r="H63" s="79"/>
      <c r="K63" s="70"/>
      <c r="L63" s="70"/>
    </row>
    <row r="64" spans="1:12" ht="16.5" thickBot="1">
      <c r="A64" s="103"/>
      <c r="B64" s="77"/>
      <c r="C64" s="54" t="s">
        <v>37</v>
      </c>
      <c r="D64" s="53">
        <v>1</v>
      </c>
      <c r="E64" s="53">
        <v>3464400</v>
      </c>
      <c r="F64" s="61">
        <f t="shared" si="9"/>
        <v>10393200</v>
      </c>
      <c r="G64" s="61">
        <f t="shared" si="10"/>
        <v>41572800</v>
      </c>
      <c r="H64" s="80"/>
      <c r="K64" s="70"/>
      <c r="L64" s="70"/>
    </row>
    <row r="65" spans="1:11" ht="17.5" thickBot="1">
      <c r="A65" s="91" t="s">
        <v>58</v>
      </c>
      <c r="B65" s="92"/>
      <c r="C65" s="92"/>
      <c r="D65" s="64"/>
      <c r="E65" s="66">
        <f>SUM(E46:E64)</f>
        <v>54862000</v>
      </c>
      <c r="F65" s="66">
        <f>SUM(F46:F64)</f>
        <v>164586000</v>
      </c>
      <c r="G65" s="66">
        <f>SUM(G46:G64)</f>
        <v>658344000</v>
      </c>
      <c r="H65" s="57"/>
    </row>
    <row r="66" spans="1:11" ht="17.5" thickBot="1">
      <c r="A66" s="59" t="s">
        <v>54</v>
      </c>
      <c r="B66" s="94" t="s">
        <v>55</v>
      </c>
      <c r="C66" s="95"/>
      <c r="D66" s="53">
        <v>1</v>
      </c>
      <c r="E66" s="73">
        <v>5775000</v>
      </c>
      <c r="F66" s="65">
        <f>E66*D66*3</f>
        <v>17325000</v>
      </c>
      <c r="G66" s="65">
        <f>E66*D66*12</f>
        <v>69300000</v>
      </c>
      <c r="H66" s="58"/>
    </row>
    <row r="67" spans="1:11" ht="17.5" thickBot="1">
      <c r="A67" s="91" t="s">
        <v>57</v>
      </c>
      <c r="B67" s="92"/>
      <c r="C67" s="93"/>
      <c r="D67" s="63"/>
      <c r="E67" s="56">
        <f>E66</f>
        <v>5775000</v>
      </c>
      <c r="F67" s="56">
        <f>F66</f>
        <v>17325000</v>
      </c>
      <c r="G67" s="56">
        <f>G66</f>
        <v>69300000</v>
      </c>
      <c r="H67" s="57"/>
    </row>
    <row r="68" spans="1:11" ht="17.5" thickBot="1">
      <c r="A68" s="96" t="s">
        <v>72</v>
      </c>
      <c r="B68" s="97"/>
      <c r="C68" s="98"/>
      <c r="D68" s="67"/>
      <c r="E68" s="40">
        <f>E45+E65+E67</f>
        <v>121880600</v>
      </c>
      <c r="F68" s="40">
        <f>F45+F65+F67</f>
        <v>365641800</v>
      </c>
      <c r="G68" s="40">
        <f>G45+G65+G67</f>
        <v>1462567200</v>
      </c>
      <c r="H68" s="38"/>
      <c r="K68" s="69"/>
    </row>
    <row r="69" spans="1:11">
      <c r="D69" s="19"/>
      <c r="E69" s="19"/>
      <c r="F69" s="19"/>
      <c r="H69" s="20"/>
    </row>
    <row r="70" spans="1:11">
      <c r="A70" s="21" t="s">
        <v>23</v>
      </c>
      <c r="B70" s="21"/>
      <c r="D70" s="19"/>
      <c r="E70" s="19"/>
      <c r="F70" s="19"/>
      <c r="H70" s="22"/>
    </row>
    <row r="71" spans="1:11">
      <c r="A71" s="23" t="s">
        <v>68</v>
      </c>
      <c r="B71" s="23"/>
      <c r="D71" s="19"/>
      <c r="E71" s="19"/>
      <c r="F71" s="19"/>
      <c r="H71" s="22"/>
    </row>
    <row r="72" spans="1:11">
      <c r="A72" s="23" t="s">
        <v>28</v>
      </c>
      <c r="B72" s="23"/>
      <c r="D72" s="19"/>
      <c r="E72" s="19"/>
      <c r="F72" s="19"/>
      <c r="H72" s="22"/>
    </row>
    <row r="73" spans="1:11">
      <c r="A73" s="23" t="s">
        <v>65</v>
      </c>
      <c r="B73" s="23"/>
      <c r="D73" s="19"/>
      <c r="E73" s="19"/>
      <c r="F73" s="19"/>
      <c r="H73" s="22"/>
    </row>
    <row r="74" spans="1:11">
      <c r="A74" s="24" t="s">
        <v>26</v>
      </c>
      <c r="B74" s="24"/>
    </row>
    <row r="75" spans="1:11">
      <c r="A75" s="24" t="s">
        <v>46</v>
      </c>
      <c r="B75" s="24"/>
    </row>
    <row r="76" spans="1:11">
      <c r="A76" s="24" t="s">
        <v>29</v>
      </c>
      <c r="B76" s="24"/>
      <c r="G76" s="17"/>
    </row>
    <row r="77" spans="1:11">
      <c r="A77" s="24" t="s">
        <v>50</v>
      </c>
      <c r="B77" s="24"/>
      <c r="G77" s="17"/>
    </row>
    <row r="78" spans="1:11">
      <c r="A78" s="24" t="s">
        <v>27</v>
      </c>
      <c r="B78" s="24"/>
      <c r="C78" s="39"/>
      <c r="G78" s="30"/>
    </row>
    <row r="79" spans="1:11">
      <c r="A79" s="24" t="s">
        <v>69</v>
      </c>
      <c r="B79" s="24"/>
      <c r="C79" s="39"/>
      <c r="G79" s="30"/>
    </row>
    <row r="80" spans="1:11">
      <c r="A80" s="25" t="s">
        <v>24</v>
      </c>
      <c r="B80" s="25"/>
    </row>
    <row r="81" spans="1:3">
      <c r="A81" s="26"/>
      <c r="B81" s="26"/>
    </row>
    <row r="82" spans="1:3">
      <c r="A82" s="26"/>
      <c r="B82" s="26"/>
      <c r="C82" s="26"/>
    </row>
    <row r="83" spans="1:3">
      <c r="A83" s="29"/>
      <c r="B83" s="29"/>
      <c r="C83" s="29"/>
    </row>
    <row r="84" spans="1:3">
      <c r="A84" s="29"/>
      <c r="B84" s="29"/>
      <c r="C84" s="29"/>
    </row>
    <row r="85" spans="1:3">
      <c r="A85" s="29"/>
      <c r="B85" s="29"/>
      <c r="C85" s="29"/>
    </row>
    <row r="86" spans="1:3">
      <c r="A86" s="29"/>
      <c r="B86" s="29"/>
      <c r="C86" s="29"/>
    </row>
    <row r="87" spans="1:3">
      <c r="A87" s="29"/>
      <c r="B87" s="29"/>
      <c r="C87" s="29"/>
    </row>
    <row r="88" spans="1:3">
      <c r="A88" s="29"/>
      <c r="B88" s="29"/>
      <c r="C88" s="29"/>
    </row>
    <row r="90" spans="1:3">
      <c r="A90" s="29"/>
      <c r="B90" s="29"/>
      <c r="C90" s="29"/>
    </row>
  </sheetData>
  <mergeCells count="22">
    <mergeCell ref="A68:C68"/>
    <mergeCell ref="B9:C9"/>
    <mergeCell ref="B11:C11"/>
    <mergeCell ref="A46:A64"/>
    <mergeCell ref="B46:B64"/>
    <mergeCell ref="A14:A44"/>
    <mergeCell ref="B14:B26"/>
    <mergeCell ref="B27:B34"/>
    <mergeCell ref="B35:B40"/>
    <mergeCell ref="A1:G1"/>
    <mergeCell ref="G5:H5"/>
    <mergeCell ref="G6:H6"/>
    <mergeCell ref="A65:C65"/>
    <mergeCell ref="A67:C67"/>
    <mergeCell ref="B66:C66"/>
    <mergeCell ref="B41:B44"/>
    <mergeCell ref="H46:H64"/>
    <mergeCell ref="A6:C6"/>
    <mergeCell ref="A7:C7"/>
    <mergeCell ref="H41:H44"/>
    <mergeCell ref="H14:H40"/>
    <mergeCell ref="A45:C45"/>
  </mergeCells>
  <phoneticPr fontId="2" type="noConversion"/>
  <printOptions horizontalCentered="1"/>
  <pageMargins left="0.23622047244094491" right="0.23622047244094491" top="0.39370078740157483" bottom="0.15748031496062992" header="0" footer="0"/>
  <pageSetup paperSize="9" scale="5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 갑지</vt:lpstr>
      <vt:lpstr>'견적 갑지'!Print_Area</vt:lpstr>
      <vt:lpstr>'견적 갑지'!Print_Titles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vdiadmin</cp:lastModifiedBy>
  <cp:lastPrinted>2022-12-28T07:52:01Z</cp:lastPrinted>
  <dcterms:created xsi:type="dcterms:W3CDTF">2019-11-12T02:33:11Z</dcterms:created>
  <dcterms:modified xsi:type="dcterms:W3CDTF">2024-09-25T06:20:09Z</dcterms:modified>
</cp:coreProperties>
</file>