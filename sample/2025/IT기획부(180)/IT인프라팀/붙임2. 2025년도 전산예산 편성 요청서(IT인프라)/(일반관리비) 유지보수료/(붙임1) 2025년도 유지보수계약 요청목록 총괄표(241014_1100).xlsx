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총괄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6" i="1" l="1"/>
</calcChain>
</file>

<file path=xl/sharedStrings.xml><?xml version="1.0" encoding="utf-8"?>
<sst xmlns="http://schemas.openxmlformats.org/spreadsheetml/2006/main" count="440" uniqueCount="228">
  <si>
    <t>계약구분</t>
    <phoneticPr fontId="4" type="noConversion"/>
  </si>
  <si>
    <t>계약상대처</t>
    <phoneticPr fontId="4" type="noConversion"/>
  </si>
  <si>
    <t>계약상대처 담당자</t>
    <phoneticPr fontId="4" type="noConversion"/>
  </si>
  <si>
    <t>계약상대처 담당자 연락처</t>
    <phoneticPr fontId="4" type="noConversion"/>
  </si>
  <si>
    <t>계약상대처 담당자 이메일</t>
    <phoneticPr fontId="4" type="noConversion"/>
  </si>
  <si>
    <t>부서명</t>
    <phoneticPr fontId="4" type="noConversion"/>
  </si>
  <si>
    <t>팀명</t>
    <phoneticPr fontId="4" type="noConversion"/>
  </si>
  <si>
    <t>계약금액(연간, 부가세 포함)</t>
    <phoneticPr fontId="4" type="noConversion"/>
  </si>
  <si>
    <t>IT기획부</t>
    <phoneticPr fontId="4" type="noConversion"/>
  </si>
  <si>
    <t>변경</t>
  </si>
  <si>
    <t>기간연장</t>
  </si>
  <si>
    <t>(총  계)</t>
    <phoneticPr fontId="4" type="noConversion"/>
  </si>
  <si>
    <t>예산비목</t>
    <phoneticPr fontId="4" type="noConversion"/>
  </si>
  <si>
    <t>유지보수료</t>
  </si>
  <si>
    <t>계약 명</t>
    <phoneticPr fontId="4" type="noConversion"/>
  </si>
  <si>
    <t>검토서 명</t>
    <phoneticPr fontId="4" type="noConversion"/>
  </si>
  <si>
    <t>IT인프라팀</t>
    <phoneticPr fontId="4" type="noConversion"/>
  </si>
  <si>
    <t>IT기획부</t>
    <phoneticPr fontId="4" type="noConversion"/>
  </si>
  <si>
    <t>IT인프라팀</t>
    <phoneticPr fontId="4" type="noConversion"/>
  </si>
  <si>
    <t>신규</t>
  </si>
  <si>
    <t>해지</t>
  </si>
  <si>
    <t>화상회의 장비</t>
  </si>
  <si>
    <t>Tibero</t>
  </si>
  <si>
    <t>티맥스소프트</t>
  </si>
  <si>
    <t>Jennifer</t>
  </si>
  <si>
    <t>Loadrunner</t>
  </si>
  <si>
    <t>차세대시스템 보안 H/W(MDM,구간암호화 등)</t>
  </si>
  <si>
    <t>MS-SQL</t>
  </si>
  <si>
    <t>MaxGauge</t>
  </si>
  <si>
    <t>테스트데이터관리시스템</t>
  </si>
  <si>
    <t>SWIFT, EDI 노후 인프라 및 환경개선 사업 서버 OS 구매(1차)</t>
  </si>
  <si>
    <t>ROSEHA 유지보수(3차)</t>
  </si>
  <si>
    <t>네트워크 접근제어(NAC) 장치 유지보수</t>
  </si>
  <si>
    <t>네트워크 관리시스템(NMS) 유지보수</t>
  </si>
  <si>
    <t>오픈소스 DB</t>
  </si>
  <si>
    <t>차세대 문서뷰어 S/W (Jexframework, 가상키패드)</t>
  </si>
  <si>
    <t>LiveReorg</t>
  </si>
  <si>
    <t>WAN 가속기 유지보수</t>
  </si>
  <si>
    <t>자동화기기(ATM) 유지보수</t>
  </si>
  <si>
    <t>클라우드PC(VDI)</t>
  </si>
  <si>
    <t>자동화기기(ATM)</t>
  </si>
  <si>
    <t>Ghost Solution</t>
  </si>
  <si>
    <t>MS GA 라이선스 유지보수</t>
  </si>
  <si>
    <t>HP서버 유지보수(32차)</t>
  </si>
  <si>
    <t>IPL 자동화 유지보수(4차)</t>
  </si>
  <si>
    <t>VMWARE(가상화시스템) 유지보수(7차)</t>
  </si>
  <si>
    <t>디스크장비 유지보수(26차)</t>
  </si>
  <si>
    <t>썬서버 등 유지보수(21차)</t>
  </si>
  <si>
    <t>Hitachi 디스크 유지보수(13차)</t>
  </si>
  <si>
    <t>차세대 Vmware 유지보수(4차)</t>
  </si>
  <si>
    <t>차세대시스템 일반 HW 등 유지보수(7차)</t>
  </si>
  <si>
    <t>시스템모니터링SW 유지보수(3차)</t>
  </si>
  <si>
    <t>NETBACKUP 유지보수(12차)</t>
  </si>
  <si>
    <t>배치스케줄러 유지보수(5차)</t>
  </si>
  <si>
    <t>차세대 문서뷰어 S/W 등 유지보수(8차)</t>
  </si>
  <si>
    <t>차세대시스템 보안 H/W 등 유지보수(10차)</t>
  </si>
  <si>
    <t>빅데이터분석용 HW 유지보수(2차)</t>
  </si>
  <si>
    <t>서버통합관리체계 유지보수(2차)</t>
  </si>
  <si>
    <t>리눅스 서버 유지보수 계약(2차)</t>
  </si>
  <si>
    <t>VDI용 시스템 SW 유지보수(3차)</t>
  </si>
  <si>
    <t>(주)데이타헤븐</t>
  </si>
  <si>
    <t>(주)이씨에스텔레콤</t>
  </si>
  <si>
    <t>(주)티맥스티베로</t>
  </si>
  <si>
    <t>(주)티맥스소프트</t>
  </si>
  <si>
    <t>지티플러스(주)</t>
  </si>
  <si>
    <t>(주)지티지</t>
  </si>
  <si>
    <t>(주)유니포인트</t>
  </si>
  <si>
    <t>(주)유니마이크로테크놀러지</t>
  </si>
  <si>
    <t>(주)엑셈</t>
  </si>
  <si>
    <t>(주)데이티스바넷</t>
  </si>
  <si>
    <t>펜타린크(주)</t>
  </si>
  <si>
    <t>이에스케이솔루션(주)</t>
  </si>
  <si>
    <t>(주)넷맨</t>
  </si>
  <si>
    <t>(주)와치텍</t>
  </si>
  <si>
    <t>웹케시(주)</t>
  </si>
  <si>
    <t>(주)이글로벌시스템</t>
  </si>
  <si>
    <t>(주)클라우드네트웍스</t>
  </si>
  <si>
    <t>효성티앤에스(주)</t>
  </si>
  <si>
    <t>(주)크리아이티</t>
  </si>
  <si>
    <t>(주)청호ICT</t>
  </si>
  <si>
    <t>(주)에이앤에이</t>
  </si>
  <si>
    <t>(주)이트리원</t>
  </si>
  <si>
    <t>한국휴렛팩커드</t>
  </si>
  <si>
    <t>(주)맨텍솔루션</t>
  </si>
  <si>
    <t>굿모닝아이텍(주)</t>
  </si>
  <si>
    <t>(주)데이타솔루션</t>
  </si>
  <si>
    <t>(주)썬테크정보</t>
  </si>
  <si>
    <t>효성인포메이션</t>
  </si>
  <si>
    <t>(주)하나아이씨티</t>
  </si>
  <si>
    <t>펜타시스템테크놀러지</t>
  </si>
  <si>
    <t>(주)팀스톤</t>
  </si>
  <si>
    <t>(주)지티솔루션</t>
  </si>
  <si>
    <t>(주)윈즈아이티</t>
  </si>
  <si>
    <t>(주)이레아이디에스</t>
  </si>
  <si>
    <t>(주)에티버스이피에이</t>
  </si>
  <si>
    <t>한국후지쯔(주)</t>
  </si>
  <si>
    <t>(주)에오스</t>
  </si>
  <si>
    <t>이형진</t>
  </si>
  <si>
    <t>나진산</t>
  </si>
  <si>
    <t>나일락</t>
  </si>
  <si>
    <t>권새슬</t>
  </si>
  <si>
    <t>최호진</t>
  </si>
  <si>
    <t>문용현</t>
  </si>
  <si>
    <t>정채우</t>
  </si>
  <si>
    <t>윤수철</t>
  </si>
  <si>
    <t>박인범</t>
  </si>
  <si>
    <t>김도형</t>
  </si>
  <si>
    <t>이인구</t>
  </si>
  <si>
    <t>최준석</t>
  </si>
  <si>
    <t>김시건</t>
  </si>
  <si>
    <t>이현욱</t>
  </si>
  <si>
    <t>길영욱</t>
  </si>
  <si>
    <t>박종필</t>
  </si>
  <si>
    <t>한승우</t>
  </si>
  <si>
    <t>김건해</t>
  </si>
  <si>
    <t>정전진</t>
  </si>
  <si>
    <t>이재희</t>
  </si>
  <si>
    <t>최창섭</t>
  </si>
  <si>
    <t>이창열</t>
  </si>
  <si>
    <t>남영진</t>
  </si>
  <si>
    <t>박유미</t>
  </si>
  <si>
    <t>박미소</t>
  </si>
  <si>
    <t>장선혜</t>
  </si>
  <si>
    <t>백낙현</t>
  </si>
  <si>
    <t>원유나</t>
  </si>
  <si>
    <t>서상용</t>
  </si>
  <si>
    <t>이동근</t>
  </si>
  <si>
    <t>박상훈</t>
  </si>
  <si>
    <t>송창근</t>
  </si>
  <si>
    <t>김인섭</t>
  </si>
  <si>
    <t>유재민</t>
  </si>
  <si>
    <t>권대훈</t>
  </si>
  <si>
    <t>임철형</t>
  </si>
  <si>
    <t>김회철</t>
  </si>
  <si>
    <t>이승환</t>
  </si>
  <si>
    <t>010-3313-2340</t>
  </si>
  <si>
    <t>010-3415-8325</t>
  </si>
  <si>
    <t>010-8937-2818</t>
  </si>
  <si>
    <t>010-9966-7656</t>
  </si>
  <si>
    <t>010-8447-3360</t>
  </si>
  <si>
    <t>010-3318-7694</t>
  </si>
  <si>
    <t>010-4568-1778</t>
  </si>
  <si>
    <t>010-5237-5007</t>
  </si>
  <si>
    <t>010-5558-8758</t>
  </si>
  <si>
    <t>010-4723-0710</t>
  </si>
  <si>
    <t>010-8940-0147</t>
  </si>
  <si>
    <t>010-4447-3736</t>
  </si>
  <si>
    <t>010-6560-4595</t>
  </si>
  <si>
    <t>010-9746-0715</t>
  </si>
  <si>
    <t>010-5202-0746</t>
  </si>
  <si>
    <t>010-2701-3118</t>
  </si>
  <si>
    <t>010-3604-3273</t>
  </si>
  <si>
    <t>010-5002-1942</t>
  </si>
  <si>
    <t>010-3763-8317</t>
  </si>
  <si>
    <t>010-9347-1011</t>
  </si>
  <si>
    <t>010-2709-9207</t>
  </si>
  <si>
    <t>010-6318-3849</t>
  </si>
  <si>
    <t>010-9408-3871</t>
  </si>
  <si>
    <t>010-9304-0905</t>
  </si>
  <si>
    <t>010-9283-9192</t>
  </si>
  <si>
    <t>010-5382-9888</t>
  </si>
  <si>
    <t>010-2646-1213</t>
  </si>
  <si>
    <t>010-4304-1944</t>
  </si>
  <si>
    <t>010-3415-0078</t>
  </si>
  <si>
    <t>010-9774-7082</t>
  </si>
  <si>
    <t>010-5274-1645</t>
  </si>
  <si>
    <t>010-8992-9915</t>
  </si>
  <si>
    <t>010-9559-7217</t>
  </si>
  <si>
    <t>010-5264-2319</t>
  </si>
  <si>
    <t>010-9541-0507</t>
  </si>
  <si>
    <t>010-9734-5379</t>
  </si>
  <si>
    <t>010-5329-8322</t>
  </si>
  <si>
    <t>010-9445-9408</t>
  </si>
  <si>
    <t>010-9559-7217</t>
    <phoneticPr fontId="4" type="noConversion"/>
  </si>
  <si>
    <t>hjlee@dataheaven.co.kr</t>
  </si>
  <si>
    <t>jsna@ecstel.co.kr</t>
  </si>
  <si>
    <t>ilrak_na@tmax.co.kr</t>
  </si>
  <si>
    <t>saeseul_kwon@tmaxsoft.com</t>
  </si>
  <si>
    <t>hojin3360@gtplus.co.kr</t>
  </si>
  <si>
    <t>yhmoon@gtgsc.com</t>
  </si>
  <si>
    <t>cwjung@unipoint.co.kr</t>
  </si>
  <si>
    <t>apostle@umt.co.kr</t>
  </si>
  <si>
    <t>pib@ex-em.com</t>
  </si>
  <si>
    <t>dhkim@datisbanet.com</t>
  </si>
  <si>
    <t>ikyi@pentalink.co.kr</t>
  </si>
  <si>
    <t>jschoi@eskits.co.kr</t>
  </si>
  <si>
    <t>sigun94@netman.co.kr</t>
  </si>
  <si>
    <t>ma@watchtek.co.kr</t>
  </si>
  <si>
    <t>speculate@webcash.co.kr</t>
  </si>
  <si>
    <t>jppark@eglobalsys.co.kr</t>
  </si>
  <si>
    <t>sw.han@cloudnetworks.co.kr</t>
  </si>
  <si>
    <t>gunhae.kim@hyosung.com</t>
  </si>
  <si>
    <t>jjj@creit.co.kr</t>
  </si>
  <si>
    <t>leej1566@centrail.co.kr</t>
  </si>
  <si>
    <t>ccs@anasoftware.co.kr</t>
  </si>
  <si>
    <t>cylee@etrione.com</t>
  </si>
  <si>
    <t>youngjin.nam@hpe.com</t>
  </si>
  <si>
    <t>ympark@mantech.co.kr</t>
  </si>
  <si>
    <t>mspark@goodmit.co.kr</t>
  </si>
  <si>
    <t>jangsh@datasolution.kr</t>
  </si>
  <si>
    <t>nh.baek@suntech.co.kr</t>
  </si>
  <si>
    <t>his-niceyouna@hyosung.com</t>
  </si>
  <si>
    <t>seo.sy@hanaict.co.kr</t>
  </si>
  <si>
    <t>dglee@penta.co.kr</t>
  </si>
  <si>
    <t>shpark@ontune.co.kr</t>
  </si>
  <si>
    <t>sck@gtsolution.co.kr</t>
  </si>
  <si>
    <t>iskim@winsit.co.kr</t>
  </si>
  <si>
    <t>jmryu@unipoint.co.kr</t>
  </si>
  <si>
    <t>hoon@ire.co.kr</t>
  </si>
  <si>
    <t>booma21@eteversepa.com</t>
  </si>
  <si>
    <t>hoecheol.kim@fujitsu.com</t>
  </si>
  <si>
    <t>shlee@eosy.co.kr</t>
  </si>
  <si>
    <t>네트워크 통합 유지보수</t>
    <phoneticPr fontId="4" type="noConversion"/>
  </si>
  <si>
    <t>㈜비에이엔티</t>
    <phoneticPr fontId="4" type="noConversion"/>
  </si>
  <si>
    <t>이상은</t>
    <phoneticPr fontId="4" type="noConversion"/>
  </si>
  <si>
    <t>010-6280-6553</t>
    <phoneticPr fontId="4" type="noConversion"/>
  </si>
  <si>
    <t>selee@bantech.co.kr</t>
    <phoneticPr fontId="4" type="noConversion"/>
  </si>
  <si>
    <t>오라클 S/W</t>
  </si>
  <si>
    <t>IBM 장비 유지보수 계약</t>
  </si>
  <si>
    <t>(주)심플키</t>
  </si>
  <si>
    <t>박상호</t>
  </si>
  <si>
    <t>010-8770-8543</t>
  </si>
  <si>
    <t>shpark@simplekey.co.kr</t>
  </si>
  <si>
    <t>은행연합회 통신회선 및 장비 유지보수</t>
    <phoneticPr fontId="4" type="noConversion"/>
  </si>
  <si>
    <t>협진통신㈜</t>
    <phoneticPr fontId="4" type="noConversion"/>
  </si>
  <si>
    <t>이승훈</t>
    <phoneticPr fontId="4" type="noConversion"/>
  </si>
  <si>
    <t>hjc@hyupjin1.co.kr</t>
    <phoneticPr fontId="4" type="noConversion"/>
  </si>
  <si>
    <t>02-2277-0088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</si>
</sst>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&quot;총&quot;\ #&quot;건&quot;"/>
    <numFmt numFmtId="177" formatCode="#,##0_ 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3" fillId="2" borderId="1" xfId="2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41" fontId="0" fillId="0" borderId="1" xfId="1" applyFont="1" applyFill="1" applyBorder="1" applyAlignment="1">
      <alignment vertical="center"/>
    </xf>
    <xf numFmtId="176" fontId="5" fillId="3" borderId="1" xfId="0" applyNumberFormat="1" applyFont="1" applyFill="1" applyBorder="1"/>
    <xf numFmtId="177" fontId="5" fillId="3" borderId="1" xfId="0" applyNumberFormat="1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표준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jc@hyupjin1.co.kr" TargetMode="External"/><Relationship Id="rId2" Type="http://schemas.openxmlformats.org/officeDocument/2006/relationships/hyperlink" Target="mailto:selee@bantech.co.kr" TargetMode="External"/><Relationship Id="rId1" Type="http://schemas.openxmlformats.org/officeDocument/2006/relationships/hyperlink" Target="mailto:ma@watchtek.co.k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tabSelected="1" zoomScale="85" zoomScaleNormal="85" workbookViewId="0">
      <selection activeCell="D3" sqref="D3"/>
    </sheetView>
  </sheetViews>
  <sheetFormatPr defaultRowHeight="17" x14ac:dyDescent="0.45"/>
  <cols>
    <col min="2" max="2" width="10.5" bestFit="1" customWidth="1"/>
    <col min="3" max="3" width="47.75" bestFit="1" customWidth="1"/>
    <col min="4" max="4" width="57.5" bestFit="1" customWidth="1"/>
    <col min="5" max="5" width="28.83203125" customWidth="1"/>
    <col min="6" max="6" width="18.08203125" bestFit="1" customWidth="1"/>
    <col min="7" max="8" width="25.08203125" bestFit="1" customWidth="1"/>
    <col min="9" max="9" width="27" bestFit="1" customWidth="1"/>
    <col min="10" max="10" width="27" customWidth="1"/>
    <col min="11" max="11" width="17.33203125" customWidth="1"/>
    <col min="12" max="12" width="14.58203125" bestFit="1" customWidth="1"/>
    <col min="13" max="13" width="6.5" bestFit="1" customWidth="1"/>
  </cols>
  <sheetData>
    <row r="1" spans="2:12" x14ac:dyDescent="0.45">
      <c r="B1" s="8"/>
      <c r="C1" s="9"/>
      <c r="D1" s="9"/>
      <c r="E1" s="9"/>
      <c r="F1" s="9"/>
      <c r="G1" s="9"/>
      <c r="H1" s="9"/>
      <c r="I1" s="9"/>
      <c r="J1" s="9"/>
      <c r="K1" s="9"/>
      <c r="L1" s="9"/>
    </row>
    <row r="2" spans="2:12" x14ac:dyDescent="0.45">
      <c r="B2" s="1" t="s">
        <v>0</v>
      </c>
      <c r="C2" s="1" t="s">
        <v>14</v>
      </c>
      <c r="D2" s="1" t="s">
        <v>15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7</v>
      </c>
      <c r="J2" s="1" t="s">
        <v>12</v>
      </c>
      <c r="K2" s="1" t="s">
        <v>5</v>
      </c>
      <c r="L2" s="1" t="s">
        <v>6</v>
      </c>
    </row>
    <row r="3" spans="2:12" x14ac:dyDescent="0.45">
      <c r="B3" s="3" t="s">
        <v>9</v>
      </c>
      <c r="C3" s="3" t="s">
        <v>21</v>
      </c>
      <c r="D3" s="3" t="s">
        <v>21</v>
      </c>
      <c r="E3" s="3" t="s">
        <v>61</v>
      </c>
      <c r="F3" s="3" t="s">
        <v>98</v>
      </c>
      <c r="G3" s="3" t="s">
        <v>136</v>
      </c>
      <c r="H3" s="3" t="s">
        <v>175</v>
      </c>
      <c r="I3" s="3">
        <v>146084400</v>
      </c>
      <c r="J3" s="3" t="s">
        <v>13</v>
      </c>
      <c r="K3" s="2" t="s">
        <v>17</v>
      </c>
      <c r="L3" s="2" t="s">
        <v>18</v>
      </c>
    </row>
    <row r="4" spans="2:12" x14ac:dyDescent="0.45">
      <c r="B4" s="3" t="s">
        <v>9</v>
      </c>
      <c r="C4" s="3" t="s">
        <v>22</v>
      </c>
      <c r="D4" s="3" t="s">
        <v>22</v>
      </c>
      <c r="E4" s="3" t="s">
        <v>62</v>
      </c>
      <c r="F4" s="3" t="s">
        <v>99</v>
      </c>
      <c r="G4" s="3" t="s">
        <v>137</v>
      </c>
      <c r="H4" s="3" t="s">
        <v>176</v>
      </c>
      <c r="I4" s="3">
        <v>145375200</v>
      </c>
      <c r="J4" s="3" t="s">
        <v>13</v>
      </c>
      <c r="K4" s="2" t="s">
        <v>17</v>
      </c>
      <c r="L4" s="2" t="s">
        <v>18</v>
      </c>
    </row>
    <row r="5" spans="2:12" x14ac:dyDescent="0.45">
      <c r="B5" s="3" t="s">
        <v>9</v>
      </c>
      <c r="C5" s="3" t="s">
        <v>23</v>
      </c>
      <c r="D5" s="3" t="s">
        <v>23</v>
      </c>
      <c r="E5" s="3" t="s">
        <v>63</v>
      </c>
      <c r="F5" s="3" t="s">
        <v>100</v>
      </c>
      <c r="G5" s="3" t="s">
        <v>138</v>
      </c>
      <c r="H5" s="3" t="s">
        <v>177</v>
      </c>
      <c r="I5" s="3">
        <v>461634000</v>
      </c>
      <c r="J5" s="3" t="s">
        <v>13</v>
      </c>
      <c r="K5" s="2" t="s">
        <v>8</v>
      </c>
      <c r="L5" s="2" t="s">
        <v>16</v>
      </c>
    </row>
    <row r="6" spans="2:12" x14ac:dyDescent="0.45">
      <c r="B6" s="3" t="s">
        <v>9</v>
      </c>
      <c r="C6" s="3" t="s">
        <v>24</v>
      </c>
      <c r="D6" s="3" t="s">
        <v>24</v>
      </c>
      <c r="E6" s="3" t="s">
        <v>64</v>
      </c>
      <c r="F6" s="3" t="s">
        <v>101</v>
      </c>
      <c r="G6" s="3" t="s">
        <v>139</v>
      </c>
      <c r="H6" s="3" t="s">
        <v>178</v>
      </c>
      <c r="I6" s="3">
        <v>36663600</v>
      </c>
      <c r="J6" s="3" t="s">
        <v>13</v>
      </c>
      <c r="K6" s="2" t="s">
        <v>8</v>
      </c>
      <c r="L6" s="2" t="s">
        <v>16</v>
      </c>
    </row>
    <row r="7" spans="2:12" x14ac:dyDescent="0.45">
      <c r="B7" s="3" t="s">
        <v>9</v>
      </c>
      <c r="C7" s="3" t="s">
        <v>25</v>
      </c>
      <c r="D7" s="3" t="s">
        <v>25</v>
      </c>
      <c r="E7" s="3" t="s">
        <v>65</v>
      </c>
      <c r="F7" s="3" t="s">
        <v>102</v>
      </c>
      <c r="G7" s="3" t="s">
        <v>140</v>
      </c>
      <c r="H7" s="3" t="s">
        <v>179</v>
      </c>
      <c r="I7" s="3">
        <v>68109600</v>
      </c>
      <c r="J7" s="3" t="s">
        <v>13</v>
      </c>
      <c r="K7" s="2" t="s">
        <v>8</v>
      </c>
      <c r="L7" s="2" t="s">
        <v>16</v>
      </c>
    </row>
    <row r="8" spans="2:12" x14ac:dyDescent="0.45">
      <c r="B8" s="3" t="s">
        <v>9</v>
      </c>
      <c r="C8" s="3" t="s">
        <v>26</v>
      </c>
      <c r="D8" s="3" t="s">
        <v>26</v>
      </c>
      <c r="E8" s="3" t="s">
        <v>66</v>
      </c>
      <c r="F8" s="3" t="s">
        <v>103</v>
      </c>
      <c r="G8" s="3" t="s">
        <v>141</v>
      </c>
      <c r="H8" s="3" t="s">
        <v>180</v>
      </c>
      <c r="I8" s="3">
        <v>59607600</v>
      </c>
      <c r="J8" s="3" t="s">
        <v>13</v>
      </c>
      <c r="K8" s="2" t="s">
        <v>8</v>
      </c>
      <c r="L8" s="2" t="s">
        <v>16</v>
      </c>
    </row>
    <row r="9" spans="2:12" x14ac:dyDescent="0.45">
      <c r="B9" s="3" t="s">
        <v>9</v>
      </c>
      <c r="C9" s="3" t="s">
        <v>27</v>
      </c>
      <c r="D9" s="3" t="s">
        <v>27</v>
      </c>
      <c r="E9" s="3" t="s">
        <v>67</v>
      </c>
      <c r="F9" s="3" t="s">
        <v>104</v>
      </c>
      <c r="G9" s="3" t="s">
        <v>142</v>
      </c>
      <c r="H9" s="3" t="s">
        <v>181</v>
      </c>
      <c r="I9" s="3">
        <v>10394400</v>
      </c>
      <c r="J9" s="3" t="s">
        <v>13</v>
      </c>
      <c r="K9" s="2" t="s">
        <v>8</v>
      </c>
      <c r="L9" s="2" t="s">
        <v>16</v>
      </c>
    </row>
    <row r="10" spans="2:12" x14ac:dyDescent="0.45">
      <c r="B10" s="3" t="s">
        <v>9</v>
      </c>
      <c r="C10" s="3" t="s">
        <v>28</v>
      </c>
      <c r="D10" s="3" t="s">
        <v>28</v>
      </c>
      <c r="E10" s="3" t="s">
        <v>68</v>
      </c>
      <c r="F10" s="3" t="s">
        <v>105</v>
      </c>
      <c r="G10" s="3" t="s">
        <v>143</v>
      </c>
      <c r="H10" s="3" t="s">
        <v>182</v>
      </c>
      <c r="I10" s="3">
        <v>85190400</v>
      </c>
      <c r="J10" s="3" t="s">
        <v>13</v>
      </c>
      <c r="K10" s="2" t="s">
        <v>8</v>
      </c>
      <c r="L10" s="2" t="s">
        <v>16</v>
      </c>
    </row>
    <row r="11" spans="2:12" x14ac:dyDescent="0.45">
      <c r="B11" s="3" t="s">
        <v>9</v>
      </c>
      <c r="C11" s="3" t="s">
        <v>29</v>
      </c>
      <c r="D11" s="3" t="s">
        <v>29</v>
      </c>
      <c r="E11" s="3" t="s">
        <v>69</v>
      </c>
      <c r="F11" s="3" t="s">
        <v>106</v>
      </c>
      <c r="G11" s="3" t="s">
        <v>144</v>
      </c>
      <c r="H11" s="3" t="s">
        <v>183</v>
      </c>
      <c r="I11" s="3">
        <v>27501200</v>
      </c>
      <c r="J11" s="3" t="s">
        <v>13</v>
      </c>
      <c r="K11" s="2" t="s">
        <v>8</v>
      </c>
      <c r="L11" s="2" t="s">
        <v>16</v>
      </c>
    </row>
    <row r="12" spans="2:12" x14ac:dyDescent="0.45">
      <c r="B12" s="3" t="s">
        <v>19</v>
      </c>
      <c r="C12" s="3"/>
      <c r="D12" s="3" t="s">
        <v>30</v>
      </c>
      <c r="E12" s="3" t="s">
        <v>70</v>
      </c>
      <c r="F12" s="3" t="s">
        <v>107</v>
      </c>
      <c r="G12" s="3" t="s">
        <v>145</v>
      </c>
      <c r="H12" s="3" t="s">
        <v>184</v>
      </c>
      <c r="I12" s="3">
        <v>35960400</v>
      </c>
      <c r="J12" s="3" t="s">
        <v>13</v>
      </c>
      <c r="K12" s="2" t="s">
        <v>8</v>
      </c>
      <c r="L12" s="2" t="s">
        <v>16</v>
      </c>
    </row>
    <row r="13" spans="2:12" x14ac:dyDescent="0.45">
      <c r="B13" s="3" t="s">
        <v>10</v>
      </c>
      <c r="C13" s="3" t="s">
        <v>31</v>
      </c>
      <c r="D13" s="3" t="s">
        <v>31</v>
      </c>
      <c r="E13" s="3" t="s">
        <v>71</v>
      </c>
      <c r="F13" s="3" t="s">
        <v>108</v>
      </c>
      <c r="G13" s="3" t="s">
        <v>146</v>
      </c>
      <c r="H13" s="3" t="s">
        <v>185</v>
      </c>
      <c r="I13" s="3">
        <v>5781600</v>
      </c>
      <c r="J13" s="3" t="s">
        <v>13</v>
      </c>
      <c r="K13" s="2" t="s">
        <v>8</v>
      </c>
      <c r="L13" s="2" t="s">
        <v>16</v>
      </c>
    </row>
    <row r="14" spans="2:12" x14ac:dyDescent="0.45">
      <c r="B14" s="3" t="s">
        <v>9</v>
      </c>
      <c r="C14" s="3" t="s">
        <v>32</v>
      </c>
      <c r="D14" s="3" t="s">
        <v>32</v>
      </c>
      <c r="E14" s="3" t="s">
        <v>72</v>
      </c>
      <c r="F14" s="3" t="s">
        <v>109</v>
      </c>
      <c r="G14" s="3" t="s">
        <v>147</v>
      </c>
      <c r="H14" s="3" t="s">
        <v>186</v>
      </c>
      <c r="I14" s="3">
        <v>31128000</v>
      </c>
      <c r="J14" s="3" t="s">
        <v>13</v>
      </c>
      <c r="K14" s="2" t="s">
        <v>8</v>
      </c>
      <c r="L14" s="2" t="s">
        <v>16</v>
      </c>
    </row>
    <row r="15" spans="2:12" x14ac:dyDescent="0.45">
      <c r="B15" s="3" t="s">
        <v>19</v>
      </c>
      <c r="C15" s="3"/>
      <c r="D15" s="3" t="s">
        <v>33</v>
      </c>
      <c r="E15" s="3" t="s">
        <v>73</v>
      </c>
      <c r="F15" s="3" t="s">
        <v>110</v>
      </c>
      <c r="G15" s="3" t="s">
        <v>148</v>
      </c>
      <c r="H15" s="3" t="s">
        <v>187</v>
      </c>
      <c r="I15" s="3">
        <v>25245000</v>
      </c>
      <c r="J15" s="3" t="s">
        <v>13</v>
      </c>
      <c r="K15" s="2" t="s">
        <v>8</v>
      </c>
      <c r="L15" s="2" t="s">
        <v>16</v>
      </c>
    </row>
    <row r="16" spans="2:12" x14ac:dyDescent="0.45">
      <c r="B16" s="3" t="s">
        <v>10</v>
      </c>
      <c r="C16" s="3" t="s">
        <v>34</v>
      </c>
      <c r="D16" s="3" t="s">
        <v>34</v>
      </c>
      <c r="E16" s="3" t="s">
        <v>60</v>
      </c>
      <c r="F16" s="3" t="s">
        <v>97</v>
      </c>
      <c r="G16" s="3" t="s">
        <v>135</v>
      </c>
      <c r="H16" s="3" t="s">
        <v>174</v>
      </c>
      <c r="I16" s="3">
        <v>14850000</v>
      </c>
      <c r="J16" s="3" t="s">
        <v>13</v>
      </c>
      <c r="K16" s="2" t="s">
        <v>8</v>
      </c>
      <c r="L16" s="2" t="s">
        <v>16</v>
      </c>
    </row>
    <row r="17" spans="2:12" x14ac:dyDescent="0.45">
      <c r="B17" s="3" t="s">
        <v>10</v>
      </c>
      <c r="C17" s="3" t="s">
        <v>35</v>
      </c>
      <c r="D17" s="3" t="s">
        <v>35</v>
      </c>
      <c r="E17" s="3" t="s">
        <v>74</v>
      </c>
      <c r="F17" s="3" t="s">
        <v>111</v>
      </c>
      <c r="G17" s="3" t="s">
        <v>173</v>
      </c>
      <c r="H17" s="3" t="s">
        <v>188</v>
      </c>
      <c r="I17" s="3">
        <v>9211200</v>
      </c>
      <c r="J17" s="3" t="s">
        <v>13</v>
      </c>
      <c r="K17" s="2" t="s">
        <v>8</v>
      </c>
      <c r="L17" s="2" t="s">
        <v>16</v>
      </c>
    </row>
    <row r="18" spans="2:12" x14ac:dyDescent="0.45">
      <c r="B18" s="3" t="s">
        <v>10</v>
      </c>
      <c r="C18" s="3" t="s">
        <v>36</v>
      </c>
      <c r="D18" s="3" t="s">
        <v>36</v>
      </c>
      <c r="E18" s="3" t="s">
        <v>75</v>
      </c>
      <c r="F18" s="3" t="s">
        <v>112</v>
      </c>
      <c r="G18" s="3" t="s">
        <v>149</v>
      </c>
      <c r="H18" s="3" t="s">
        <v>189</v>
      </c>
      <c r="I18" s="3">
        <v>60079200</v>
      </c>
      <c r="J18" s="3" t="s">
        <v>13</v>
      </c>
      <c r="K18" s="2" t="s">
        <v>8</v>
      </c>
      <c r="L18" s="2" t="s">
        <v>16</v>
      </c>
    </row>
    <row r="19" spans="2:12" x14ac:dyDescent="0.45">
      <c r="B19" s="3" t="s">
        <v>10</v>
      </c>
      <c r="C19" s="3" t="s">
        <v>37</v>
      </c>
      <c r="D19" s="3" t="s">
        <v>37</v>
      </c>
      <c r="E19" s="3" t="s">
        <v>76</v>
      </c>
      <c r="F19" s="3" t="s">
        <v>113</v>
      </c>
      <c r="G19" s="3" t="s">
        <v>150</v>
      </c>
      <c r="H19" s="3" t="s">
        <v>190</v>
      </c>
      <c r="I19" s="3">
        <v>13857600</v>
      </c>
      <c r="J19" s="3" t="s">
        <v>13</v>
      </c>
      <c r="K19" s="2" t="s">
        <v>8</v>
      </c>
      <c r="L19" s="2" t="s">
        <v>16</v>
      </c>
    </row>
    <row r="20" spans="2:12" x14ac:dyDescent="0.45">
      <c r="B20" s="3" t="s">
        <v>9</v>
      </c>
      <c r="C20" s="3" t="s">
        <v>38</v>
      </c>
      <c r="D20" s="3" t="s">
        <v>38</v>
      </c>
      <c r="E20" s="3" t="s">
        <v>77</v>
      </c>
      <c r="F20" s="3" t="s">
        <v>114</v>
      </c>
      <c r="G20" s="3" t="s">
        <v>151</v>
      </c>
      <c r="H20" s="3" t="s">
        <v>191</v>
      </c>
      <c r="I20" s="3">
        <v>54120000</v>
      </c>
      <c r="J20" s="3" t="s">
        <v>13</v>
      </c>
      <c r="K20" s="2" t="s">
        <v>8</v>
      </c>
      <c r="L20" s="2" t="s">
        <v>16</v>
      </c>
    </row>
    <row r="21" spans="2:12" x14ac:dyDescent="0.45">
      <c r="B21" s="3" t="s">
        <v>10</v>
      </c>
      <c r="C21" s="3" t="s">
        <v>39</v>
      </c>
      <c r="D21" s="3" t="s">
        <v>39</v>
      </c>
      <c r="E21" s="3" t="s">
        <v>78</v>
      </c>
      <c r="F21" s="3" t="s">
        <v>115</v>
      </c>
      <c r="G21" s="3" t="s">
        <v>152</v>
      </c>
      <c r="H21" s="3" t="s">
        <v>192</v>
      </c>
      <c r="I21" s="3">
        <v>22963200</v>
      </c>
      <c r="J21" s="3" t="s">
        <v>13</v>
      </c>
      <c r="K21" s="2" t="s">
        <v>8</v>
      </c>
      <c r="L21" s="2" t="s">
        <v>16</v>
      </c>
    </row>
    <row r="22" spans="2:12" x14ac:dyDescent="0.45">
      <c r="B22" s="3" t="s">
        <v>10</v>
      </c>
      <c r="C22" s="3" t="s">
        <v>40</v>
      </c>
      <c r="D22" s="3" t="s">
        <v>40</v>
      </c>
      <c r="E22" s="3" t="s">
        <v>79</v>
      </c>
      <c r="F22" s="3" t="s">
        <v>116</v>
      </c>
      <c r="G22" s="3" t="s">
        <v>153</v>
      </c>
      <c r="H22" s="3" t="s">
        <v>193</v>
      </c>
      <c r="I22" s="3">
        <v>155443200</v>
      </c>
      <c r="J22" s="3" t="s">
        <v>13</v>
      </c>
      <c r="K22" s="2" t="s">
        <v>8</v>
      </c>
      <c r="L22" s="2" t="s">
        <v>16</v>
      </c>
    </row>
    <row r="23" spans="2:12" x14ac:dyDescent="0.45">
      <c r="B23" s="3" t="s">
        <v>10</v>
      </c>
      <c r="C23" s="3" t="s">
        <v>41</v>
      </c>
      <c r="D23" s="3" t="s">
        <v>41</v>
      </c>
      <c r="E23" s="3" t="s">
        <v>80</v>
      </c>
      <c r="F23" s="3" t="s">
        <v>117</v>
      </c>
      <c r="G23" s="3" t="s">
        <v>154</v>
      </c>
      <c r="H23" s="3" t="s">
        <v>194</v>
      </c>
      <c r="I23" s="3">
        <v>23220000</v>
      </c>
      <c r="J23" s="3" t="s">
        <v>13</v>
      </c>
      <c r="K23" s="2" t="s">
        <v>8</v>
      </c>
      <c r="L23" s="2" t="s">
        <v>16</v>
      </c>
    </row>
    <row r="24" spans="2:12" x14ac:dyDescent="0.45">
      <c r="B24" s="3" t="s">
        <v>10</v>
      </c>
      <c r="C24" s="3" t="s">
        <v>42</v>
      </c>
      <c r="D24" s="3" t="s">
        <v>42</v>
      </c>
      <c r="E24" s="3" t="s">
        <v>81</v>
      </c>
      <c r="F24" s="3" t="s">
        <v>118</v>
      </c>
      <c r="G24" s="3" t="s">
        <v>155</v>
      </c>
      <c r="H24" s="3" t="s">
        <v>195</v>
      </c>
      <c r="I24" s="3">
        <v>48000000</v>
      </c>
      <c r="J24" s="3" t="s">
        <v>13</v>
      </c>
      <c r="K24" s="2" t="s">
        <v>8</v>
      </c>
      <c r="L24" s="2" t="s">
        <v>16</v>
      </c>
    </row>
    <row r="25" spans="2:12" x14ac:dyDescent="0.45">
      <c r="B25" s="3" t="s">
        <v>9</v>
      </c>
      <c r="C25" s="3" t="s">
        <v>43</v>
      </c>
      <c r="D25" s="3" t="s">
        <v>43</v>
      </c>
      <c r="E25" s="3" t="s">
        <v>82</v>
      </c>
      <c r="F25" s="3" t="s">
        <v>119</v>
      </c>
      <c r="G25" s="3" t="s">
        <v>156</v>
      </c>
      <c r="H25" s="3" t="s">
        <v>196</v>
      </c>
      <c r="I25" s="3">
        <v>711420000</v>
      </c>
      <c r="J25" s="3" t="s">
        <v>13</v>
      </c>
      <c r="K25" s="2" t="s">
        <v>8</v>
      </c>
      <c r="L25" s="2" t="s">
        <v>16</v>
      </c>
    </row>
    <row r="26" spans="2:12" x14ac:dyDescent="0.45">
      <c r="B26" s="3" t="s">
        <v>9</v>
      </c>
      <c r="C26" s="3" t="s">
        <v>44</v>
      </c>
      <c r="D26" s="3" t="s">
        <v>44</v>
      </c>
      <c r="E26" s="3" t="s">
        <v>83</v>
      </c>
      <c r="F26" s="3" t="s">
        <v>120</v>
      </c>
      <c r="G26" s="3" t="s">
        <v>157</v>
      </c>
      <c r="H26" s="3" t="s">
        <v>197</v>
      </c>
      <c r="I26" s="3">
        <v>51452400</v>
      </c>
      <c r="J26" s="3" t="s">
        <v>13</v>
      </c>
      <c r="K26" s="2" t="s">
        <v>8</v>
      </c>
      <c r="L26" s="2" t="s">
        <v>16</v>
      </c>
    </row>
    <row r="27" spans="2:12" x14ac:dyDescent="0.45">
      <c r="B27" s="3" t="s">
        <v>9</v>
      </c>
      <c r="C27" s="3" t="s">
        <v>45</v>
      </c>
      <c r="D27" s="3" t="s">
        <v>45</v>
      </c>
      <c r="E27" s="3" t="s">
        <v>84</v>
      </c>
      <c r="F27" s="3" t="s">
        <v>121</v>
      </c>
      <c r="G27" s="3" t="s">
        <v>158</v>
      </c>
      <c r="H27" s="3" t="s">
        <v>198</v>
      </c>
      <c r="I27" s="3">
        <v>264781200</v>
      </c>
      <c r="J27" s="3" t="s">
        <v>13</v>
      </c>
      <c r="K27" s="2" t="s">
        <v>8</v>
      </c>
      <c r="L27" s="2" t="s">
        <v>16</v>
      </c>
    </row>
    <row r="28" spans="2:12" x14ac:dyDescent="0.45">
      <c r="B28" s="3" t="s">
        <v>9</v>
      </c>
      <c r="C28" s="3" t="s">
        <v>46</v>
      </c>
      <c r="D28" s="3" t="s">
        <v>46</v>
      </c>
      <c r="E28" s="3" t="s">
        <v>85</v>
      </c>
      <c r="F28" s="3" t="s">
        <v>122</v>
      </c>
      <c r="G28" s="3" t="s">
        <v>159</v>
      </c>
      <c r="H28" s="3" t="s">
        <v>199</v>
      </c>
      <c r="I28" s="3">
        <v>716800800</v>
      </c>
      <c r="J28" s="3" t="s">
        <v>13</v>
      </c>
      <c r="K28" s="2" t="s">
        <v>8</v>
      </c>
      <c r="L28" s="2" t="s">
        <v>16</v>
      </c>
    </row>
    <row r="29" spans="2:12" x14ac:dyDescent="0.45">
      <c r="B29" s="3" t="s">
        <v>9</v>
      </c>
      <c r="C29" s="3" t="s">
        <v>47</v>
      </c>
      <c r="D29" s="3" t="s">
        <v>47</v>
      </c>
      <c r="E29" s="3" t="s">
        <v>86</v>
      </c>
      <c r="F29" s="3" t="s">
        <v>123</v>
      </c>
      <c r="G29" s="3" t="s">
        <v>160</v>
      </c>
      <c r="H29" s="3" t="s">
        <v>200</v>
      </c>
      <c r="I29" s="3">
        <v>446520000</v>
      </c>
      <c r="J29" s="3" t="s">
        <v>13</v>
      </c>
      <c r="K29" s="2" t="s">
        <v>8</v>
      </c>
      <c r="L29" s="2" t="s">
        <v>16</v>
      </c>
    </row>
    <row r="30" spans="2:12" x14ac:dyDescent="0.45">
      <c r="B30" s="3" t="s">
        <v>9</v>
      </c>
      <c r="C30" s="3" t="s">
        <v>48</v>
      </c>
      <c r="D30" s="3" t="s">
        <v>48</v>
      </c>
      <c r="E30" s="3" t="s">
        <v>87</v>
      </c>
      <c r="F30" s="3" t="s">
        <v>124</v>
      </c>
      <c r="G30" s="3" t="s">
        <v>161</v>
      </c>
      <c r="H30" s="3" t="s">
        <v>201</v>
      </c>
      <c r="I30" s="3">
        <v>19308000</v>
      </c>
      <c r="J30" s="3" t="s">
        <v>13</v>
      </c>
      <c r="K30" s="2" t="s">
        <v>8</v>
      </c>
      <c r="L30" s="2" t="s">
        <v>16</v>
      </c>
    </row>
    <row r="31" spans="2:12" x14ac:dyDescent="0.45">
      <c r="B31" s="3" t="s">
        <v>9</v>
      </c>
      <c r="C31" s="3" t="s">
        <v>49</v>
      </c>
      <c r="D31" s="3" t="s">
        <v>49</v>
      </c>
      <c r="E31" s="3" t="s">
        <v>88</v>
      </c>
      <c r="F31" s="3" t="s">
        <v>125</v>
      </c>
      <c r="G31" s="3" t="s">
        <v>162</v>
      </c>
      <c r="H31" s="3" t="s">
        <v>202</v>
      </c>
      <c r="I31" s="3">
        <v>244965600</v>
      </c>
      <c r="J31" s="3" t="s">
        <v>13</v>
      </c>
      <c r="K31" s="2" t="s">
        <v>8</v>
      </c>
      <c r="L31" s="2" t="s">
        <v>16</v>
      </c>
    </row>
    <row r="32" spans="2:12" x14ac:dyDescent="0.45">
      <c r="B32" s="3" t="s">
        <v>9</v>
      </c>
      <c r="C32" s="3" t="s">
        <v>50</v>
      </c>
      <c r="D32" s="3" t="s">
        <v>50</v>
      </c>
      <c r="E32" s="3" t="s">
        <v>89</v>
      </c>
      <c r="F32" s="3" t="s">
        <v>126</v>
      </c>
      <c r="G32" s="3" t="s">
        <v>163</v>
      </c>
      <c r="H32" s="3" t="s">
        <v>203</v>
      </c>
      <c r="I32" s="3">
        <v>1397511600</v>
      </c>
      <c r="J32" s="3" t="s">
        <v>13</v>
      </c>
      <c r="K32" s="2" t="s">
        <v>8</v>
      </c>
      <c r="L32" s="2" t="s">
        <v>16</v>
      </c>
    </row>
    <row r="33" spans="2:12" x14ac:dyDescent="0.45">
      <c r="B33" s="3" t="s">
        <v>9</v>
      </c>
      <c r="C33" s="3" t="s">
        <v>51</v>
      </c>
      <c r="D33" s="3" t="s">
        <v>51</v>
      </c>
      <c r="E33" s="3" t="s">
        <v>90</v>
      </c>
      <c r="F33" s="3" t="s">
        <v>127</v>
      </c>
      <c r="G33" s="3" t="s">
        <v>164</v>
      </c>
      <c r="H33" s="3" t="s">
        <v>204</v>
      </c>
      <c r="I33" s="3">
        <v>79727800</v>
      </c>
      <c r="J33" s="3" t="s">
        <v>13</v>
      </c>
      <c r="K33" s="2" t="s">
        <v>8</v>
      </c>
      <c r="L33" s="2" t="s">
        <v>16</v>
      </c>
    </row>
    <row r="34" spans="2:12" x14ac:dyDescent="0.45">
      <c r="B34" s="3" t="s">
        <v>9</v>
      </c>
      <c r="C34" s="3" t="s">
        <v>52</v>
      </c>
      <c r="D34" s="3" t="s">
        <v>52</v>
      </c>
      <c r="E34" s="3" t="s">
        <v>91</v>
      </c>
      <c r="F34" s="3" t="s">
        <v>128</v>
      </c>
      <c r="G34" s="3" t="s">
        <v>165</v>
      </c>
      <c r="H34" s="3" t="s">
        <v>205</v>
      </c>
      <c r="I34" s="3">
        <v>324224400</v>
      </c>
      <c r="J34" s="3" t="s">
        <v>13</v>
      </c>
      <c r="K34" s="2" t="s">
        <v>8</v>
      </c>
      <c r="L34" s="2" t="s">
        <v>16</v>
      </c>
    </row>
    <row r="35" spans="2:12" x14ac:dyDescent="0.45">
      <c r="B35" s="3" t="s">
        <v>10</v>
      </c>
      <c r="C35" s="3" t="s">
        <v>53</v>
      </c>
      <c r="D35" s="3" t="s">
        <v>53</v>
      </c>
      <c r="E35" s="3" t="s">
        <v>92</v>
      </c>
      <c r="F35" s="3" t="s">
        <v>129</v>
      </c>
      <c r="G35" s="3" t="s">
        <v>166</v>
      </c>
      <c r="H35" s="3" t="s">
        <v>206</v>
      </c>
      <c r="I35" s="3">
        <v>101053200</v>
      </c>
      <c r="J35" s="3" t="s">
        <v>13</v>
      </c>
      <c r="K35" s="2" t="s">
        <v>8</v>
      </c>
      <c r="L35" s="2" t="s">
        <v>16</v>
      </c>
    </row>
    <row r="36" spans="2:12" x14ac:dyDescent="0.45">
      <c r="B36" s="3" t="s">
        <v>20</v>
      </c>
      <c r="C36" s="3" t="s">
        <v>54</v>
      </c>
      <c r="D36" s="3" t="s">
        <v>54</v>
      </c>
      <c r="E36" s="3" t="s">
        <v>74</v>
      </c>
      <c r="F36" s="3" t="s">
        <v>111</v>
      </c>
      <c r="G36" s="3" t="s">
        <v>167</v>
      </c>
      <c r="H36" s="3" t="s">
        <v>188</v>
      </c>
      <c r="I36" s="3">
        <v>32085600</v>
      </c>
      <c r="J36" s="3" t="s">
        <v>13</v>
      </c>
      <c r="K36" s="2" t="s">
        <v>8</v>
      </c>
      <c r="L36" s="2" t="s">
        <v>16</v>
      </c>
    </row>
    <row r="37" spans="2:12" x14ac:dyDescent="0.45">
      <c r="B37" s="3" t="s">
        <v>9</v>
      </c>
      <c r="C37" s="3" t="s">
        <v>55</v>
      </c>
      <c r="D37" s="3" t="s">
        <v>55</v>
      </c>
      <c r="E37" s="3" t="s">
        <v>66</v>
      </c>
      <c r="F37" s="3" t="s">
        <v>130</v>
      </c>
      <c r="G37" s="3" t="s">
        <v>168</v>
      </c>
      <c r="H37" s="3" t="s">
        <v>207</v>
      </c>
      <c r="I37" s="3">
        <v>114794400</v>
      </c>
      <c r="J37" s="3" t="s">
        <v>13</v>
      </c>
      <c r="K37" s="2" t="s">
        <v>8</v>
      </c>
      <c r="L37" s="2" t="s">
        <v>16</v>
      </c>
    </row>
    <row r="38" spans="2:12" x14ac:dyDescent="0.45">
      <c r="B38" s="3" t="s">
        <v>10</v>
      </c>
      <c r="C38" s="3" t="s">
        <v>56</v>
      </c>
      <c r="D38" s="3" t="s">
        <v>56</v>
      </c>
      <c r="E38" s="3" t="s">
        <v>93</v>
      </c>
      <c r="F38" s="3" t="s">
        <v>131</v>
      </c>
      <c r="G38" s="3" t="s">
        <v>169</v>
      </c>
      <c r="H38" s="3" t="s">
        <v>208</v>
      </c>
      <c r="I38" s="3">
        <v>52692000</v>
      </c>
      <c r="J38" s="3" t="s">
        <v>13</v>
      </c>
      <c r="K38" s="2" t="s">
        <v>8</v>
      </c>
      <c r="L38" s="2" t="s">
        <v>16</v>
      </c>
    </row>
    <row r="39" spans="2:12" x14ac:dyDescent="0.45">
      <c r="B39" s="3" t="s">
        <v>9</v>
      </c>
      <c r="C39" s="3" t="s">
        <v>57</v>
      </c>
      <c r="D39" s="3" t="s">
        <v>57</v>
      </c>
      <c r="E39" s="3" t="s">
        <v>94</v>
      </c>
      <c r="F39" s="3" t="s">
        <v>132</v>
      </c>
      <c r="G39" s="3" t="s">
        <v>170</v>
      </c>
      <c r="H39" s="3" t="s">
        <v>209</v>
      </c>
      <c r="I39" s="3">
        <v>13200000</v>
      </c>
      <c r="J39" s="3" t="s">
        <v>13</v>
      </c>
      <c r="K39" s="2" t="s">
        <v>8</v>
      </c>
      <c r="L39" s="2" t="s">
        <v>16</v>
      </c>
    </row>
    <row r="40" spans="2:12" x14ac:dyDescent="0.45">
      <c r="B40" s="3" t="s">
        <v>9</v>
      </c>
      <c r="C40" s="3" t="s">
        <v>58</v>
      </c>
      <c r="D40" s="3" t="s">
        <v>58</v>
      </c>
      <c r="E40" s="3" t="s">
        <v>95</v>
      </c>
      <c r="F40" s="3" t="s">
        <v>133</v>
      </c>
      <c r="G40" s="3" t="s">
        <v>171</v>
      </c>
      <c r="H40" s="3" t="s">
        <v>210</v>
      </c>
      <c r="I40" s="3">
        <v>23955600</v>
      </c>
      <c r="J40" s="3" t="s">
        <v>13</v>
      </c>
      <c r="K40" s="2" t="s">
        <v>8</v>
      </c>
      <c r="L40" s="2" t="s">
        <v>16</v>
      </c>
    </row>
    <row r="41" spans="2:12" x14ac:dyDescent="0.45">
      <c r="B41" s="3" t="s">
        <v>20</v>
      </c>
      <c r="C41" s="3" t="s">
        <v>59</v>
      </c>
      <c r="D41" s="3" t="s">
        <v>59</v>
      </c>
      <c r="E41" s="3" t="s">
        <v>96</v>
      </c>
      <c r="F41" s="3" t="s">
        <v>134</v>
      </c>
      <c r="G41" s="3" t="s">
        <v>172</v>
      </c>
      <c r="H41" s="3" t="s">
        <v>211</v>
      </c>
      <c r="I41" s="3">
        <v>32810400</v>
      </c>
      <c r="J41" s="3" t="s">
        <v>13</v>
      </c>
      <c r="K41" s="2" t="s">
        <v>8</v>
      </c>
      <c r="L41" s="2" t="s">
        <v>16</v>
      </c>
    </row>
    <row r="42" spans="2:12" x14ac:dyDescent="0.45">
      <c r="B42" s="3" t="s">
        <v>10</v>
      </c>
      <c r="C42" s="3" t="s">
        <v>212</v>
      </c>
      <c r="D42" s="3" t="s">
        <v>212</v>
      </c>
      <c r="E42" s="3" t="s">
        <v>213</v>
      </c>
      <c r="F42" s="3" t="s">
        <v>214</v>
      </c>
      <c r="G42" s="3" t="s">
        <v>215</v>
      </c>
      <c r="H42" s="3" t="s">
        <v>216</v>
      </c>
      <c r="I42" s="3">
        <v>975330000</v>
      </c>
      <c r="J42" s="3" t="s">
        <v>13</v>
      </c>
      <c r="K42" s="2" t="s">
        <v>8</v>
      </c>
      <c r="L42" s="2" t="s">
        <v>16</v>
      </c>
    </row>
    <row r="43" spans="2:12" x14ac:dyDescent="0.45">
      <c r="B43" s="3" t="s">
        <v>9</v>
      </c>
      <c r="C43" s="3" t="s">
        <v>217</v>
      </c>
      <c r="D43" s="3" t="s">
        <v>217</v>
      </c>
      <c r="E43" s="3" t="s">
        <v>60</v>
      </c>
      <c r="F43" s="3" t="s">
        <v>97</v>
      </c>
      <c r="G43" s="3" t="s">
        <v>135</v>
      </c>
      <c r="H43" s="3" t="s">
        <v>174</v>
      </c>
      <c r="I43" s="3">
        <v>5726712000</v>
      </c>
      <c r="J43" s="3" t="s">
        <v>13</v>
      </c>
      <c r="K43" s="2" t="s">
        <v>8</v>
      </c>
      <c r="L43" s="2" t="s">
        <v>16</v>
      </c>
    </row>
    <row r="44" spans="2:12" x14ac:dyDescent="0.45">
      <c r="B44" s="3" t="s">
        <v>9</v>
      </c>
      <c r="C44" s="3" t="s">
        <v>218</v>
      </c>
      <c r="D44" s="3" t="s">
        <v>218</v>
      </c>
      <c r="E44" s="3" t="s">
        <v>219</v>
      </c>
      <c r="F44" s="3" t="s">
        <v>220</v>
      </c>
      <c r="G44" s="3" t="s">
        <v>221</v>
      </c>
      <c r="H44" s="3" t="s">
        <v>222</v>
      </c>
      <c r="I44" s="3">
        <v>1462567200</v>
      </c>
      <c r="J44" s="3" t="s">
        <v>13</v>
      </c>
      <c r="K44" s="2" t="s">
        <v>8</v>
      </c>
      <c r="L44" s="2" t="s">
        <v>16</v>
      </c>
    </row>
    <row r="45" spans="2:12" x14ac:dyDescent="0.45">
      <c r="B45" s="3" t="s">
        <v>10</v>
      </c>
      <c r="C45" s="3" t="s">
        <v>223</v>
      </c>
      <c r="D45" s="3" t="s">
        <v>223</v>
      </c>
      <c r="E45" s="3" t="s">
        <v>224</v>
      </c>
      <c r="F45" s="3" t="s">
        <v>225</v>
      </c>
      <c r="G45" s="3" t="s">
        <v>227</v>
      </c>
      <c r="H45" s="3" t="s">
        <v>226</v>
      </c>
      <c r="I45" s="3">
        <v>1485000</v>
      </c>
      <c r="J45" s="3" t="s">
        <v>13</v>
      </c>
      <c r="K45" s="2" t="s">
        <v>8</v>
      </c>
      <c r="L45" s="2" t="s">
        <v>16</v>
      </c>
    </row>
    <row r="46" spans="2:12" x14ac:dyDescent="0.45">
      <c r="B46" s="7" t="s">
        <v>11</v>
      </c>
      <c r="C46" s="7"/>
      <c r="D46" s="7"/>
      <c r="E46" s="7"/>
      <c r="F46" s="7"/>
      <c r="G46" s="7"/>
      <c r="H46" s="4"/>
      <c r="I46" s="5">
        <f>SUM(I3:I45)</f>
        <v>14333817000</v>
      </c>
      <c r="J46" s="5"/>
      <c r="K46" s="6"/>
      <c r="L46" s="6"/>
    </row>
  </sheetData>
  <mergeCells count="2">
    <mergeCell ref="B46:G46"/>
    <mergeCell ref="B1:L1"/>
  </mergeCells>
  <phoneticPr fontId="4" type="noConversion"/>
  <conditionalFormatting sqref="C3:C45">
    <cfRule type="duplicateValues" dxfId="1" priority="4"/>
  </conditionalFormatting>
  <conditionalFormatting sqref="D45">
    <cfRule type="duplicateValues" dxfId="0" priority="1"/>
  </conditionalFormatting>
  <dataValidations count="3">
    <dataValidation type="list" allowBlank="1" showInputMessage="1" showErrorMessage="1" sqref="B3:B4 B7:B45">
      <formula1>"신규, 변경, 기간연장, 해지"</formula1>
    </dataValidation>
    <dataValidation type="whole" operator="greaterThan" allowBlank="1" showInputMessage="1" showErrorMessage="1" sqref="I3:I45">
      <formula1>0</formula1>
    </dataValidation>
    <dataValidation type="list" operator="greaterThan" allowBlank="1" showInputMessage="1" showErrorMessage="1" sqref="J3:J45">
      <formula1>"유지보수료, 전산임차료, 회선사용료"</formula1>
    </dataValidation>
  </dataValidations>
  <hyperlinks>
    <hyperlink ref="H4" r:id="rId1" display="ma@watchtek.co.kr"/>
    <hyperlink ref="H42" r:id="rId2"/>
    <hyperlink ref="H45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2024-10-14T04:24:02Z</dcterms:modified>
</cp:coreProperties>
</file>