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IT인프라팀\201. 전산예산편성요청\2025년도 예산\(일반관리비) 백업 테이프 구매 사업\"/>
    </mc:Choice>
  </mc:AlternateContent>
  <xr:revisionPtr revIDLastSave="0" documentId="13_ncr:1_{6491B065-FB2A-4125-95D0-991C6A48705B}" xr6:coauthVersionLast="47" xr6:coauthVersionMax="47" xr10:uidLastSave="{00000000-0000-0000-0000-000000000000}"/>
  <bookViews>
    <workbookView xWindow="38290" yWindow="-110" windowWidth="38620" windowHeight="21220" xr2:uid="{00000000-000D-0000-FFFF-FFFF00000000}"/>
  </bookViews>
  <sheets>
    <sheet name="견적" sheetId="10" r:id="rId1"/>
  </sheets>
  <externalReferences>
    <externalReference r:id="rId2"/>
    <externalReference r:id="rId3"/>
    <externalReference r:id="rId4"/>
  </externalReferences>
  <definedNames>
    <definedName name="descriptions">[1]Descriptions!$A$1:$B$2504</definedName>
    <definedName name="_xlnm.Print_Area" localSheetId="0">견적!$A$1:$L$30</definedName>
    <definedName name="REPORT_LINES_TO_FORMAT" localSheetId="0">'[2]EMCK CX700'!$F$14:$I$30,'[2]EMCK CX700'!$F$52:$J$53</definedName>
    <definedName name="REPORT_LINES_TO_FORMAT">'[3]EMCK CX700'!$F$14:$I$30,'[3]EMCK CX700'!$F$52:$J$53</definedName>
    <definedName name="REPORT_TOTALS_TO_FORMAT" localSheetId="0">'[2]EMCK CX700'!$F$32:$I$46,'[2]EMCK CX700'!$H$47,'[2]EMCK CX700'!$F$55:$J$55</definedName>
    <definedName name="REPORT_TOTALS_TO_FORMAT">'[3]EMCK CX700'!$F$32:$I$46,'[3]EMCK CX700'!$H$47,'[3]EMCK CX700'!$F$55:$J$55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10" l="1"/>
  <c r="I18" i="10" s="1"/>
  <c r="I19" i="10" s="1"/>
  <c r="G18" i="10"/>
  <c r="G19" i="10" s="1"/>
  <c r="H14" i="10"/>
  <c r="I14" i="10" l="1"/>
  <c r="G14" i="10"/>
  <c r="G15" i="10" s="1"/>
  <c r="D26" i="10"/>
  <c r="G21" i="10" l="1"/>
  <c r="G22" i="10" s="1"/>
  <c r="I15" i="10"/>
  <c r="I21" i="10" l="1"/>
  <c r="I22" i="10" l="1"/>
  <c r="D10" i="10" s="1"/>
</calcChain>
</file>

<file path=xl/sharedStrings.xml><?xml version="1.0" encoding="utf-8"?>
<sst xmlns="http://schemas.openxmlformats.org/spreadsheetml/2006/main" count="56" uniqueCount="43">
  <si>
    <t>Q U O T A T I O N</t>
  </si>
  <si>
    <t xml:space="preserve">     Remarks</t>
  </si>
  <si>
    <t>유 효 기 간</t>
    <phoneticPr fontId="8" type="noConversion"/>
  </si>
  <si>
    <t>제   출   자</t>
    <phoneticPr fontId="8" type="noConversion"/>
  </si>
  <si>
    <t>TEL: 02-3467-7200    FAX: 02-563-0014</t>
    <phoneticPr fontId="8" type="noConversion"/>
  </si>
  <si>
    <t>서울시 강남구 언주로 620 현대인텔렉스빌딩 10층</t>
    <phoneticPr fontId="8" type="noConversion"/>
  </si>
  <si>
    <t>날짜 :</t>
    <phoneticPr fontId="8" type="noConversion"/>
  </si>
  <si>
    <t>수신 :</t>
    <phoneticPr fontId="8" type="noConversion"/>
  </si>
  <si>
    <t>참조 :</t>
    <phoneticPr fontId="8" type="noConversion"/>
  </si>
  <si>
    <t>금융영업1본부 정현준 과장  010-9082-5529, june@datasolution.kr</t>
    <phoneticPr fontId="8" type="noConversion"/>
  </si>
  <si>
    <t>구분</t>
    <phoneticPr fontId="8" type="noConversion"/>
  </si>
  <si>
    <t>아이템</t>
    <phoneticPr fontId="8" type="noConversion"/>
  </si>
  <si>
    <t>상세내역</t>
    <phoneticPr fontId="8" type="noConversion"/>
  </si>
  <si>
    <t>수량</t>
    <phoneticPr fontId="8" type="noConversion"/>
  </si>
  <si>
    <t>제안단가</t>
    <phoneticPr fontId="8" type="noConversion"/>
  </si>
  <si>
    <t>제안단가합</t>
    <phoneticPr fontId="8" type="noConversion"/>
  </si>
  <si>
    <t>DC율</t>
    <phoneticPr fontId="8" type="noConversion"/>
  </si>
  <si>
    <t>비고</t>
    <phoneticPr fontId="8" type="noConversion"/>
  </si>
  <si>
    <t>비         고</t>
    <phoneticPr fontId="8" type="noConversion"/>
  </si>
  <si>
    <t>소비자가</t>
    <phoneticPr fontId="8" type="noConversion"/>
  </si>
  <si>
    <t>소비자가합</t>
    <phoneticPr fontId="8" type="noConversion"/>
  </si>
  <si>
    <t>(단위 : 원, VAT별도)</t>
    <phoneticPr fontId="8" type="noConversion"/>
  </si>
  <si>
    <t>Sub-Total (VAT별도)</t>
    <phoneticPr fontId="8" type="noConversion"/>
  </si>
  <si>
    <t>제안가 합계(VAT별도)</t>
    <phoneticPr fontId="8" type="noConversion"/>
  </si>
  <si>
    <t>제안가 합계(VAT포함)</t>
    <phoneticPr fontId="8" type="noConversion"/>
  </si>
  <si>
    <t>유지보수요율</t>
    <phoneticPr fontId="8" type="noConversion"/>
  </si>
  <si>
    <t>견 적 금 액 :</t>
    <phoneticPr fontId="8" type="noConversion"/>
  </si>
  <si>
    <t>담당자 귀하</t>
    <phoneticPr fontId="8" type="noConversion"/>
  </si>
  <si>
    <t>산업은행</t>
    <phoneticPr fontId="8" type="noConversion"/>
  </si>
  <si>
    <t>건명 :</t>
    <phoneticPr fontId="8" type="noConversion"/>
  </si>
  <si>
    <t xml:space="preserve">LTO7 Tape Media, 5 Pack, Cust Kit [LTO7 테이프 미디어, 5 팩, Cust Kit </t>
    <phoneticPr fontId="8" type="noConversion"/>
  </si>
  <si>
    <t>LTO7 Tape (25년도 전산예산)</t>
    <phoneticPr fontId="8" type="noConversion"/>
  </si>
  <si>
    <t>1. LTO7 Tape</t>
    <phoneticPr fontId="8" type="noConversion"/>
  </si>
  <si>
    <t>(440-BBHT)</t>
    <phoneticPr fontId="8" type="noConversion"/>
  </si>
  <si>
    <t>-</t>
    <phoneticPr fontId="8" type="noConversion"/>
  </si>
  <si>
    <t>-</t>
    <phoneticPr fontId="8" type="noConversion"/>
  </si>
  <si>
    <t>천단위 절사</t>
    <phoneticPr fontId="8" type="noConversion"/>
  </si>
  <si>
    <t>LTO7 바코드라벨</t>
    <phoneticPr fontId="8" type="noConversion"/>
  </si>
  <si>
    <t>LTO Bar Code</t>
    <phoneticPr fontId="8" type="noConversion"/>
  </si>
  <si>
    <t>2. LTO7 바코드라벨</t>
    <phoneticPr fontId="8" type="noConversion"/>
  </si>
  <si>
    <t>-</t>
    <phoneticPr fontId="8" type="noConversion"/>
  </si>
  <si>
    <t>라벨지는 고객의 요청에 의하여 변경 될 수 있습니다.</t>
    <phoneticPr fontId="8" type="noConversion"/>
  </si>
  <si>
    <t>금융영업1본부 김   원 이사  010-9058-1135, wkim@datasolution.kr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</si>
</sst>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&quot;%&quot;\ &quot; 적&quot;&quot;용&quot;"/>
    <numFmt numFmtId="177" formatCode="&quot;$&quot;#,##0_);\(&quot;$&quot;#,##0\)"/>
    <numFmt numFmtId="178" formatCode="_-* #,##0_-;&quot;₩&quot;\!\-* #,##0_-;_-* &quot;-&quot;??_-;_-@_-"/>
    <numFmt numFmtId="179" formatCode="#,##0;[Red]#,##0"/>
    <numFmt numFmtId="180" formatCode="yyyy&quot;년&quot;\ m&quot;월&quot;\ d&quot;일&quot;;@"/>
    <numFmt numFmtId="181" formatCode="0.0%"/>
    <numFmt numFmtId="182" formatCode="#,###&quot;&quot;&quot;원&quot;&quot;(VAT포함)&quot;"/>
    <numFmt numFmtId="183" formatCode="_(* #,##0.00_);_(* \(#,##0.00\);_(* &quot;-&quot;??_);_(@_)"/>
    <numFmt numFmtId="184" formatCode="0.0%;[Red]&quot;△&quot;0.0%"/>
    <numFmt numFmtId="185" formatCode="_-* #,##0&quot;₩&quot;\ _D_M_-;&quot;₩&quot;\-* #,##0&quot;₩&quot;\ _D_M_-;_-* &quot;-&quot;&quot;₩&quot;\ _D_M_-;_-@_-"/>
    <numFmt numFmtId="186" formatCode="* #,##0.0"/>
    <numFmt numFmtId="187" formatCode="#,##0.00000"/>
    <numFmt numFmtId="188" formatCode="_ * #,##0_ ;_ * &quot;₩&quot;\-#,##0_ ;_ * &quot;-&quot;??_ ;_ @_ "/>
    <numFmt numFmtId="189" formatCode="0.00000000"/>
    <numFmt numFmtId="190" formatCode="0.00000%"/>
    <numFmt numFmtId="191" formatCode="###,###,"/>
    <numFmt numFmtId="192" formatCode="#,##0_ "/>
    <numFmt numFmtId="193" formatCode="_(&quot;$&quot;* #,##0.0_);_(&quot;$&quot;* &quot;₩&quot;&quot;₩&quot;&quot;₩&quot;&quot;₩&quot;&quot;₩&quot;&quot;₩&quot;\(#,##0.0&quot;₩&quot;&quot;₩&quot;&quot;₩&quot;&quot;₩&quot;&quot;₩&quot;&quot;₩&quot;\);_(&quot;$&quot;* &quot;-&quot;_);_(@_)"/>
    <numFmt numFmtId="194" formatCode="_ &quot;₩&quot;* #,##0.0000000_ ;_ &quot;₩&quot;* &quot;₩&quot;\-#,##0.0000000_ ;_ &quot;₩&quot;* &quot;-&quot;??_ ;_ @_ "/>
    <numFmt numFmtId="195" formatCode="#,##0;[Red]&quot;△&quot;#,##0"/>
    <numFmt numFmtId="196" formatCode="_ * #,##0.000000_ ;_ * &quot;₩&quot;\-#,##0.000000_ ;_ * &quot;-&quot;??_ ;_ @_ "/>
    <numFmt numFmtId="197" formatCode="#,##0.0"/>
    <numFmt numFmtId="198" formatCode="_(* #,##0_);_(* \(#,##0\);_(* &quot;-&quot;??_);_(@_)"/>
  </numFmts>
  <fonts count="3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Helv"/>
      <family val="2"/>
    </font>
    <font>
      <sz val="11"/>
      <name val="돋움"/>
      <family val="3"/>
      <charset val="129"/>
    </font>
    <font>
      <sz val="10"/>
      <name val="Arial"/>
      <family val="2"/>
    </font>
    <font>
      <sz val="8"/>
      <name val="돋움"/>
      <family val="3"/>
      <charset val="129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2"/>
      <color indexed="6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indexed="8"/>
      <name val="Arial"/>
      <family val="2"/>
    </font>
    <font>
      <sz val="11"/>
      <color indexed="8"/>
      <name val="맑은 고딕"/>
      <family val="3"/>
      <charset val="129"/>
    </font>
    <font>
      <sz val="10"/>
      <color theme="1"/>
      <name val="Arial"/>
      <family val="2"/>
    </font>
    <font>
      <sz val="11"/>
      <color rgb="FF000000"/>
      <name val="맑은 고딕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Calibri"/>
      <family val="2"/>
    </font>
    <font>
      <sz val="10"/>
      <name val="새굴림"/>
      <family val="1"/>
      <charset val="129"/>
    </font>
    <font>
      <b/>
      <sz val="12"/>
      <name val="Arial"/>
      <family val="2"/>
    </font>
    <font>
      <sz val="8"/>
      <name val="Arial"/>
      <family val="2"/>
    </font>
    <font>
      <sz val="12"/>
      <name val="돋움체"/>
      <family val="3"/>
      <charset val="129"/>
    </font>
    <font>
      <sz val="10"/>
      <color indexed="8"/>
      <name val="MS Sans Serif"/>
      <family val="2"/>
    </font>
    <font>
      <b/>
      <sz val="11"/>
      <color theme="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3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1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12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42">
    <xf numFmtId="0" fontId="0" fillId="0" borderId="0">
      <alignment vertical="center"/>
    </xf>
    <xf numFmtId="0" fontId="27" fillId="0" borderId="0" applyBorder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4" fillId="0" borderId="0">
      <alignment vertical="center"/>
    </xf>
    <xf numFmtId="41" fontId="24" fillId="0" borderId="0" applyFont="0" applyFill="0" applyBorder="0" applyAlignment="0" applyProtection="0"/>
    <xf numFmtId="0" fontId="4" fillId="0" borderId="0">
      <alignment vertical="center"/>
    </xf>
    <xf numFmtId="0" fontId="6" fillId="0" borderId="0"/>
    <xf numFmtId="0" fontId="24" fillId="0" borderId="0"/>
    <xf numFmtId="41" fontId="2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/>
    <xf numFmtId="0" fontId="6" fillId="0" borderId="0"/>
    <xf numFmtId="0" fontId="26" fillId="0" borderId="0"/>
    <xf numFmtId="0" fontId="6" fillId="0" borderId="0"/>
    <xf numFmtId="0" fontId="25" fillId="0" borderId="0"/>
    <xf numFmtId="0" fontId="7" fillId="0" borderId="0"/>
    <xf numFmtId="0" fontId="20" fillId="0" borderId="0"/>
    <xf numFmtId="0" fontId="23" fillId="0" borderId="0">
      <alignment vertical="center"/>
    </xf>
    <xf numFmtId="0" fontId="20" fillId="0" borderId="0"/>
    <xf numFmtId="42" fontId="6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5" fillId="0" borderId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0" fontId="5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7" fillId="0" borderId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6" fillId="0" borderId="0"/>
    <xf numFmtId="0" fontId="20" fillId="0" borderId="0">
      <alignment vertical="center"/>
    </xf>
    <xf numFmtId="184" fontId="6" fillId="0" borderId="0" applyFill="0" applyBorder="0" applyAlignment="0"/>
    <xf numFmtId="185" fontId="6" fillId="0" borderId="0" applyFill="0" applyBorder="0" applyAlignment="0"/>
    <xf numFmtId="186" fontId="6" fillId="0" borderId="0" applyFill="0" applyBorder="0" applyAlignment="0"/>
    <xf numFmtId="187" fontId="6" fillId="0" borderId="0" applyFill="0" applyBorder="0" applyAlignment="0"/>
    <xf numFmtId="188" fontId="6" fillId="0" borderId="0" applyFill="0" applyBorder="0" applyAlignment="0"/>
    <xf numFmtId="184" fontId="6" fillId="0" borderId="0" applyFill="0" applyBorder="0" applyAlignment="0"/>
    <xf numFmtId="189" fontId="6" fillId="0" borderId="0" applyFill="0" applyBorder="0" applyAlignment="0"/>
    <xf numFmtId="185" fontId="6" fillId="0" borderId="0" applyFill="0" applyBorder="0" applyAlignment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84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4" fontId="21" fillId="0" borderId="0" applyFill="0" applyBorder="0" applyAlignment="0"/>
    <xf numFmtId="184" fontId="6" fillId="0" borderId="0" applyFill="0" applyBorder="0" applyAlignment="0"/>
    <xf numFmtId="185" fontId="6" fillId="0" borderId="0" applyFill="0" applyBorder="0" applyAlignment="0"/>
    <xf numFmtId="184" fontId="6" fillId="0" borderId="0" applyFill="0" applyBorder="0" applyAlignment="0"/>
    <xf numFmtId="189" fontId="6" fillId="0" borderId="0" applyFill="0" applyBorder="0" applyAlignment="0"/>
    <xf numFmtId="185" fontId="6" fillId="0" borderId="0" applyFill="0" applyBorder="0" applyAlignment="0"/>
    <xf numFmtId="38" fontId="30" fillId="2" borderId="0" applyNumberFormat="0" applyBorder="0" applyAlignment="0" applyProtection="0"/>
    <xf numFmtId="0" fontId="29" fillId="0" borderId="23" applyNumberFormat="0" applyAlignment="0" applyProtection="0">
      <alignment horizontal="left" vertical="center"/>
    </xf>
    <xf numFmtId="0" fontId="29" fillId="0" borderId="25">
      <alignment horizontal="left" vertical="center"/>
    </xf>
    <xf numFmtId="10" fontId="30" fillId="6" borderId="26" applyNumberFormat="0" applyBorder="0" applyAlignment="0" applyProtection="0"/>
    <xf numFmtId="191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84" fontId="6" fillId="0" borderId="0" applyFill="0" applyBorder="0" applyAlignment="0"/>
    <xf numFmtId="185" fontId="6" fillId="0" borderId="0" applyFill="0" applyBorder="0" applyAlignment="0"/>
    <xf numFmtId="184" fontId="6" fillId="0" borderId="0" applyFill="0" applyBorder="0" applyAlignment="0"/>
    <xf numFmtId="189" fontId="6" fillId="0" borderId="0" applyFill="0" applyBorder="0" applyAlignment="0"/>
    <xf numFmtId="185" fontId="6" fillId="0" borderId="0" applyFill="0" applyBorder="0" applyAlignment="0"/>
    <xf numFmtId="193" fontId="31" fillId="0" borderId="0"/>
    <xf numFmtId="188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0" fontId="7" fillId="0" borderId="0" applyFont="0" applyFill="0" applyBorder="0" applyAlignment="0" applyProtection="0"/>
    <xf numFmtId="184" fontId="6" fillId="0" borderId="0" applyFill="0" applyBorder="0" applyAlignment="0"/>
    <xf numFmtId="185" fontId="6" fillId="0" borderId="0" applyFill="0" applyBorder="0" applyAlignment="0"/>
    <xf numFmtId="184" fontId="6" fillId="0" borderId="0" applyFill="0" applyBorder="0" applyAlignment="0"/>
    <xf numFmtId="189" fontId="6" fillId="0" borderId="0" applyFill="0" applyBorder="0" applyAlignment="0"/>
    <xf numFmtId="185" fontId="6" fillId="0" borderId="0" applyFill="0" applyBorder="0" applyAlignment="0"/>
    <xf numFmtId="9" fontId="32" fillId="0" borderId="0" applyFont="0" applyFill="0" applyProtection="0"/>
    <xf numFmtId="0" fontId="32" fillId="0" borderId="0"/>
    <xf numFmtId="49" fontId="21" fillId="0" borderId="0" applyFill="0" applyBorder="0" applyAlignment="0"/>
    <xf numFmtId="194" fontId="6" fillId="0" borderId="0" applyFill="0" applyBorder="0" applyAlignment="0"/>
    <xf numFmtId="195" fontId="6" fillId="0" borderId="0" applyFill="0" applyBorder="0" applyAlignment="0"/>
    <xf numFmtId="196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0" fontId="7" fillId="0" borderId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198" fontId="6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0" fontId="7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2" fontId="21" fillId="0" borderId="0" applyFont="0" applyFill="0" applyBorder="0" applyAlignment="0" applyProtection="0">
      <alignment vertical="center"/>
    </xf>
    <xf numFmtId="0" fontId="6" fillId="0" borderId="0"/>
    <xf numFmtId="0" fontId="28" fillId="0" borderId="0"/>
    <xf numFmtId="0" fontId="23" fillId="0" borderId="0">
      <alignment vertical="center"/>
    </xf>
    <xf numFmtId="0" fontId="7" fillId="0" borderId="0"/>
    <xf numFmtId="0" fontId="20" fillId="0" borderId="0">
      <alignment vertical="center"/>
    </xf>
    <xf numFmtId="0" fontId="7" fillId="0" borderId="0"/>
    <xf numFmtId="41" fontId="2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13">
    <xf numFmtId="0" fontId="0" fillId="0" borderId="0" xfId="0">
      <alignment vertical="center"/>
    </xf>
    <xf numFmtId="182" fontId="9" fillId="3" borderId="2" xfId="0" applyNumberFormat="1" applyFont="1" applyFill="1" applyBorder="1" applyAlignment="1">
      <alignment horizontal="left" vertical="center"/>
    </xf>
    <xf numFmtId="0" fontId="11" fillId="0" borderId="0" xfId="0" applyFont="1" applyAlignment="1">
      <alignment horizontal="right"/>
    </xf>
    <xf numFmtId="0" fontId="12" fillId="0" borderId="0" xfId="0" applyFont="1" applyAlignment="1">
      <alignment horizontal="center" vertical="center"/>
    </xf>
    <xf numFmtId="179" fontId="11" fillId="0" borderId="3" xfId="0" applyNumberFormat="1" applyFont="1" applyFill="1" applyBorder="1" applyAlignment="1">
      <alignment horizontal="right"/>
    </xf>
    <xf numFmtId="180" fontId="10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Fill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14" fontId="11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4" fontId="11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178" fontId="10" fillId="0" borderId="0" xfId="0" applyNumberFormat="1" applyFont="1" applyFill="1" applyBorder="1" applyAlignment="1">
      <alignment horizontal="center" vertical="center"/>
    </xf>
    <xf numFmtId="178" fontId="18" fillId="0" borderId="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left" vertical="center"/>
    </xf>
    <xf numFmtId="0" fontId="10" fillId="2" borderId="13" xfId="0" applyFont="1" applyFill="1" applyBorder="1" applyAlignment="1">
      <alignment horizontal="center" vertical="center"/>
    </xf>
    <xf numFmtId="0" fontId="9" fillId="0" borderId="15" xfId="0" applyFont="1" applyBorder="1" applyAlignment="1" applyProtection="1">
      <alignment horizontal="center" vertical="center"/>
      <protection locked="0"/>
    </xf>
    <xf numFmtId="0" fontId="10" fillId="0" borderId="15" xfId="0" applyFont="1" applyBorder="1" applyAlignment="1" applyProtection="1">
      <alignment horizontal="center" vertical="center"/>
      <protection locked="0"/>
    </xf>
    <xf numFmtId="0" fontId="10" fillId="0" borderId="16" xfId="0" applyFont="1" applyBorder="1" applyAlignment="1">
      <alignment horizontal="center" vertical="center"/>
    </xf>
    <xf numFmtId="0" fontId="12" fillId="0" borderId="17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 wrapText="1"/>
    </xf>
    <xf numFmtId="0" fontId="10" fillId="0" borderId="18" xfId="0" applyFont="1" applyBorder="1" applyAlignment="1">
      <alignment horizontal="center" vertical="center"/>
    </xf>
    <xf numFmtId="0" fontId="11" fillId="0" borderId="17" xfId="0" applyFont="1" applyBorder="1" applyAlignment="1" applyProtection="1">
      <alignment horizontal="left" vertical="center" indent="1"/>
      <protection locked="0"/>
    </xf>
    <xf numFmtId="0" fontId="11" fillId="0" borderId="0" xfId="0" applyFont="1" applyBorder="1" applyAlignment="1" applyProtection="1">
      <alignment horizontal="left" vertical="center"/>
      <protection locked="0"/>
    </xf>
    <xf numFmtId="180" fontId="11" fillId="0" borderId="0" xfId="0" applyNumberFormat="1" applyFont="1" applyBorder="1" applyAlignment="1" applyProtection="1">
      <alignment horizontal="left" vertical="center"/>
      <protection locked="0"/>
    </xf>
    <xf numFmtId="0" fontId="17" fillId="0" borderId="0" xfId="0" applyFont="1" applyBorder="1" applyAlignment="1" applyProtection="1">
      <alignment horizontal="left" vertical="center"/>
      <protection locked="0"/>
    </xf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 applyProtection="1">
      <alignment horizontal="left" vertical="center" indent="1"/>
      <protection locked="0"/>
    </xf>
    <xf numFmtId="0" fontId="11" fillId="0" borderId="20" xfId="0" applyFont="1" applyBorder="1" applyAlignment="1" applyProtection="1">
      <alignment horizontal="left" vertical="center"/>
      <protection locked="0"/>
    </xf>
    <xf numFmtId="0" fontId="17" fillId="0" borderId="20" xfId="0" applyFont="1" applyBorder="1" applyAlignment="1" applyProtection="1">
      <alignment horizontal="center" vertical="center"/>
      <protection locked="0"/>
    </xf>
    <xf numFmtId="0" fontId="17" fillId="0" borderId="21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10" fontId="18" fillId="0" borderId="0" xfId="0" applyNumberFormat="1" applyFont="1" applyFill="1" applyBorder="1" applyAlignment="1">
      <alignment horizontal="center" vertical="center"/>
    </xf>
    <xf numFmtId="180" fontId="12" fillId="0" borderId="0" xfId="0" applyNumberFormat="1" applyFont="1" applyAlignment="1">
      <alignment horizontal="center" vertical="center"/>
    </xf>
    <xf numFmtId="41" fontId="18" fillId="0" borderId="0" xfId="0" applyNumberFormat="1" applyFont="1" applyFill="1" applyBorder="1" applyAlignment="1">
      <alignment horizontal="center" vertical="center"/>
    </xf>
    <xf numFmtId="41" fontId="10" fillId="0" borderId="0" xfId="0" applyNumberFormat="1" applyFont="1" applyBorder="1" applyAlignment="1">
      <alignment horizontal="center" vertical="center"/>
    </xf>
    <xf numFmtId="41" fontId="10" fillId="0" borderId="0" xfId="0" applyNumberFormat="1" applyFont="1" applyFill="1" applyBorder="1" applyAlignment="1">
      <alignment horizontal="center" vertical="center"/>
    </xf>
    <xf numFmtId="41" fontId="17" fillId="0" borderId="20" xfId="0" applyNumberFormat="1" applyFont="1" applyBorder="1" applyAlignment="1">
      <alignment horizontal="center" vertical="center"/>
    </xf>
    <xf numFmtId="41" fontId="17" fillId="0" borderId="0" xfId="0" applyNumberFormat="1" applyFont="1" applyBorder="1" applyAlignment="1">
      <alignment horizontal="center" vertical="center"/>
    </xf>
    <xf numFmtId="41" fontId="12" fillId="0" borderId="0" xfId="0" applyNumberFormat="1" applyFont="1" applyFill="1" applyBorder="1" applyAlignment="1">
      <alignment horizontal="left" vertical="center" wrapText="1"/>
    </xf>
    <xf numFmtId="41" fontId="10" fillId="0" borderId="15" xfId="0" applyNumberFormat="1" applyFont="1" applyBorder="1" applyAlignment="1">
      <alignment horizontal="center" vertical="center"/>
    </xf>
    <xf numFmtId="41" fontId="14" fillId="0" borderId="0" xfId="0" applyNumberFormat="1" applyFont="1" applyFill="1" applyAlignment="1">
      <alignment horizontal="left" vertical="center"/>
    </xf>
    <xf numFmtId="41" fontId="11" fillId="0" borderId="0" xfId="0" applyNumberFormat="1" applyFont="1" applyAlignment="1">
      <alignment horizontal="left" vertical="center"/>
    </xf>
    <xf numFmtId="41" fontId="14" fillId="0" borderId="0" xfId="0" applyNumberFormat="1" applyFont="1" applyAlignment="1">
      <alignment horizontal="right" vertical="center"/>
    </xf>
    <xf numFmtId="41" fontId="10" fillId="0" borderId="3" xfId="0" applyNumberFormat="1" applyFont="1" applyFill="1" applyBorder="1" applyAlignment="1">
      <alignment horizontal="center" vertical="center"/>
    </xf>
    <xf numFmtId="41" fontId="11" fillId="0" borderId="3" xfId="0" applyNumberFormat="1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41" fontId="12" fillId="5" borderId="5" xfId="0" applyNumberFormat="1" applyFont="1" applyFill="1" applyBorder="1" applyAlignment="1">
      <alignment horizontal="center" vertical="center"/>
    </xf>
    <xf numFmtId="181" fontId="12" fillId="5" borderId="5" xfId="0" applyNumberFormat="1" applyFont="1" applyFill="1" applyBorder="1" applyAlignment="1">
      <alignment horizontal="center" vertical="center"/>
    </xf>
    <xf numFmtId="176" fontId="12" fillId="5" borderId="6" xfId="0" applyNumberFormat="1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/>
    </xf>
    <xf numFmtId="0" fontId="10" fillId="4" borderId="10" xfId="0" applyFont="1" applyFill="1" applyBorder="1">
      <alignment vertical="center"/>
    </xf>
    <xf numFmtId="0" fontId="10" fillId="4" borderId="10" xfId="0" applyFont="1" applyFill="1" applyBorder="1" applyAlignment="1" applyProtection="1">
      <alignment horizontal="center" vertical="center"/>
      <protection locked="0"/>
    </xf>
    <xf numFmtId="9" fontId="10" fillId="4" borderId="9" xfId="0" applyNumberFormat="1" applyFont="1" applyFill="1" applyBorder="1" applyAlignment="1">
      <alignment horizontal="center" vertical="center"/>
    </xf>
    <xf numFmtId="41" fontId="10" fillId="0" borderId="8" xfId="0" applyNumberFormat="1" applyFont="1" applyFill="1" applyBorder="1" applyAlignment="1">
      <alignment horizontal="left" vertical="center"/>
    </xf>
    <xf numFmtId="9" fontId="10" fillId="0" borderId="9" xfId="0" applyNumberFormat="1" applyFont="1" applyFill="1" applyBorder="1" applyAlignment="1">
      <alignment horizontal="center" vertical="center"/>
    </xf>
    <xf numFmtId="41" fontId="10" fillId="0" borderId="0" xfId="0" applyNumberFormat="1" applyFont="1" applyAlignment="1">
      <alignment horizontal="center" vertical="center"/>
    </xf>
    <xf numFmtId="180" fontId="12" fillId="0" borderId="0" xfId="0" applyNumberFormat="1" applyFont="1" applyAlignment="1">
      <alignment horizontal="left" vertical="center"/>
    </xf>
    <xf numFmtId="14" fontId="11" fillId="0" borderId="0" xfId="0" applyNumberFormat="1" applyFont="1" applyAlignment="1">
      <alignment horizontal="right"/>
    </xf>
    <xf numFmtId="41" fontId="10" fillId="0" borderId="0" xfId="129" applyFont="1" applyAlignment="1">
      <alignment horizontal="center" vertical="center"/>
    </xf>
    <xf numFmtId="177" fontId="10" fillId="4" borderId="8" xfId="0" applyNumberFormat="1" applyFont="1" applyFill="1" applyBorder="1" applyAlignment="1">
      <alignment horizontal="left" vertical="center" wrapText="1"/>
    </xf>
    <xf numFmtId="0" fontId="10" fillId="0" borderId="10" xfId="0" applyFont="1" applyFill="1" applyBorder="1">
      <alignment vertical="center"/>
    </xf>
    <xf numFmtId="41" fontId="12" fillId="0" borderId="8" xfId="0" applyNumberFormat="1" applyFont="1" applyFill="1" applyBorder="1" applyAlignment="1">
      <alignment horizontal="right" vertical="center"/>
    </xf>
    <xf numFmtId="181" fontId="10" fillId="0" borderId="8" xfId="0" applyNumberFormat="1" applyFont="1" applyFill="1" applyBorder="1" applyAlignment="1" applyProtection="1">
      <alignment horizontal="center" vertical="center"/>
    </xf>
    <xf numFmtId="43" fontId="10" fillId="0" borderId="0" xfId="0" applyNumberFormat="1" applyFont="1" applyAlignment="1">
      <alignment horizontal="center" vertical="center"/>
    </xf>
    <xf numFmtId="41" fontId="10" fillId="0" borderId="0" xfId="0" applyNumberFormat="1" applyFont="1" applyBorder="1" applyAlignment="1">
      <alignment horizontal="center" vertical="center"/>
    </xf>
    <xf numFmtId="41" fontId="10" fillId="0" borderId="16" xfId="0" applyNumberFormat="1" applyFont="1" applyBorder="1" applyAlignment="1">
      <alignment horizontal="center" vertical="center"/>
    </xf>
    <xf numFmtId="41" fontId="12" fillId="0" borderId="18" xfId="0" applyNumberFormat="1" applyFont="1" applyFill="1" applyBorder="1" applyAlignment="1">
      <alignment horizontal="left" vertical="center" wrapText="1"/>
    </xf>
    <xf numFmtId="41" fontId="17" fillId="0" borderId="18" xfId="0" applyNumberFormat="1" applyFont="1" applyBorder="1" applyAlignment="1">
      <alignment horizontal="center" vertical="center"/>
    </xf>
    <xf numFmtId="41" fontId="17" fillId="0" borderId="21" xfId="0" applyNumberFormat="1" applyFont="1" applyBorder="1" applyAlignment="1">
      <alignment horizontal="center" vertical="center"/>
    </xf>
    <xf numFmtId="0" fontId="15" fillId="0" borderId="0" xfId="0" applyFont="1" applyBorder="1" applyAlignment="1">
      <alignment horizontal="left" wrapText="1"/>
    </xf>
    <xf numFmtId="41" fontId="12" fillId="2" borderId="28" xfId="0" applyNumberFormat="1" applyFont="1" applyFill="1" applyBorder="1" applyAlignment="1" applyProtection="1">
      <alignment horizontal="right" vertical="center"/>
    </xf>
    <xf numFmtId="41" fontId="12" fillId="2" borderId="29" xfId="0" applyNumberFormat="1" applyFont="1" applyFill="1" applyBorder="1" applyAlignment="1" applyProtection="1">
      <alignment horizontal="right" vertical="center"/>
    </xf>
    <xf numFmtId="41" fontId="12" fillId="2" borderId="29" xfId="0" applyNumberFormat="1" applyFont="1" applyFill="1" applyBorder="1" applyAlignment="1" applyProtection="1">
      <alignment horizontal="center" vertical="center"/>
    </xf>
    <xf numFmtId="41" fontId="12" fillId="2" borderId="30" xfId="0" applyNumberFormat="1" applyFont="1" applyFill="1" applyBorder="1" applyAlignment="1" applyProtection="1">
      <alignment horizontal="right" vertical="center"/>
    </xf>
    <xf numFmtId="41" fontId="12" fillId="2" borderId="34" xfId="0" applyNumberFormat="1" applyFont="1" applyFill="1" applyBorder="1" applyAlignment="1" applyProtection="1">
      <alignment horizontal="right" vertical="center"/>
    </xf>
    <xf numFmtId="41" fontId="12" fillId="2" borderId="35" xfId="0" applyNumberFormat="1" applyFont="1" applyFill="1" applyBorder="1" applyAlignment="1" applyProtection="1">
      <alignment horizontal="right" vertical="center"/>
    </xf>
    <xf numFmtId="41" fontId="12" fillId="2" borderId="35" xfId="0" applyNumberFormat="1" applyFont="1" applyFill="1" applyBorder="1" applyAlignment="1" applyProtection="1">
      <alignment horizontal="center" vertical="center"/>
    </xf>
    <xf numFmtId="41" fontId="12" fillId="2" borderId="36" xfId="0" applyNumberFormat="1" applyFont="1" applyFill="1" applyBorder="1" applyAlignment="1" applyProtection="1">
      <alignment horizontal="right" vertical="center"/>
    </xf>
    <xf numFmtId="41" fontId="33" fillId="7" borderId="24" xfId="0" applyNumberFormat="1" applyFont="1" applyFill="1" applyBorder="1">
      <alignment vertical="center"/>
    </xf>
    <xf numFmtId="41" fontId="33" fillId="7" borderId="11" xfId="0" applyNumberFormat="1" applyFont="1" applyFill="1" applyBorder="1" applyAlignment="1">
      <alignment horizontal="right" vertical="center"/>
    </xf>
    <xf numFmtId="41" fontId="33" fillId="7" borderId="12" xfId="0" applyNumberFormat="1" applyFont="1" applyFill="1" applyBorder="1" applyAlignment="1">
      <alignment horizontal="right" vertical="center"/>
    </xf>
    <xf numFmtId="181" fontId="33" fillId="7" borderId="11" xfId="0" applyNumberFormat="1" applyFont="1" applyFill="1" applyBorder="1" applyAlignment="1" applyProtection="1">
      <alignment horizontal="right" vertical="center"/>
    </xf>
    <xf numFmtId="42" fontId="33" fillId="7" borderId="13" xfId="0" applyNumberFormat="1" applyFont="1" applyFill="1" applyBorder="1" applyAlignment="1">
      <alignment horizontal="right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177" fontId="10" fillId="0" borderId="8" xfId="0" applyNumberFormat="1" applyFont="1" applyFill="1" applyBorder="1" applyAlignment="1">
      <alignment horizontal="left" vertical="center" wrapText="1"/>
    </xf>
    <xf numFmtId="0" fontId="10" fillId="0" borderId="10" xfId="0" applyFont="1" applyFill="1" applyBorder="1" applyAlignment="1" applyProtection="1">
      <alignment horizontal="center" vertical="center"/>
      <protection locked="0"/>
    </xf>
    <xf numFmtId="41" fontId="12" fillId="0" borderId="0" xfId="129" applyFont="1" applyFill="1" applyBorder="1" applyAlignment="1">
      <alignment horizontal="left" vertical="center" wrapText="1"/>
    </xf>
    <xf numFmtId="0" fontId="12" fillId="0" borderId="19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9" fillId="0" borderId="22" xfId="0" applyFont="1" applyFill="1" applyBorder="1" applyAlignment="1">
      <alignment horizontal="center"/>
    </xf>
    <xf numFmtId="0" fontId="33" fillId="7" borderId="14" xfId="0" applyFont="1" applyFill="1" applyBorder="1" applyAlignment="1">
      <alignment horizontal="center" vertical="center"/>
    </xf>
    <xf numFmtId="0" fontId="33" fillId="7" borderId="23" xfId="0" applyFont="1" applyFill="1" applyBorder="1" applyAlignment="1">
      <alignment horizontal="center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15" fillId="0" borderId="20" xfId="0" applyFont="1" applyBorder="1" applyAlignment="1">
      <alignment horizontal="left" wrapText="1"/>
    </xf>
  </cellXfs>
  <cellStyles count="142">
    <cellStyle name="Calc Currency (0)" xfId="48" xr:uid="{00000000-0005-0000-0000-000000000000}"/>
    <cellStyle name="Calc Currency (2)" xfId="49" xr:uid="{00000000-0005-0000-0000-000001000000}"/>
    <cellStyle name="Calc Percent (0)" xfId="50" xr:uid="{00000000-0005-0000-0000-000002000000}"/>
    <cellStyle name="Calc Percent (1)" xfId="51" xr:uid="{00000000-0005-0000-0000-000003000000}"/>
    <cellStyle name="Calc Percent (2)" xfId="52" xr:uid="{00000000-0005-0000-0000-000004000000}"/>
    <cellStyle name="Calc Units (0)" xfId="53" xr:uid="{00000000-0005-0000-0000-000005000000}"/>
    <cellStyle name="Calc Units (1)" xfId="54" xr:uid="{00000000-0005-0000-0000-000006000000}"/>
    <cellStyle name="Calc Units (2)" xfId="55" xr:uid="{00000000-0005-0000-0000-000007000000}"/>
    <cellStyle name="Comma [0] 2" xfId="44" xr:uid="{00000000-0005-0000-0000-000008000000}"/>
    <cellStyle name="Comma [0] 2 2" xfId="43" xr:uid="{00000000-0005-0000-0000-000009000000}"/>
    <cellStyle name="Comma [0] 2 2 2" xfId="56" xr:uid="{00000000-0005-0000-0000-00000A000000}"/>
    <cellStyle name="Comma [0] 2 3" xfId="57" xr:uid="{00000000-0005-0000-0000-00000B000000}"/>
    <cellStyle name="Comma [00]" xfId="58" xr:uid="{00000000-0005-0000-0000-00000C000000}"/>
    <cellStyle name="Currency [00]" xfId="59" xr:uid="{00000000-0005-0000-0000-00000D000000}"/>
    <cellStyle name="Date Short" xfId="60" xr:uid="{00000000-0005-0000-0000-00000E000000}"/>
    <cellStyle name="Enter Currency (0)" xfId="61" xr:uid="{00000000-0005-0000-0000-00000F000000}"/>
    <cellStyle name="Enter Currency (2)" xfId="62" xr:uid="{00000000-0005-0000-0000-000010000000}"/>
    <cellStyle name="Enter Units (0)" xfId="63" xr:uid="{00000000-0005-0000-0000-000011000000}"/>
    <cellStyle name="Enter Units (1)" xfId="64" xr:uid="{00000000-0005-0000-0000-000012000000}"/>
    <cellStyle name="Enter Units (2)" xfId="65" xr:uid="{00000000-0005-0000-0000-000013000000}"/>
    <cellStyle name="Grey" xfId="66" xr:uid="{00000000-0005-0000-0000-000014000000}"/>
    <cellStyle name="Header1" xfId="67" xr:uid="{00000000-0005-0000-0000-000015000000}"/>
    <cellStyle name="Header2" xfId="68" xr:uid="{00000000-0005-0000-0000-000016000000}"/>
    <cellStyle name="Input [yellow]" xfId="69" xr:uid="{00000000-0005-0000-0000-000017000000}"/>
    <cellStyle name="Komma [0]_BINV" xfId="70" xr:uid="{00000000-0005-0000-0000-000018000000}"/>
    <cellStyle name="Komma_BINV" xfId="71" xr:uid="{00000000-0005-0000-0000-000019000000}"/>
    <cellStyle name="Link Currency (0)" xfId="72" xr:uid="{00000000-0005-0000-0000-00001A000000}"/>
    <cellStyle name="Link Currency (2)" xfId="73" xr:uid="{00000000-0005-0000-0000-00001B000000}"/>
    <cellStyle name="Link Units (0)" xfId="74" xr:uid="{00000000-0005-0000-0000-00001C000000}"/>
    <cellStyle name="Link Units (1)" xfId="75" xr:uid="{00000000-0005-0000-0000-00001D000000}"/>
    <cellStyle name="Link Units (2)" xfId="76" xr:uid="{00000000-0005-0000-0000-00001E000000}"/>
    <cellStyle name="Normal - Style1" xfId="77" xr:uid="{00000000-0005-0000-0000-00001F000000}"/>
    <cellStyle name="Normal 2" xfId="42" xr:uid="{00000000-0005-0000-0000-000020000000}"/>
    <cellStyle name="Normal 3" xfId="41" xr:uid="{00000000-0005-0000-0000-000021000000}"/>
    <cellStyle name="Normal 3 2" xfId="40" xr:uid="{00000000-0005-0000-0000-000022000000}"/>
    <cellStyle name="Normal 3 3" xfId="39" xr:uid="{00000000-0005-0000-0000-000023000000}"/>
    <cellStyle name="Normal 4" xfId="38" xr:uid="{00000000-0005-0000-0000-000024000000}"/>
    <cellStyle name="Normal_alpine_confg_01-17-00" xfId="37" xr:uid="{00000000-0005-0000-0000-000025000000}"/>
    <cellStyle name="Percent [0]" xfId="78" xr:uid="{00000000-0005-0000-0000-000026000000}"/>
    <cellStyle name="Percent [00]" xfId="79" xr:uid="{00000000-0005-0000-0000-000027000000}"/>
    <cellStyle name="Percent [2]" xfId="80" xr:uid="{00000000-0005-0000-0000-000028000000}"/>
    <cellStyle name="Percent 2" xfId="36" xr:uid="{00000000-0005-0000-0000-000029000000}"/>
    <cellStyle name="Percent 2 2" xfId="35" xr:uid="{00000000-0005-0000-0000-00002A000000}"/>
    <cellStyle name="PrePop Currency (0)" xfId="81" xr:uid="{00000000-0005-0000-0000-00002B000000}"/>
    <cellStyle name="PrePop Currency (2)" xfId="82" xr:uid="{00000000-0005-0000-0000-00002C000000}"/>
    <cellStyle name="PrePop Units (0)" xfId="83" xr:uid="{00000000-0005-0000-0000-00002D000000}"/>
    <cellStyle name="PrePop Units (1)" xfId="84" xr:uid="{00000000-0005-0000-0000-00002E000000}"/>
    <cellStyle name="PrePop Units (2)" xfId="85" xr:uid="{00000000-0005-0000-0000-00002F000000}"/>
    <cellStyle name="Procent_BINV" xfId="86" xr:uid="{00000000-0005-0000-0000-000030000000}"/>
    <cellStyle name="Standaard_BINV" xfId="87" xr:uid="{00000000-0005-0000-0000-000031000000}"/>
    <cellStyle name="Style 1" xfId="34" xr:uid="{00000000-0005-0000-0000-000032000000}"/>
    <cellStyle name="Text Indent A" xfId="88" xr:uid="{00000000-0005-0000-0000-000033000000}"/>
    <cellStyle name="Text Indent B" xfId="89" xr:uid="{00000000-0005-0000-0000-000034000000}"/>
    <cellStyle name="Text Indent C" xfId="90" xr:uid="{00000000-0005-0000-0000-000035000000}"/>
    <cellStyle name="Valuta [0]_BINV" xfId="91" xr:uid="{00000000-0005-0000-0000-000036000000}"/>
    <cellStyle name="Valuta_BINV" xfId="92" xr:uid="{00000000-0005-0000-0000-000037000000}"/>
    <cellStyle name="백분율 2" xfId="33" xr:uid="{00000000-0005-0000-0000-000038000000}"/>
    <cellStyle name="백분율 2 2" xfId="93" xr:uid="{00000000-0005-0000-0000-000039000000}"/>
    <cellStyle name="백분율 3" xfId="94" xr:uid="{00000000-0005-0000-0000-00003A000000}"/>
    <cellStyle name="백분율 4" xfId="127" xr:uid="{00000000-0005-0000-0000-00003B000000}"/>
    <cellStyle name="백분율 4 2" xfId="138" xr:uid="{00000000-0005-0000-0000-00003C000000}"/>
    <cellStyle name="백분율 4 3" xfId="141" xr:uid="{00000000-0005-0000-0000-00003D000000}"/>
    <cellStyle name="백분율 5" xfId="128" xr:uid="{00000000-0005-0000-0000-00003E000000}"/>
    <cellStyle name="뷭?_laroux" xfId="95" xr:uid="{00000000-0005-0000-0000-00003F000000}"/>
    <cellStyle name="쉼표 [0]" xfId="129" builtinId="6"/>
    <cellStyle name="쉼표 [0] 10" xfId="125" xr:uid="{00000000-0005-0000-0000-000041000000}"/>
    <cellStyle name="쉼표 [0] 10 2" xfId="137" xr:uid="{00000000-0005-0000-0000-000042000000}"/>
    <cellStyle name="쉼표 [0] 10 3" xfId="140" xr:uid="{00000000-0005-0000-0000-000043000000}"/>
    <cellStyle name="쉼표 [0] 2" xfId="32" xr:uid="{00000000-0005-0000-0000-000044000000}"/>
    <cellStyle name="쉼표 [0] 2 2" xfId="31" xr:uid="{00000000-0005-0000-0000-000045000000}"/>
    <cellStyle name="쉼표 [0] 2 2 2" xfId="97" xr:uid="{00000000-0005-0000-0000-000046000000}"/>
    <cellStyle name="쉼표 [0] 2 2 3" xfId="96" xr:uid="{00000000-0005-0000-0000-000047000000}"/>
    <cellStyle name="쉼표 [0] 2 3" xfId="30" xr:uid="{00000000-0005-0000-0000-000048000000}"/>
    <cellStyle name="쉼표 [0] 2 3 2" xfId="99" xr:uid="{00000000-0005-0000-0000-000049000000}"/>
    <cellStyle name="쉼표 [0] 2 3 3" xfId="98" xr:uid="{00000000-0005-0000-0000-00004A000000}"/>
    <cellStyle name="쉼표 [0] 2 4" xfId="100" xr:uid="{00000000-0005-0000-0000-00004B000000}"/>
    <cellStyle name="쉼표 [0] 3" xfId="29" xr:uid="{00000000-0005-0000-0000-00004C000000}"/>
    <cellStyle name="쉼표 [0] 3 2" xfId="13" xr:uid="{00000000-0005-0000-0000-00004D000000}"/>
    <cellStyle name="쉼표 [0] 3 2 2" xfId="103" xr:uid="{00000000-0005-0000-0000-00004E000000}"/>
    <cellStyle name="쉼표 [0] 3 2 3" xfId="102" xr:uid="{00000000-0005-0000-0000-00004F000000}"/>
    <cellStyle name="쉼표 [0] 3 3" xfId="104" xr:uid="{00000000-0005-0000-0000-000050000000}"/>
    <cellStyle name="쉼표 [0] 3 4" xfId="101" xr:uid="{00000000-0005-0000-0000-000051000000}"/>
    <cellStyle name="쉼표 [0] 4" xfId="9" xr:uid="{00000000-0005-0000-0000-000052000000}"/>
    <cellStyle name="쉼표 [0] 4 2" xfId="106" xr:uid="{00000000-0005-0000-0000-000053000000}"/>
    <cellStyle name="쉼표 [0] 4 2 2" xfId="107" xr:uid="{00000000-0005-0000-0000-000054000000}"/>
    <cellStyle name="쉼표 [0] 4 3" xfId="108" xr:uid="{00000000-0005-0000-0000-000055000000}"/>
    <cellStyle name="쉼표 [0] 4 3 2" xfId="109" xr:uid="{00000000-0005-0000-0000-000056000000}"/>
    <cellStyle name="쉼표 [0] 4 4" xfId="110" xr:uid="{00000000-0005-0000-0000-000057000000}"/>
    <cellStyle name="쉼표 [0] 4 5" xfId="105" xr:uid="{00000000-0005-0000-0000-000058000000}"/>
    <cellStyle name="쉼표 [0] 5" xfId="45" xr:uid="{00000000-0005-0000-0000-000059000000}"/>
    <cellStyle name="쉼표 [0] 6" xfId="6" xr:uid="{00000000-0005-0000-0000-00005A000000}"/>
    <cellStyle name="쉼표 [0] 7" xfId="123" xr:uid="{00000000-0005-0000-0000-00005B000000}"/>
    <cellStyle name="쉼표 2" xfId="28" xr:uid="{00000000-0005-0000-0000-00005C000000}"/>
    <cellStyle name="쉼표 2 2" xfId="111" xr:uid="{00000000-0005-0000-0000-00005D000000}"/>
    <cellStyle name="쉼표 3" xfId="27" xr:uid="{00000000-0005-0000-0000-00005E000000}"/>
    <cellStyle name="쉼표 3 2" xfId="112" xr:uid="{00000000-0005-0000-0000-00005F000000}"/>
    <cellStyle name="스타일 1" xfId="26" xr:uid="{00000000-0005-0000-0000-000060000000}"/>
    <cellStyle name="스타일 1 2" xfId="113" xr:uid="{00000000-0005-0000-0000-000061000000}"/>
    <cellStyle name="콤마 [0]_#18_upgr" xfId="114" xr:uid="{00000000-0005-0000-0000-000062000000}"/>
    <cellStyle name="콤마_#18_upgr" xfId="115" xr:uid="{00000000-0005-0000-0000-000063000000}"/>
    <cellStyle name="통화 [0] 2" xfId="25" xr:uid="{00000000-0005-0000-0000-000064000000}"/>
    <cellStyle name="통화 [0] 2 2" xfId="116" xr:uid="{00000000-0005-0000-0000-000065000000}"/>
    <cellStyle name="통화 [0] 3" xfId="24" xr:uid="{00000000-0005-0000-0000-000066000000}"/>
    <cellStyle name="표준" xfId="0" builtinId="0"/>
    <cellStyle name="표준 10" xfId="5" xr:uid="{00000000-0005-0000-0000-000068000000}"/>
    <cellStyle name="표준 11" xfId="11" xr:uid="{00000000-0005-0000-0000-000069000000}"/>
    <cellStyle name="표준 12" xfId="1" xr:uid="{00000000-0005-0000-0000-00006A000000}"/>
    <cellStyle name="표준 13" xfId="47" xr:uid="{00000000-0005-0000-0000-00006B000000}"/>
    <cellStyle name="표준 2" xfId="23" xr:uid="{00000000-0005-0000-0000-00006C000000}"/>
    <cellStyle name="표준 2 2" xfId="22" xr:uid="{00000000-0005-0000-0000-00006D000000}"/>
    <cellStyle name="표준 2 2 2" xfId="119" xr:uid="{00000000-0005-0000-0000-00006E000000}"/>
    <cellStyle name="표준 2 2 3" xfId="118" xr:uid="{00000000-0005-0000-0000-00006F000000}"/>
    <cellStyle name="표준 2 3" xfId="21" xr:uid="{00000000-0005-0000-0000-000070000000}"/>
    <cellStyle name="표준 2 4" xfId="20" xr:uid="{00000000-0005-0000-0000-000071000000}"/>
    <cellStyle name="표준 2 5" xfId="8" xr:uid="{00000000-0005-0000-0000-000072000000}"/>
    <cellStyle name="표준 2 5 2" xfId="4" xr:uid="{00000000-0005-0000-0000-000073000000}"/>
    <cellStyle name="표준 2 5 2 2" xfId="132" xr:uid="{00000000-0005-0000-0000-000074000000}"/>
    <cellStyle name="표준 2 5 3" xfId="133" xr:uid="{00000000-0005-0000-0000-000075000000}"/>
    <cellStyle name="표준 2 6" xfId="126" xr:uid="{00000000-0005-0000-0000-000076000000}"/>
    <cellStyle name="표준 2 7" xfId="117" xr:uid="{00000000-0005-0000-0000-000077000000}"/>
    <cellStyle name="표준 3" xfId="19" xr:uid="{00000000-0005-0000-0000-000078000000}"/>
    <cellStyle name="표준 3 2" xfId="18" xr:uid="{00000000-0005-0000-0000-000079000000}"/>
    <cellStyle name="표준 3 3" xfId="120" xr:uid="{00000000-0005-0000-0000-00007A000000}"/>
    <cellStyle name="표준 4" xfId="17" xr:uid="{00000000-0005-0000-0000-00007B000000}"/>
    <cellStyle name="표준 4 2" xfId="121" xr:uid="{00000000-0005-0000-0000-00007C000000}"/>
    <cellStyle name="표준 45" xfId="124" xr:uid="{00000000-0005-0000-0000-00007D000000}"/>
    <cellStyle name="표준 45 2" xfId="136" xr:uid="{00000000-0005-0000-0000-00007E000000}"/>
    <cellStyle name="표준 45 3" xfId="139" xr:uid="{00000000-0005-0000-0000-00007F000000}"/>
    <cellStyle name="표준 5" xfId="16" xr:uid="{00000000-0005-0000-0000-000080000000}"/>
    <cellStyle name="표준 5 2" xfId="12" xr:uid="{00000000-0005-0000-0000-000081000000}"/>
    <cellStyle name="표준 5 3" xfId="122" xr:uid="{00000000-0005-0000-0000-000082000000}"/>
    <cellStyle name="표준 6" xfId="15" xr:uid="{00000000-0005-0000-0000-000083000000}"/>
    <cellStyle name="표준 7" xfId="14" xr:uid="{00000000-0005-0000-0000-000084000000}"/>
    <cellStyle name="표준 7 2" xfId="10" xr:uid="{00000000-0005-0000-0000-000085000000}"/>
    <cellStyle name="표준 7 2 2" xfId="3" xr:uid="{00000000-0005-0000-0000-000086000000}"/>
    <cellStyle name="표준 7 2 2 2" xfId="131" xr:uid="{00000000-0005-0000-0000-000087000000}"/>
    <cellStyle name="표준 7 2 3" xfId="134" xr:uid="{00000000-0005-0000-0000-000088000000}"/>
    <cellStyle name="표준 7 3" xfId="2" xr:uid="{00000000-0005-0000-0000-000089000000}"/>
    <cellStyle name="표준 7 3 2" xfId="130" xr:uid="{00000000-0005-0000-0000-00008A000000}"/>
    <cellStyle name="표준 7 4" xfId="135" xr:uid="{00000000-0005-0000-0000-00008B000000}"/>
    <cellStyle name="표준 8" xfId="7" xr:uid="{00000000-0005-0000-0000-00008C000000}"/>
    <cellStyle name="표준 9" xfId="46" xr:uid="{00000000-0005-0000-0000-00008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17929</xdr:colOff>
      <xdr:row>0</xdr:row>
      <xdr:rowOff>233085</xdr:rowOff>
    </xdr:from>
    <xdr:to>
      <xdr:col>2</xdr:col>
      <xdr:colOff>1093695</xdr:colOff>
      <xdr:row>1</xdr:row>
      <xdr:rowOff>247013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479" y="233085"/>
          <a:ext cx="1552016" cy="290153"/>
        </a:xfrm>
        <a:prstGeom prst="rect">
          <a:avLst/>
        </a:prstGeom>
      </xdr:spPr>
    </xdr:pic>
    <xdr:clientData/>
  </xdr:twoCellAnchor>
  <xdr:twoCellAnchor editAs="oneCell">
    <xdr:from>
      <xdr:col>10</xdr:col>
      <xdr:colOff>201706</xdr:colOff>
      <xdr:row>3</xdr:row>
      <xdr:rowOff>11205</xdr:rowOff>
    </xdr:from>
    <xdr:to>
      <xdr:col>13</xdr:col>
      <xdr:colOff>94689</xdr:colOff>
      <xdr:row>9</xdr:row>
      <xdr:rowOff>135030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0" y="1568823"/>
          <a:ext cx="2481542" cy="14573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8\PriceCost\Price%20Books\2002\05_May_2002\Apr02_Compare_JG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0.OB_SALES\3.SOM\EMC_PriceBook\Quotation%20for%20clarix_oct1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00.OB_SALES/3.SOM/EMC_PriceBook/Quotation%20for%20clarix_oct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-up"/>
      <sheetName val="Compare_Pricebook"/>
      <sheetName val="Compare_All"/>
      <sheetName val="Additions"/>
      <sheetName val="Deletions"/>
      <sheetName val="Data_PB"/>
      <sheetName val="Data_All"/>
      <sheetName val="Data_Add"/>
      <sheetName val="Data_Del"/>
      <sheetName val="Descriptions"/>
      <sheetName val="Sheet1"/>
      <sheetName val="COMPAQ-LIST"/>
      <sheetName val="nv7.1price"/>
      <sheetName val="Apr02_Compare_JGM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>
            <v>2688</v>
          </cell>
          <cell r="B1" t="str">
            <v>IBM HBA</v>
          </cell>
        </row>
        <row r="2">
          <cell r="A2">
            <v>2771</v>
          </cell>
          <cell r="B2" t="str">
            <v>PRODUCT MANAGER</v>
          </cell>
        </row>
        <row r="3">
          <cell r="A3">
            <v>3330</v>
          </cell>
          <cell r="B3" t="str">
            <v>SYM 3330 9GB FRAME</v>
          </cell>
        </row>
        <row r="4">
          <cell r="A4">
            <v>3430</v>
          </cell>
          <cell r="B4" t="str">
            <v>SYM 3430 9GB FRAME</v>
          </cell>
        </row>
        <row r="5">
          <cell r="A5">
            <v>5072</v>
          </cell>
          <cell r="B5" t="str">
            <v>IBM EXPANSION TOWER</v>
          </cell>
        </row>
        <row r="6">
          <cell r="A6">
            <v>5240</v>
          </cell>
          <cell r="B6" t="str">
            <v>8 PORT ESCON CARD</v>
          </cell>
        </row>
        <row r="7">
          <cell r="A7">
            <v>5330</v>
          </cell>
          <cell r="B7" t="str">
            <v>SYM 5330 9GB FRAME</v>
          </cell>
        </row>
        <row r="8">
          <cell r="A8">
            <v>5430</v>
          </cell>
          <cell r="B8" t="str">
            <v>SYM 5430 9GB FRAME</v>
          </cell>
        </row>
        <row r="9">
          <cell r="A9">
            <v>6207</v>
          </cell>
          <cell r="B9" t="str">
            <v>HOST BUS ADAPTER</v>
          </cell>
        </row>
        <row r="10">
          <cell r="A10">
            <v>6209</v>
          </cell>
          <cell r="B10" t="str">
            <v>HOST BUS ADAPTER</v>
          </cell>
        </row>
        <row r="11">
          <cell r="A11">
            <v>6228</v>
          </cell>
          <cell r="B11" t="str">
            <v>IBM CARD</v>
          </cell>
        </row>
        <row r="12">
          <cell r="A12">
            <v>58105302</v>
          </cell>
          <cell r="B12" t="str">
            <v>BULL 5030-36S3</v>
          </cell>
        </row>
        <row r="13">
          <cell r="A13">
            <v>68647585</v>
          </cell>
          <cell r="B13" t="str">
            <v>UNISYS LB SP W/1GB SPARE</v>
          </cell>
        </row>
        <row r="14">
          <cell r="A14">
            <v>68647593</v>
          </cell>
          <cell r="B14" t="str">
            <v>1M FC CABLE(4700 DPE-DAE)</v>
          </cell>
        </row>
        <row r="15">
          <cell r="A15">
            <v>68648963</v>
          </cell>
          <cell r="B15" t="str">
            <v>UNISYS LONGBOW PS (SPARE)</v>
          </cell>
        </row>
        <row r="16">
          <cell r="A16">
            <v>68648971</v>
          </cell>
          <cell r="B16" t="str">
            <v>.5M FC TABLE (DAE-DAE)</v>
          </cell>
        </row>
        <row r="17">
          <cell r="A17">
            <v>68676667</v>
          </cell>
          <cell r="B17" t="str">
            <v>WIDE DIFF.SCSI Y CABLE</v>
          </cell>
        </row>
        <row r="18">
          <cell r="A18">
            <v>68676675</v>
          </cell>
          <cell r="B18" t="str">
            <v>BULL DP2-USD4SW</v>
          </cell>
        </row>
        <row r="19">
          <cell r="A19">
            <v>68681980</v>
          </cell>
          <cell r="B19" t="str">
            <v>SYM 5330 9GB FRAME</v>
          </cell>
        </row>
        <row r="20">
          <cell r="A20">
            <v>68682012</v>
          </cell>
          <cell r="B20" t="str">
            <v>BULL MEM2-1024</v>
          </cell>
        </row>
        <row r="21">
          <cell r="A21">
            <v>68682079</v>
          </cell>
          <cell r="B21" t="str">
            <v>BULL MEM2-1536</v>
          </cell>
        </row>
        <row r="22">
          <cell r="A22">
            <v>68684216</v>
          </cell>
          <cell r="B22" t="str">
            <v>BULL MEM2-2048</v>
          </cell>
        </row>
        <row r="23">
          <cell r="A23">
            <v>68684349</v>
          </cell>
          <cell r="B23" t="str">
            <v>BULL MEM2-2560</v>
          </cell>
        </row>
        <row r="24">
          <cell r="A24">
            <v>68685866</v>
          </cell>
          <cell r="B24" t="str">
            <v>FC4500/5700 UGRD FC4700</v>
          </cell>
        </row>
        <row r="25">
          <cell r="A25">
            <v>68799634</v>
          </cell>
          <cell r="B25" t="str">
            <v>BULL MEM2-3072</v>
          </cell>
        </row>
        <row r="26">
          <cell r="A26">
            <v>79962249</v>
          </cell>
          <cell r="B26" t="str">
            <v>NCR MEM2-1024</v>
          </cell>
        </row>
        <row r="27">
          <cell r="A27">
            <v>79962251</v>
          </cell>
          <cell r="B27" t="str">
            <v>NCR MEM2-2048</v>
          </cell>
        </row>
        <row r="28">
          <cell r="A28">
            <v>79962252</v>
          </cell>
          <cell r="B28" t="str">
            <v>NCR MEM2-2560</v>
          </cell>
        </row>
        <row r="29">
          <cell r="A29" t="str">
            <v>1-504969-3</v>
          </cell>
          <cell r="B29" t="str">
            <v>150M CABLE</v>
          </cell>
        </row>
        <row r="30">
          <cell r="A30" t="str">
            <v>15495A001</v>
          </cell>
          <cell r="B30" t="str">
            <v>FC CPR CBL</v>
          </cell>
        </row>
        <row r="31">
          <cell r="A31" t="str">
            <v>15495A002</v>
          </cell>
          <cell r="B31" t="str">
            <v>FC COPPER CABLE 0.5M, 1.6</v>
          </cell>
        </row>
        <row r="32">
          <cell r="A32" t="str">
            <v>15495A003</v>
          </cell>
          <cell r="B32" t="str">
            <v>FC CPR CBL 1M, 3.28'</v>
          </cell>
        </row>
        <row r="33">
          <cell r="A33" t="str">
            <v>15495A010</v>
          </cell>
          <cell r="B33" t="str">
            <v>FC CPR CBL 3M, 9.84'</v>
          </cell>
        </row>
        <row r="34">
          <cell r="A34" t="str">
            <v>15495A016</v>
          </cell>
          <cell r="B34" t="str">
            <v>FC CPR CBL 5M, 16.4'</v>
          </cell>
        </row>
        <row r="35">
          <cell r="A35" t="str">
            <v>15495A033</v>
          </cell>
          <cell r="B35" t="str">
            <v>FC COPPER CABLE 10M, 32.8</v>
          </cell>
        </row>
        <row r="36">
          <cell r="A36" t="str">
            <v>15495A098</v>
          </cell>
          <cell r="B36" t="str">
            <v>FC CPR CBL 30M, 98.4'</v>
          </cell>
        </row>
        <row r="37">
          <cell r="A37" t="str">
            <v>15498A001</v>
          </cell>
          <cell r="B37" t="str">
            <v>FC OPTIC CBL 5M, 16'</v>
          </cell>
        </row>
        <row r="38">
          <cell r="A38" t="str">
            <v>15498A002</v>
          </cell>
          <cell r="B38" t="str">
            <v>FC OPTIC CBL 10M, 33'</v>
          </cell>
        </row>
        <row r="39">
          <cell r="A39" t="str">
            <v>15498A010</v>
          </cell>
          <cell r="B39" t="str">
            <v>FC OPTIC CBL 50M, 164'</v>
          </cell>
        </row>
        <row r="40">
          <cell r="A40" t="str">
            <v>15498A020</v>
          </cell>
          <cell r="B40" t="str">
            <v>FC OPTIC CBL 100M, 328'</v>
          </cell>
        </row>
        <row r="41">
          <cell r="A41" t="str">
            <v>15498A050</v>
          </cell>
          <cell r="B41" t="str">
            <v>FC OPTIC CBL 250M, 820'</v>
          </cell>
        </row>
        <row r="42">
          <cell r="A42" t="str">
            <v>15498A100</v>
          </cell>
          <cell r="B42" t="str">
            <v>FC OPTIC CBL 500M, 1640'</v>
          </cell>
        </row>
        <row r="43">
          <cell r="A43" t="str">
            <v>16PARACHN56</v>
          </cell>
          <cell r="B43" t="str">
            <v>RPQ 5630 16 PARALLEL CHNL</v>
          </cell>
        </row>
        <row r="44">
          <cell r="A44" t="str">
            <v>16PARACHN58</v>
          </cell>
          <cell r="B44" t="str">
            <v>RPQ 5830 16 PARALLEL</v>
          </cell>
        </row>
        <row r="45">
          <cell r="A45" t="str">
            <v>1DFCSWX4HV</v>
          </cell>
          <cell r="B45" t="str">
            <v>PATHLIGHT BRIDGE</v>
          </cell>
        </row>
        <row r="46">
          <cell r="A46" t="str">
            <v>1SFCSWX4HV</v>
          </cell>
          <cell r="B46" t="str">
            <v>PATHLIGHT BRIDGE</v>
          </cell>
        </row>
        <row r="47">
          <cell r="A47" t="str">
            <v>2GBCACHE</v>
          </cell>
          <cell r="B47" t="str">
            <v>2GB CACHE FOR FC5500</v>
          </cell>
        </row>
        <row r="48">
          <cell r="A48" t="str">
            <v>3000-182</v>
          </cell>
          <cell r="B48" t="str">
            <v>SYM 3000 36.2GB OPEN</v>
          </cell>
        </row>
        <row r="49">
          <cell r="A49" t="str">
            <v>3000-182AS</v>
          </cell>
          <cell r="B49" t="str">
            <v>SYM 3000 36.2GB AS400</v>
          </cell>
        </row>
        <row r="50">
          <cell r="A50" t="str">
            <v>3000-182ASUPG</v>
          </cell>
          <cell r="B50" t="str">
            <v>SYM 3000 36.2 GB AS4</v>
          </cell>
        </row>
        <row r="51">
          <cell r="A51" t="str">
            <v>3000-182UPG</v>
          </cell>
          <cell r="B51" t="str">
            <v>SYM 3000 36.2GB OPEN UPG</v>
          </cell>
        </row>
        <row r="52">
          <cell r="A52" t="str">
            <v>3000-232</v>
          </cell>
          <cell r="B52" t="str">
            <v>SYM 3000 46.17GB OPEN</v>
          </cell>
        </row>
        <row r="53">
          <cell r="A53" t="str">
            <v>3000-232AS</v>
          </cell>
          <cell r="B53" t="str">
            <v>SYM 3000 46.17GB AS400</v>
          </cell>
        </row>
        <row r="54">
          <cell r="A54" t="str">
            <v>3000-232ASUPG</v>
          </cell>
          <cell r="B54" t="str">
            <v>SYM 3000 46.17GB AS400 UPG</v>
          </cell>
        </row>
        <row r="55">
          <cell r="A55" t="str">
            <v>3000-232UPG</v>
          </cell>
          <cell r="B55" t="str">
            <v>SYM 3000 46.17GB OPEN UPG</v>
          </cell>
        </row>
        <row r="56">
          <cell r="A56" t="str">
            <v>3000-472</v>
          </cell>
          <cell r="B56" t="str">
            <v>SYM 3000 93.64GB OPE</v>
          </cell>
        </row>
        <row r="57">
          <cell r="A57" t="str">
            <v>3000-472AS</v>
          </cell>
          <cell r="B57" t="str">
            <v>ASY ELITE 47 520 DD5.25</v>
          </cell>
        </row>
        <row r="58">
          <cell r="A58" t="str">
            <v>3000-472ASUPG</v>
          </cell>
          <cell r="B58" t="str">
            <v>SYM 3000 47GB AS400 UPG</v>
          </cell>
        </row>
        <row r="59">
          <cell r="A59" t="str">
            <v>3000-472UPG</v>
          </cell>
          <cell r="B59" t="str">
            <v>SYM 3000 93.64GB OPE</v>
          </cell>
        </row>
        <row r="60">
          <cell r="A60" t="str">
            <v>3000-92</v>
          </cell>
          <cell r="B60" t="str">
            <v>SYM 3000 17GB UPGRADE</v>
          </cell>
        </row>
        <row r="61">
          <cell r="A61" t="str">
            <v>3000-92AS</v>
          </cell>
          <cell r="B61" t="str">
            <v>SYM 3000 17.2GB AS/400</v>
          </cell>
        </row>
        <row r="62">
          <cell r="A62" t="str">
            <v>3000-EHDA</v>
          </cell>
          <cell r="B62" t="str">
            <v>SYM AS/400 LOAD SRC 6/S20</v>
          </cell>
        </row>
        <row r="63">
          <cell r="A63" t="str">
            <v>3000-UHDA</v>
          </cell>
          <cell r="B63" t="str">
            <v>SYM AS/400 LOAD SRC 6X SX</v>
          </cell>
        </row>
        <row r="64">
          <cell r="A64" t="str">
            <v>3030-182</v>
          </cell>
          <cell r="B64" t="str">
            <v>SYM 3030 36.2GB OPEN</v>
          </cell>
        </row>
        <row r="65">
          <cell r="A65" t="str">
            <v>3030-182AS</v>
          </cell>
          <cell r="B65" t="str">
            <v>SYM 3030 36.2GB AS400</v>
          </cell>
        </row>
        <row r="66">
          <cell r="A66" t="str">
            <v>3030-182ASUPG</v>
          </cell>
          <cell r="B66" t="str">
            <v>SYM 3030 36.2GB AS400 UPG</v>
          </cell>
        </row>
        <row r="67">
          <cell r="A67" t="str">
            <v>3030-182UPG</v>
          </cell>
          <cell r="B67" t="str">
            <v>SYM 3030 36.2GB OPEN</v>
          </cell>
        </row>
        <row r="68">
          <cell r="A68" t="str">
            <v>3030-362</v>
          </cell>
          <cell r="B68" t="str">
            <v>SYM 3030 72.4GB SRDF</v>
          </cell>
        </row>
        <row r="69">
          <cell r="A69" t="str">
            <v>3030-362AS</v>
          </cell>
          <cell r="B69" t="str">
            <v>SYM3030 72GB AS4 SRDF</v>
          </cell>
        </row>
        <row r="70">
          <cell r="A70" t="str">
            <v>3030-362ASUPG</v>
          </cell>
          <cell r="B70" t="str">
            <v>SYM 3030 72GB AS4 SRDF UPG</v>
          </cell>
        </row>
        <row r="71">
          <cell r="A71" t="str">
            <v>3030-362UPG</v>
          </cell>
          <cell r="B71" t="str">
            <v>SYM 3030 72.4GB SRDF UPG</v>
          </cell>
        </row>
        <row r="72">
          <cell r="A72" t="str">
            <v>3030-36M2</v>
          </cell>
          <cell r="B72" t="str">
            <v>SYM 3030 72.4GB MIRROR</v>
          </cell>
        </row>
        <row r="73">
          <cell r="A73" t="str">
            <v>3030-36M2AS</v>
          </cell>
          <cell r="B73" t="str">
            <v>SYM 3030 72GB AS400 MIRR</v>
          </cell>
        </row>
        <row r="74">
          <cell r="A74" t="str">
            <v>3030-36M2ASUP</v>
          </cell>
          <cell r="B74" t="str">
            <v>SYM 3030 72GB AS4 MIR UPG</v>
          </cell>
        </row>
        <row r="75">
          <cell r="A75" t="str">
            <v>3030-36M2UPG</v>
          </cell>
          <cell r="B75" t="str">
            <v>SYM 3030 72.4GB MIRR UPG</v>
          </cell>
        </row>
        <row r="76">
          <cell r="A76" t="str">
            <v>3030-36S3</v>
          </cell>
          <cell r="B76" t="str">
            <v>SYM 3030 108.6GB RAIDS</v>
          </cell>
        </row>
        <row r="77">
          <cell r="A77" t="str">
            <v>3030-36S3AS</v>
          </cell>
          <cell r="B77" t="str">
            <v>SYM3030 108GB RAIDS AS/4</v>
          </cell>
        </row>
        <row r="78">
          <cell r="A78" t="str">
            <v>3030-36S3ASUP</v>
          </cell>
          <cell r="B78" t="str">
            <v>3030 108GB RAIDS AS4 UPG</v>
          </cell>
        </row>
        <row r="79">
          <cell r="A79" t="str">
            <v>3030-36S3UPG</v>
          </cell>
          <cell r="B79" t="str">
            <v>SYM 3030 108.6GB RAIDS UPG</v>
          </cell>
        </row>
        <row r="80">
          <cell r="A80" t="str">
            <v>3030-502UPG</v>
          </cell>
          <cell r="B80" t="str">
            <v>SYM 3030 99.4GB SRDF UPG</v>
          </cell>
        </row>
        <row r="81">
          <cell r="A81" t="str">
            <v>3030-50M2UPG</v>
          </cell>
          <cell r="B81" t="str">
            <v>SYM 3030 99.4GB MIRR UPG</v>
          </cell>
        </row>
        <row r="82">
          <cell r="A82" t="str">
            <v>3030-50S3</v>
          </cell>
          <cell r="B82" t="str">
            <v>SYM 3030 149.1GB RAID S</v>
          </cell>
        </row>
        <row r="83">
          <cell r="A83" t="str">
            <v>3030-50S3UPG</v>
          </cell>
          <cell r="B83" t="str">
            <v>SYM 3030 149.1GB RAID S U</v>
          </cell>
        </row>
        <row r="84">
          <cell r="A84" t="str">
            <v>3030-92</v>
          </cell>
          <cell r="B84" t="str">
            <v>SYM 3030 18.1GB OPEN</v>
          </cell>
        </row>
        <row r="85">
          <cell r="A85" t="str">
            <v>3030-92UPG</v>
          </cell>
          <cell r="B85" t="str">
            <v>SYM 3030 18.1GB OPEN UPG</v>
          </cell>
        </row>
        <row r="86">
          <cell r="A86" t="str">
            <v>3031-182AS</v>
          </cell>
          <cell r="B86" t="str">
            <v>SYM 3031 36.2GB AS/4 SRDF</v>
          </cell>
        </row>
        <row r="87">
          <cell r="A87" t="str">
            <v>3031-182ASUPG</v>
          </cell>
          <cell r="B87" t="str">
            <v>SYM 3031 36.2GB AS/4 SRDFU</v>
          </cell>
        </row>
        <row r="88">
          <cell r="A88" t="str">
            <v>3031-182UPG</v>
          </cell>
          <cell r="B88" t="str">
            <v>SYM 3031 36.2GB OPEN UPG</v>
          </cell>
        </row>
        <row r="89">
          <cell r="A89" t="str">
            <v>3031-18M2AS</v>
          </cell>
          <cell r="B89" t="str">
            <v>SYM 3031 36.2GB AS/4 MIRR</v>
          </cell>
        </row>
        <row r="90">
          <cell r="A90" t="str">
            <v>3031-18M2ASUP</v>
          </cell>
          <cell r="B90" t="str">
            <v>SYM 3031 36.2GB AS/4 MUPG</v>
          </cell>
        </row>
        <row r="91">
          <cell r="A91" t="str">
            <v>3031-18M2UPG</v>
          </cell>
          <cell r="B91" t="str">
            <v>SYM 3031 36.2GB MIRR UPG</v>
          </cell>
        </row>
        <row r="92">
          <cell r="A92" t="str">
            <v>3031-18S3AS</v>
          </cell>
          <cell r="B92" t="str">
            <v>SYM 3031 36.2GB AS/4 RAID</v>
          </cell>
        </row>
        <row r="93">
          <cell r="A93" t="str">
            <v>3031-18S3ASUP</v>
          </cell>
          <cell r="B93" t="str">
            <v>SYM 3031 36.2GB AS/4</v>
          </cell>
        </row>
        <row r="94">
          <cell r="A94" t="str">
            <v>3031-18S3UPG</v>
          </cell>
          <cell r="B94" t="str">
            <v>SYM 3031 54.3GB RAIDS UPG</v>
          </cell>
        </row>
        <row r="95">
          <cell r="A95" t="str">
            <v>303606-B21</v>
          </cell>
          <cell r="B95" t="str">
            <v>CABLE</v>
          </cell>
        </row>
        <row r="96">
          <cell r="A96" t="str">
            <v>3200-9024</v>
          </cell>
          <cell r="B96" t="str">
            <v>SYM ICDA 209GB, 768MB</v>
          </cell>
        </row>
        <row r="97">
          <cell r="A97" t="str">
            <v>3230-4032</v>
          </cell>
          <cell r="B97" t="str">
            <v>SYM ICDA 134GB, 512MB</v>
          </cell>
        </row>
        <row r="98">
          <cell r="A98" t="str">
            <v>32MBCACHE</v>
          </cell>
          <cell r="B98" t="str">
            <v>32MB CACHE FOR FC5500</v>
          </cell>
        </row>
        <row r="99">
          <cell r="A99" t="str">
            <v>32PARACHN59</v>
          </cell>
          <cell r="B99" t="str">
            <v>RPQ 5930 32 PARALLEL CHNL</v>
          </cell>
        </row>
        <row r="100">
          <cell r="A100" t="str">
            <v>3330-18</v>
          </cell>
          <cell r="B100" t="str">
            <v>SYM 3330 18GB FRAME</v>
          </cell>
        </row>
        <row r="101">
          <cell r="A101" t="str">
            <v>3430-18</v>
          </cell>
          <cell r="B101" t="str">
            <v>SYM 3430 18GB FRAME</v>
          </cell>
        </row>
        <row r="102">
          <cell r="A102" t="str">
            <v>3630-18</v>
          </cell>
          <cell r="B102" t="str">
            <v>SYM 3630 18GB FRAME</v>
          </cell>
        </row>
        <row r="103">
          <cell r="A103" t="str">
            <v>3630-36</v>
          </cell>
          <cell r="B103" t="str">
            <v>SYM 3630 36GB FRAME</v>
          </cell>
        </row>
        <row r="104">
          <cell r="A104" t="str">
            <v>3700-18</v>
          </cell>
          <cell r="B104" t="str">
            <v>SYM 3700 18GB FRAME</v>
          </cell>
        </row>
        <row r="105">
          <cell r="A105" t="str">
            <v>3700-47</v>
          </cell>
          <cell r="B105" t="str">
            <v>SYM 3700 47GB FRAME</v>
          </cell>
        </row>
        <row r="106">
          <cell r="A106" t="str">
            <v>3830-18</v>
          </cell>
          <cell r="B106" t="str">
            <v>SYM 3830 18GB FRAME</v>
          </cell>
        </row>
        <row r="107">
          <cell r="A107" t="str">
            <v>3830-36</v>
          </cell>
          <cell r="B107" t="str">
            <v>SYM 3830-36 FRAME</v>
          </cell>
        </row>
        <row r="108">
          <cell r="A108" t="str">
            <v>3830-50</v>
          </cell>
          <cell r="B108" t="str">
            <v>SYM 3830-50 FRAME</v>
          </cell>
        </row>
        <row r="109">
          <cell r="A109" t="str">
            <v>3930-18</v>
          </cell>
          <cell r="B109" t="str">
            <v>SYM 3930 18GB FRAME</v>
          </cell>
        </row>
        <row r="110">
          <cell r="A110" t="str">
            <v>3930-36</v>
          </cell>
          <cell r="B110" t="str">
            <v>SYM 3930 36GB FRAME</v>
          </cell>
        </row>
        <row r="111">
          <cell r="A111" t="str">
            <v>3930-50</v>
          </cell>
          <cell r="B111" t="str">
            <v>SYM 3930-50 FRAME</v>
          </cell>
        </row>
        <row r="112">
          <cell r="A112" t="str">
            <v>4260-100A</v>
          </cell>
          <cell r="B112" t="str">
            <v>100' BUS &amp; TAG SET</v>
          </cell>
        </row>
        <row r="113">
          <cell r="A113" t="str">
            <v>4260-125</v>
          </cell>
          <cell r="B113" t="str">
            <v>125' BUS &amp; TAG SET</v>
          </cell>
        </row>
        <row r="114">
          <cell r="A114" t="str">
            <v>4260-150</v>
          </cell>
          <cell r="B114" t="str">
            <v>150' BUS &amp; TAG SET</v>
          </cell>
        </row>
        <row r="115">
          <cell r="A115" t="str">
            <v>4260-175</v>
          </cell>
          <cell r="B115" t="str">
            <v>175' BUS &amp; TAG SET</v>
          </cell>
        </row>
        <row r="116">
          <cell r="A116" t="str">
            <v>4260-200</v>
          </cell>
          <cell r="B116" t="str">
            <v>200' BUS &amp; TAG SET</v>
          </cell>
        </row>
        <row r="117">
          <cell r="A117" t="str">
            <v>4260-25A</v>
          </cell>
          <cell r="B117" t="str">
            <v>25' BUS &amp; TAG SET</v>
          </cell>
        </row>
        <row r="118">
          <cell r="A118" t="str">
            <v>4260-50A</v>
          </cell>
          <cell r="B118" t="str">
            <v>50' BUS &amp; TAG SET</v>
          </cell>
        </row>
        <row r="119">
          <cell r="A119" t="str">
            <v>4260-75</v>
          </cell>
          <cell r="B119" t="str">
            <v>75' BUS &amp; TAG SET</v>
          </cell>
        </row>
        <row r="120">
          <cell r="A120" t="str">
            <v>45CACHEUPG</v>
          </cell>
          <cell r="B120" t="str">
            <v>1GB  FACTORY UPG FOR FC4500</v>
          </cell>
        </row>
        <row r="121">
          <cell r="A121" t="str">
            <v>5000-182</v>
          </cell>
          <cell r="B121" t="str">
            <v>SYM 5000 35.8GB SRDF</v>
          </cell>
        </row>
        <row r="122">
          <cell r="A122" t="str">
            <v>5000-182UPG</v>
          </cell>
          <cell r="B122" t="str">
            <v>SYM 5000 35.8GB SRDF</v>
          </cell>
        </row>
        <row r="123">
          <cell r="A123" t="str">
            <v>5000-18M2</v>
          </cell>
          <cell r="B123" t="str">
            <v>SYM 5000 35.8GB MIRROR</v>
          </cell>
        </row>
        <row r="124">
          <cell r="A124" t="str">
            <v>5000-18M2UPG</v>
          </cell>
          <cell r="B124" t="str">
            <v>SYM 5000 35.8GB MIRR</v>
          </cell>
        </row>
        <row r="125">
          <cell r="A125" t="str">
            <v>5000-18S3</v>
          </cell>
          <cell r="B125" t="str">
            <v>SYM 5000 53.70 RAIDS</v>
          </cell>
        </row>
        <row r="126">
          <cell r="A126" t="str">
            <v>5000-18S3UPG</v>
          </cell>
          <cell r="B126" t="str">
            <v>SYM 5000 53.7GB RAID</v>
          </cell>
        </row>
        <row r="127">
          <cell r="A127" t="str">
            <v>5000-232</v>
          </cell>
          <cell r="B127" t="str">
            <v>SYM 5000 45.58GB SRDF</v>
          </cell>
        </row>
        <row r="128">
          <cell r="A128" t="str">
            <v>5000-232UPG</v>
          </cell>
          <cell r="B128" t="str">
            <v>SYM 5000 45.58GB SRDF UPG</v>
          </cell>
        </row>
        <row r="129">
          <cell r="A129" t="str">
            <v>5000-23M2</v>
          </cell>
          <cell r="B129" t="str">
            <v>SYM 5000 45.58GB MIRROR</v>
          </cell>
        </row>
        <row r="130">
          <cell r="A130" t="str">
            <v>5000-23M2UPG</v>
          </cell>
          <cell r="B130" t="str">
            <v>SYM 5000 45.58GB MIRR UPG</v>
          </cell>
        </row>
        <row r="131">
          <cell r="A131" t="str">
            <v>5000-472</v>
          </cell>
          <cell r="B131" t="str">
            <v>SYM 5000 92.46GB SRD</v>
          </cell>
        </row>
        <row r="132">
          <cell r="A132" t="str">
            <v>5000-472UPG</v>
          </cell>
          <cell r="B132" t="str">
            <v>SYM 5000 92.46GB SRD</v>
          </cell>
        </row>
        <row r="133">
          <cell r="A133" t="str">
            <v>5000-47M2</v>
          </cell>
          <cell r="B133" t="str">
            <v>SYM 5000 92.46GB MIR</v>
          </cell>
        </row>
        <row r="134">
          <cell r="A134" t="str">
            <v>5000-47M2UPG</v>
          </cell>
          <cell r="B134" t="str">
            <v>SYM 5000 92.46GB MIR</v>
          </cell>
        </row>
        <row r="135">
          <cell r="A135" t="str">
            <v>5000-47R7</v>
          </cell>
          <cell r="B135" t="str">
            <v>SYM 5000 323GB RAIDS</v>
          </cell>
        </row>
        <row r="136">
          <cell r="A136" t="str">
            <v>5000-47R7UPG</v>
          </cell>
          <cell r="B136" t="str">
            <v>SYM 5000 323GB RAIDS</v>
          </cell>
        </row>
        <row r="137">
          <cell r="A137" t="str">
            <v>5000-47S3</v>
          </cell>
          <cell r="B137" t="str">
            <v>SYM 5000 138GB RAIDS</v>
          </cell>
        </row>
        <row r="138">
          <cell r="A138" t="str">
            <v>5000-47S3UPG</v>
          </cell>
          <cell r="B138" t="str">
            <v>SYM 5000 138.69GB RA</v>
          </cell>
        </row>
        <row r="139">
          <cell r="A139" t="str">
            <v>5030-182</v>
          </cell>
          <cell r="B139" t="str">
            <v>SYM 5030 35.8GB SRDF</v>
          </cell>
        </row>
        <row r="140">
          <cell r="A140" t="str">
            <v>5030-182UPG</v>
          </cell>
          <cell r="B140" t="str">
            <v>SYM 5030 35.8GB SRDF</v>
          </cell>
        </row>
        <row r="141">
          <cell r="A141" t="str">
            <v>5030-18M2</v>
          </cell>
          <cell r="B141" t="str">
            <v>SYM 5030 35.8GB MIRROR</v>
          </cell>
        </row>
        <row r="142">
          <cell r="A142" t="str">
            <v>5030-18M2UPG</v>
          </cell>
          <cell r="B142" t="str">
            <v>SYM 5030 35.8GB MIRR</v>
          </cell>
        </row>
        <row r="143">
          <cell r="A143" t="str">
            <v>5030-18S3</v>
          </cell>
          <cell r="B143" t="str">
            <v>SYM 5030 53.70 RAIDS</v>
          </cell>
        </row>
        <row r="144">
          <cell r="A144" t="str">
            <v>5030-18S3UPG</v>
          </cell>
          <cell r="B144" t="str">
            <v>SYM 5030 53.7GB RAID</v>
          </cell>
        </row>
        <row r="145">
          <cell r="A145" t="str">
            <v>5030-362</v>
          </cell>
          <cell r="B145" t="str">
            <v>SYM 5030 71.6GB SRDF</v>
          </cell>
        </row>
        <row r="146">
          <cell r="A146" t="str">
            <v>5030-362UPG</v>
          </cell>
          <cell r="B146" t="str">
            <v>SYM 5030 71.6GB SRDF UPG</v>
          </cell>
        </row>
        <row r="147">
          <cell r="A147" t="str">
            <v>5030-36M2</v>
          </cell>
          <cell r="B147" t="str">
            <v>SYM 5030 71.6GB MIRROR</v>
          </cell>
        </row>
        <row r="148">
          <cell r="A148" t="str">
            <v>5030-36M2UPG</v>
          </cell>
          <cell r="B148" t="str">
            <v>SYM 5030 71.6GB MIRR UPG</v>
          </cell>
        </row>
        <row r="149">
          <cell r="A149" t="str">
            <v>5030-36S3</v>
          </cell>
          <cell r="B149" t="str">
            <v>SYM 5030 107.4GB RAIDS</v>
          </cell>
        </row>
        <row r="150">
          <cell r="A150" t="str">
            <v>5030-36S3UPG</v>
          </cell>
          <cell r="B150" t="str">
            <v>SYM 5030 107.4GB R-S UPG</v>
          </cell>
        </row>
        <row r="151">
          <cell r="A151" t="str">
            <v>5030-502</v>
          </cell>
          <cell r="B151" t="str">
            <v>SYM 5030 98.2GB SRDF</v>
          </cell>
        </row>
        <row r="152">
          <cell r="A152" t="str">
            <v>5030-502UPG</v>
          </cell>
          <cell r="B152" t="str">
            <v>SYM 5030 98.2GB SRDF UPG</v>
          </cell>
        </row>
        <row r="153">
          <cell r="A153" t="str">
            <v>5030-50M2</v>
          </cell>
          <cell r="B153" t="str">
            <v>SYM 5030 98.2GB MIRR UPG</v>
          </cell>
        </row>
        <row r="154">
          <cell r="A154" t="str">
            <v>5030-50M2UPG</v>
          </cell>
          <cell r="B154" t="str">
            <v>SYM 5030 98.2GB MIRR UPG</v>
          </cell>
        </row>
        <row r="155">
          <cell r="A155" t="str">
            <v>5030-50S3</v>
          </cell>
          <cell r="B155" t="str">
            <v>SYM 5030 147.3GB RAID S</v>
          </cell>
        </row>
        <row r="156">
          <cell r="A156" t="str">
            <v>5030-50S3UPG</v>
          </cell>
          <cell r="B156" t="str">
            <v>SYM 5030 147.3GB R-S UPG</v>
          </cell>
        </row>
        <row r="157">
          <cell r="A157" t="str">
            <v>5030-92</v>
          </cell>
          <cell r="B157" t="str">
            <v>SYM 5030 17.9GB SRDF</v>
          </cell>
        </row>
        <row r="158">
          <cell r="A158" t="str">
            <v>5030-92UPG</v>
          </cell>
          <cell r="B158" t="str">
            <v>SYM 5030 17.96B SRDF</v>
          </cell>
        </row>
        <row r="159">
          <cell r="A159" t="str">
            <v>5030-9M2</v>
          </cell>
          <cell r="B159" t="str">
            <v>SYM 5030 17.9GB MIRR</v>
          </cell>
        </row>
        <row r="160">
          <cell r="A160" t="str">
            <v>5030-9M2UPG</v>
          </cell>
          <cell r="B160" t="str">
            <v>SYM 5030 17.9GB MIRR</v>
          </cell>
        </row>
        <row r="161">
          <cell r="A161" t="str">
            <v>5030-9S3</v>
          </cell>
          <cell r="B161" t="str">
            <v>SYM 5030 26.85GB RAI</v>
          </cell>
        </row>
        <row r="162">
          <cell r="A162" t="str">
            <v>5030-9S3UPG</v>
          </cell>
          <cell r="B162" t="str">
            <v>SYM 5030 26.85GB RAI</v>
          </cell>
        </row>
        <row r="163">
          <cell r="A163" t="str">
            <v>5031-182UPG</v>
          </cell>
          <cell r="B163" t="str">
            <v>SYM 5031 35.8GB SRDF UPG</v>
          </cell>
        </row>
        <row r="164">
          <cell r="A164" t="str">
            <v>5031-18M2UPG</v>
          </cell>
          <cell r="B164" t="str">
            <v>SYM 5031 35.8GB MIRR UPG</v>
          </cell>
        </row>
        <row r="165">
          <cell r="A165" t="str">
            <v>5031-18S3UPG</v>
          </cell>
          <cell r="B165" t="str">
            <v>SYM 5031 53.7GB RAIDS UPG</v>
          </cell>
        </row>
        <row r="166">
          <cell r="A166" t="str">
            <v>53/33-MNTKIT</v>
          </cell>
          <cell r="B166" t="str">
            <v>53XX/33XX MAINT TOOL KIT</v>
          </cell>
        </row>
        <row r="167">
          <cell r="A167" t="str">
            <v>54/34-MNTKIT</v>
          </cell>
          <cell r="B167" t="str">
            <v>54XX/34XX MAINT TOOL KIT</v>
          </cell>
        </row>
        <row r="168">
          <cell r="A168" t="str">
            <v>5430-18</v>
          </cell>
          <cell r="B168" t="str">
            <v>SYM 5430-18 FRAME</v>
          </cell>
        </row>
        <row r="169">
          <cell r="A169" t="str">
            <v>5630-36</v>
          </cell>
          <cell r="B169" t="str">
            <v>SYM 5630 36GB FRAME</v>
          </cell>
        </row>
        <row r="170">
          <cell r="A170" t="str">
            <v>57/37-MNTKIT</v>
          </cell>
          <cell r="B170" t="str">
            <v>57XX/37XX MAINT TOOL KIT</v>
          </cell>
        </row>
        <row r="171">
          <cell r="A171" t="str">
            <v>5700-18</v>
          </cell>
          <cell r="B171" t="str">
            <v>SYM 5700 18GB FRAME</v>
          </cell>
        </row>
        <row r="172">
          <cell r="A172" t="str">
            <v>5700-47</v>
          </cell>
          <cell r="B172" t="str">
            <v>SYM 5700 47GB FRAME</v>
          </cell>
        </row>
        <row r="173">
          <cell r="A173" t="str">
            <v>57CACHE256</v>
          </cell>
          <cell r="B173" t="str">
            <v>256MB CACHE UPG 5700/5703</v>
          </cell>
        </row>
        <row r="174">
          <cell r="A174" t="str">
            <v>57CACHE512</v>
          </cell>
          <cell r="B174" t="str">
            <v>512MB CACHE UPG FC5700/5703</v>
          </cell>
        </row>
        <row r="175">
          <cell r="A175" t="str">
            <v>58062535-01</v>
          </cell>
          <cell r="B175" t="str">
            <v>BULL 8430-18</v>
          </cell>
        </row>
        <row r="176">
          <cell r="A176" t="str">
            <v>58062536-01</v>
          </cell>
          <cell r="B176" t="str">
            <v>BULL 8430-36</v>
          </cell>
        </row>
        <row r="177">
          <cell r="A177" t="str">
            <v>58062537-01</v>
          </cell>
          <cell r="B177" t="str">
            <v>BULL 8430-73</v>
          </cell>
        </row>
        <row r="178">
          <cell r="A178" t="str">
            <v>58062538-01</v>
          </cell>
          <cell r="B178" t="str">
            <v>BULL 8730-18</v>
          </cell>
        </row>
        <row r="179">
          <cell r="A179" t="str">
            <v>58062539-01</v>
          </cell>
          <cell r="B179" t="str">
            <v>BULL 8730-36</v>
          </cell>
        </row>
        <row r="180">
          <cell r="A180" t="str">
            <v>58062540-01</v>
          </cell>
          <cell r="B180" t="str">
            <v>BULL 8730-73</v>
          </cell>
        </row>
        <row r="181">
          <cell r="A181" t="str">
            <v>58062544-01</v>
          </cell>
          <cell r="B181" t="str">
            <v>BULL 8031-36M1</v>
          </cell>
        </row>
        <row r="182">
          <cell r="A182" t="str">
            <v>58062545-01</v>
          </cell>
          <cell r="B182" t="str">
            <v>BULL 8031-361</v>
          </cell>
        </row>
        <row r="183">
          <cell r="A183" t="str">
            <v>58062546-01</v>
          </cell>
          <cell r="B183" t="str">
            <v>BULL 8031-36S3</v>
          </cell>
        </row>
        <row r="184">
          <cell r="A184" t="str">
            <v>58062547-01</v>
          </cell>
          <cell r="B184" t="str">
            <v>BULL 8031-73M1</v>
          </cell>
        </row>
        <row r="185">
          <cell r="A185" t="str">
            <v>58062548-01</v>
          </cell>
          <cell r="B185" t="str">
            <v>BULL 8031-731</v>
          </cell>
        </row>
        <row r="186">
          <cell r="A186" t="str">
            <v>58062553-01</v>
          </cell>
          <cell r="B186" t="str">
            <v>BULL 8031-36M1UPG</v>
          </cell>
        </row>
        <row r="187">
          <cell r="A187" t="str">
            <v>58062554-01</v>
          </cell>
          <cell r="B187" t="str">
            <v>BULL 8031-361UPG</v>
          </cell>
        </row>
        <row r="188">
          <cell r="A188" t="str">
            <v>58062555-01</v>
          </cell>
          <cell r="B188" t="str">
            <v>BULL 8031-36S3UPG</v>
          </cell>
        </row>
        <row r="189">
          <cell r="A189" t="str">
            <v>58062556-01</v>
          </cell>
          <cell r="B189" t="str">
            <v>BULL 8031-73M1UPG</v>
          </cell>
        </row>
        <row r="190">
          <cell r="A190" t="str">
            <v>58062557-01</v>
          </cell>
          <cell r="B190" t="str">
            <v>BULL 8031-731UPG</v>
          </cell>
        </row>
        <row r="191">
          <cell r="A191" t="str">
            <v>58062559-01</v>
          </cell>
          <cell r="B191" t="str">
            <v>BULL DP3-FCD2</v>
          </cell>
        </row>
        <row r="192">
          <cell r="A192" t="str">
            <v>58062560-01</v>
          </cell>
          <cell r="B192" t="str">
            <v>BULL DP3-FCD2S</v>
          </cell>
        </row>
        <row r="193">
          <cell r="A193" t="str">
            <v>58062561-01</v>
          </cell>
          <cell r="B193" t="str">
            <v>BULL DP3-SCD42</v>
          </cell>
        </row>
        <row r="194">
          <cell r="A194" t="str">
            <v>58062562-01</v>
          </cell>
          <cell r="B194" t="str">
            <v>BULL DP3-USD4H</v>
          </cell>
        </row>
        <row r="195">
          <cell r="A195" t="str">
            <v>58062563-01</v>
          </cell>
          <cell r="B195" t="str">
            <v>BULL DP3-RLD42</v>
          </cell>
        </row>
        <row r="196">
          <cell r="A196" t="str">
            <v>58062564-01</v>
          </cell>
          <cell r="B196" t="str">
            <v>BULL DP3-RFD2</v>
          </cell>
        </row>
        <row r="197">
          <cell r="A197" t="str">
            <v>58062565-01</v>
          </cell>
          <cell r="B197" t="str">
            <v>BULL DP3-RFD2S</v>
          </cell>
        </row>
        <row r="198">
          <cell r="A198" t="str">
            <v>58062566-01</v>
          </cell>
          <cell r="B198" t="str">
            <v>BULL MEM3-2048</v>
          </cell>
        </row>
        <row r="199">
          <cell r="A199" t="str">
            <v>58062567-01</v>
          </cell>
          <cell r="B199" t="str">
            <v>BULL MEM3-4096</v>
          </cell>
        </row>
        <row r="200">
          <cell r="A200" t="str">
            <v>58062568-01</v>
          </cell>
          <cell r="B200" t="str">
            <v>BULL MEM3-8192</v>
          </cell>
        </row>
        <row r="201">
          <cell r="A201" t="str">
            <v>58062569-01</v>
          </cell>
          <cell r="B201" t="str">
            <v>BULL MEM3-16384</v>
          </cell>
        </row>
        <row r="202">
          <cell r="A202" t="str">
            <v>58062570-01</v>
          </cell>
          <cell r="B202" t="str">
            <v>BULL MEM3-24576</v>
          </cell>
        </row>
        <row r="203">
          <cell r="A203" t="str">
            <v>58062571-01</v>
          </cell>
          <cell r="B203" t="str">
            <v>BULL MEM3-32768</v>
          </cell>
        </row>
        <row r="204">
          <cell r="A204" t="str">
            <v>58062572-01</v>
          </cell>
          <cell r="B204" t="str">
            <v>BULL MEM3-1024UPG</v>
          </cell>
        </row>
        <row r="205">
          <cell r="A205" t="str">
            <v>58062573-01</v>
          </cell>
          <cell r="B205" t="str">
            <v>BULL MEM3-2048UPG</v>
          </cell>
        </row>
        <row r="206">
          <cell r="A206" t="str">
            <v>58062574-01</v>
          </cell>
          <cell r="B206" t="str">
            <v>BULL MEM3-4096UPG</v>
          </cell>
        </row>
        <row r="207">
          <cell r="A207" t="str">
            <v>58062575-01</v>
          </cell>
          <cell r="B207" t="str">
            <v>BULL MEM3-8192UPG</v>
          </cell>
        </row>
        <row r="208">
          <cell r="A208" t="str">
            <v>58062576-01</v>
          </cell>
          <cell r="B208" t="str">
            <v>BULL 8031-361UPG</v>
          </cell>
        </row>
        <row r="209">
          <cell r="A209" t="str">
            <v>58062578-01</v>
          </cell>
          <cell r="B209" t="str">
            <v>BULL 8031-36S3UPG</v>
          </cell>
        </row>
        <row r="210">
          <cell r="A210" t="str">
            <v>58062580-01</v>
          </cell>
          <cell r="B210" t="str">
            <v>BULL 8730 DOM SHIP KIT</v>
          </cell>
        </row>
        <row r="211">
          <cell r="A211" t="str">
            <v>58062581-01</v>
          </cell>
          <cell r="B211" t="str">
            <v>BULL 8730 INTL SHIP KIT</v>
          </cell>
        </row>
        <row r="212">
          <cell r="A212" t="str">
            <v>58062582-01</v>
          </cell>
          <cell r="B212" t="str">
            <v>BULL DP3-FCD8</v>
          </cell>
        </row>
        <row r="213">
          <cell r="A213" t="str">
            <v>58062583-01</v>
          </cell>
          <cell r="B213" t="str">
            <v>RPL 1OR2 CACHE BD W/CHNDR</v>
          </cell>
        </row>
        <row r="214">
          <cell r="A214" t="str">
            <v>58105211-01</v>
          </cell>
          <cell r="B214" t="str">
            <v>BULL MEM2-1024</v>
          </cell>
        </row>
        <row r="215">
          <cell r="A215" t="str">
            <v>58105212-01</v>
          </cell>
          <cell r="B215" t="str">
            <v>BULL MEM2-1536</v>
          </cell>
        </row>
        <row r="216">
          <cell r="A216" t="str">
            <v>58105213-01</v>
          </cell>
          <cell r="B216" t="str">
            <v>BULL MEM2-2048</v>
          </cell>
        </row>
        <row r="217">
          <cell r="A217" t="str">
            <v>58105214-01</v>
          </cell>
          <cell r="B217" t="str">
            <v>BULL MEM2-2560</v>
          </cell>
        </row>
        <row r="218">
          <cell r="A218" t="str">
            <v>58105215-01</v>
          </cell>
          <cell r="B218" t="str">
            <v>BULL MEM2-3072</v>
          </cell>
        </row>
        <row r="219">
          <cell r="A219" t="str">
            <v>58105216-01</v>
          </cell>
          <cell r="B219" t="str">
            <v>BULL MEM2-4096</v>
          </cell>
        </row>
        <row r="220">
          <cell r="A220" t="str">
            <v>58105217-01</v>
          </cell>
          <cell r="B220" t="str">
            <v>BULL MEM2-5120</v>
          </cell>
        </row>
        <row r="221">
          <cell r="A221" t="str">
            <v>58105218-01</v>
          </cell>
          <cell r="B221" t="str">
            <v>BULL MEM2-6144</v>
          </cell>
        </row>
        <row r="222">
          <cell r="A222" t="str">
            <v>58105219-01</v>
          </cell>
          <cell r="B222" t="str">
            <v>BULL MEM2-7168</v>
          </cell>
        </row>
        <row r="223">
          <cell r="A223" t="str">
            <v>58105220-01</v>
          </cell>
          <cell r="B223" t="str">
            <v>BULL MEM2-8192</v>
          </cell>
        </row>
        <row r="224">
          <cell r="A224" t="str">
            <v>58105221-01</v>
          </cell>
          <cell r="B224" t="str">
            <v>BULL MEM2-10240</v>
          </cell>
        </row>
        <row r="225">
          <cell r="A225" t="str">
            <v>58105222-01</v>
          </cell>
          <cell r="B225" t="str">
            <v>BULL MEM2-12288</v>
          </cell>
        </row>
        <row r="226">
          <cell r="A226" t="str">
            <v>58105223-01</v>
          </cell>
          <cell r="B226" t="str">
            <v>BULL MEM2-14336</v>
          </cell>
        </row>
        <row r="227">
          <cell r="A227" t="str">
            <v>58105224-01</v>
          </cell>
          <cell r="B227" t="str">
            <v>BULL MEM2-16384</v>
          </cell>
        </row>
        <row r="228">
          <cell r="A228" t="str">
            <v>58105225-01</v>
          </cell>
          <cell r="B228" t="str">
            <v>BULL MEM2-512UPG</v>
          </cell>
        </row>
        <row r="229">
          <cell r="A229" t="str">
            <v>58105226-01</v>
          </cell>
          <cell r="B229" t="str">
            <v>BULL MEM2-1024UPG</v>
          </cell>
        </row>
        <row r="230">
          <cell r="A230" t="str">
            <v>58105227-01</v>
          </cell>
          <cell r="B230" t="str">
            <v>BULL MEM2-2048UPG</v>
          </cell>
        </row>
        <row r="231">
          <cell r="A231" t="str">
            <v>58105228-01</v>
          </cell>
          <cell r="B231" t="str">
            <v>BULL MEM2-4096UPG</v>
          </cell>
        </row>
        <row r="232">
          <cell r="A232" t="str">
            <v>58105242-01</v>
          </cell>
          <cell r="B232" t="str">
            <v>BULL 5630-18</v>
          </cell>
        </row>
        <row r="233">
          <cell r="A233" t="str">
            <v>58105243-01</v>
          </cell>
          <cell r="B233" t="str">
            <v>BULL 5630-36</v>
          </cell>
        </row>
        <row r="234">
          <cell r="A234" t="str">
            <v>58105244-01</v>
          </cell>
          <cell r="B234" t="str">
            <v>BULL 5830-18</v>
          </cell>
        </row>
        <row r="235">
          <cell r="A235" t="str">
            <v>58105245-01</v>
          </cell>
          <cell r="B235" t="str">
            <v>BULL 5830-36</v>
          </cell>
        </row>
        <row r="236">
          <cell r="A236" t="str">
            <v>58105246-01</v>
          </cell>
          <cell r="B236" t="str">
            <v>BULL 5031-18M2</v>
          </cell>
        </row>
        <row r="237">
          <cell r="A237" t="str">
            <v>58105247-01</v>
          </cell>
          <cell r="B237" t="str">
            <v>BULL 5031-18M2UPG</v>
          </cell>
        </row>
        <row r="238">
          <cell r="A238" t="str">
            <v>58105248-01</v>
          </cell>
          <cell r="B238" t="str">
            <v>BULL 5031-182</v>
          </cell>
        </row>
        <row r="239">
          <cell r="A239" t="str">
            <v>58105249-01</v>
          </cell>
          <cell r="B239" t="str">
            <v>BULL 5031-182UPG</v>
          </cell>
        </row>
        <row r="240">
          <cell r="A240" t="str">
            <v>58105250-01</v>
          </cell>
          <cell r="B240" t="str">
            <v>BULL 5030-36M2</v>
          </cell>
        </row>
        <row r="241">
          <cell r="A241" t="str">
            <v>58105251-01</v>
          </cell>
          <cell r="B241" t="str">
            <v>BULL 5030-36M2UPG</v>
          </cell>
        </row>
        <row r="242">
          <cell r="A242" t="str">
            <v>58105252-01</v>
          </cell>
          <cell r="B242" t="str">
            <v>BULL 5030-362</v>
          </cell>
        </row>
        <row r="243">
          <cell r="A243" t="str">
            <v>58105253-01</v>
          </cell>
          <cell r="B243" t="str">
            <v>BULL 5030-362UPG</v>
          </cell>
        </row>
        <row r="244">
          <cell r="A244" t="str">
            <v>58105254-01</v>
          </cell>
          <cell r="B244" t="str">
            <v>BULL DP2-PCD4</v>
          </cell>
        </row>
        <row r="245">
          <cell r="A245" t="str">
            <v>58105255-01</v>
          </cell>
          <cell r="B245" t="str">
            <v>BULL DP2-RLD4</v>
          </cell>
        </row>
        <row r="246">
          <cell r="A246" t="str">
            <v>58105256-01</v>
          </cell>
          <cell r="B246" t="str">
            <v>BULL DP2-SCD4</v>
          </cell>
        </row>
        <row r="247">
          <cell r="A247" t="str">
            <v>58105257-01</v>
          </cell>
          <cell r="B247" t="str">
            <v>BULL DP2-USD4SW</v>
          </cell>
        </row>
        <row r="248">
          <cell r="A248" t="str">
            <v>58105259-01</v>
          </cell>
          <cell r="B248" t="str">
            <v>5630 SHIP KIT DOMESTIC</v>
          </cell>
        </row>
        <row r="249">
          <cell r="A249" t="str">
            <v>58105260-01</v>
          </cell>
          <cell r="B249" t="str">
            <v>5630 SHIP KIT INT'L</v>
          </cell>
        </row>
        <row r="250">
          <cell r="A250" t="str">
            <v>58105284-01</v>
          </cell>
          <cell r="B250" t="str">
            <v>5630 TOOL KIT</v>
          </cell>
        </row>
        <row r="251">
          <cell r="A251" t="str">
            <v>58105286-01</v>
          </cell>
          <cell r="B251" t="str">
            <v>5830 SHIP KIT DOMESTIC</v>
          </cell>
        </row>
        <row r="252">
          <cell r="A252" t="str">
            <v>58105287-01</v>
          </cell>
          <cell r="B252" t="str">
            <v>5830 SHIP KIT INT'L</v>
          </cell>
        </row>
        <row r="253">
          <cell r="A253" t="str">
            <v>58105288-01</v>
          </cell>
          <cell r="B253" t="str">
            <v>5830 TOOL KIT</v>
          </cell>
        </row>
        <row r="254">
          <cell r="A254" t="str">
            <v>58105295-01</v>
          </cell>
          <cell r="B254" t="str">
            <v>BULL 8PARACHN58</v>
          </cell>
        </row>
        <row r="255">
          <cell r="A255" t="str">
            <v>58105296-01</v>
          </cell>
          <cell r="B255" t="str">
            <v>BULL 16PARACHN58</v>
          </cell>
        </row>
        <row r="256">
          <cell r="A256" t="str">
            <v>58105297-01</v>
          </cell>
          <cell r="B256" t="str">
            <v>BULL 16PARACHN56</v>
          </cell>
        </row>
        <row r="257">
          <cell r="A257" t="str">
            <v>58105298-01</v>
          </cell>
          <cell r="B257" t="str">
            <v>BULL ENHCHN5830</v>
          </cell>
        </row>
        <row r="258">
          <cell r="A258" t="str">
            <v>58105299-01</v>
          </cell>
          <cell r="B258" t="str">
            <v>BULL DP2-FCD2</v>
          </cell>
        </row>
        <row r="259">
          <cell r="A259" t="str">
            <v>58105300-01</v>
          </cell>
          <cell r="B259" t="str">
            <v>BULL 5031-18S3</v>
          </cell>
        </row>
        <row r="260">
          <cell r="A260" t="str">
            <v>58105301-01</v>
          </cell>
          <cell r="B260" t="str">
            <v>BULL 5031-18S3UPG</v>
          </cell>
        </row>
        <row r="261">
          <cell r="A261" t="str">
            <v>58105303-01</v>
          </cell>
          <cell r="B261" t="str">
            <v>BULL 5030-36S3 UPG</v>
          </cell>
        </row>
        <row r="262">
          <cell r="A262" t="str">
            <v>5830-36</v>
          </cell>
          <cell r="B262" t="str">
            <v>SYM 5830 36GB FRAME</v>
          </cell>
        </row>
        <row r="263">
          <cell r="A263" t="str">
            <v>5830-50</v>
          </cell>
          <cell r="B263" t="str">
            <v>SYM 5830-50 FRAME</v>
          </cell>
        </row>
        <row r="264">
          <cell r="A264" t="str">
            <v>5930-36</v>
          </cell>
          <cell r="B264" t="str">
            <v>SYM 5930 36GB FRAME</v>
          </cell>
        </row>
        <row r="265">
          <cell r="A265" t="str">
            <v>5930-50</v>
          </cell>
          <cell r="B265" t="str">
            <v>SYM 5930-50 FRAME</v>
          </cell>
        </row>
        <row r="266">
          <cell r="A266" t="str">
            <v>6FCX4SLVD</v>
          </cell>
          <cell r="B266" t="str">
            <v>PATHLIGHT BRIDGE</v>
          </cell>
        </row>
        <row r="267">
          <cell r="A267" t="str">
            <v>8030-1811</v>
          </cell>
          <cell r="B267" t="str">
            <v>SYM 8030 181GB SRDF</v>
          </cell>
        </row>
        <row r="268">
          <cell r="A268" t="str">
            <v>8030-1811UPG</v>
          </cell>
          <cell r="B268" t="str">
            <v>SYM 8030 181GB SRDF UPG</v>
          </cell>
        </row>
        <row r="269">
          <cell r="A269" t="str">
            <v>8030-181M1</v>
          </cell>
          <cell r="B269" t="str">
            <v>SYM 8030 181GB MIRR</v>
          </cell>
        </row>
        <row r="270">
          <cell r="A270" t="str">
            <v>8030-181M1UPG</v>
          </cell>
          <cell r="B270" t="str">
            <v>SYM 8030 181GB MIRR UPG</v>
          </cell>
        </row>
        <row r="271">
          <cell r="A271" t="str">
            <v>8030-501UPG</v>
          </cell>
          <cell r="B271" t="str">
            <v>SYM 8030 49.1GB SRDF UPG</v>
          </cell>
        </row>
        <row r="272">
          <cell r="A272" t="str">
            <v>8030-50M1UPG</v>
          </cell>
          <cell r="B272" t="str">
            <v>SYM 8030 49.1GB MIRR UPG</v>
          </cell>
        </row>
        <row r="273">
          <cell r="A273" t="str">
            <v>8030-50S3UPG</v>
          </cell>
          <cell r="B273" t="str">
            <v>SYM8030 147.3GB RAIDS UPG</v>
          </cell>
        </row>
        <row r="274">
          <cell r="A274" t="str">
            <v>8031-181AS</v>
          </cell>
          <cell r="B274" t="str">
            <v>SYM 8031 17.6GB AS/4 SRDF</v>
          </cell>
        </row>
        <row r="275">
          <cell r="A275" t="str">
            <v>8031-181ASUPG</v>
          </cell>
          <cell r="B275" t="str">
            <v>SYM 8031 17.9GB AS/4 UPG</v>
          </cell>
        </row>
        <row r="276">
          <cell r="A276" t="str">
            <v>8031-181UPG</v>
          </cell>
          <cell r="B276" t="str">
            <v>SYM 8031 17.9GB SRDF UPG</v>
          </cell>
        </row>
        <row r="277">
          <cell r="A277" t="str">
            <v>8031-18M1AS</v>
          </cell>
          <cell r="B277" t="str">
            <v>SYM 8031 17.9GB AS400 MIR</v>
          </cell>
        </row>
        <row r="278">
          <cell r="A278" t="str">
            <v>8031-18M1ASUP</v>
          </cell>
          <cell r="B278" t="str">
            <v>SYM 8031 17.9GB AS/MIR UP</v>
          </cell>
        </row>
        <row r="279">
          <cell r="A279" t="str">
            <v>8031-18M1UPG</v>
          </cell>
          <cell r="B279" t="str">
            <v>SYM 8031 17.9GB MIRR UPG</v>
          </cell>
        </row>
        <row r="280">
          <cell r="A280" t="str">
            <v>8031-18S3AS</v>
          </cell>
          <cell r="B280" t="str">
            <v>SYM8031 51.6GB AS/4 RAIDS</v>
          </cell>
        </row>
        <row r="281">
          <cell r="A281" t="str">
            <v>8031-18S3ASUP</v>
          </cell>
          <cell r="B281" t="str">
            <v>SYM8031 51.6GB AS4 R-S UP</v>
          </cell>
        </row>
        <row r="282">
          <cell r="A282" t="str">
            <v>8031-361</v>
          </cell>
          <cell r="B282" t="str">
            <v>SYM 8031 35.8GB SRDF</v>
          </cell>
        </row>
        <row r="283">
          <cell r="A283" t="str">
            <v>8031-361AS</v>
          </cell>
          <cell r="B283" t="str">
            <v>SYM 8031 35.8GB AS400 SRD</v>
          </cell>
        </row>
        <row r="284">
          <cell r="A284" t="str">
            <v>8031-361ASUPG</v>
          </cell>
          <cell r="B284" t="str">
            <v>SYM 8031 35.8GB AS/4 UPG</v>
          </cell>
        </row>
        <row r="285">
          <cell r="A285" t="str">
            <v>8031-361L</v>
          </cell>
          <cell r="B285" t="str">
            <v>SYM8031 35.8GB 1" SRDF</v>
          </cell>
        </row>
        <row r="286">
          <cell r="A286" t="str">
            <v>8031-361LAS</v>
          </cell>
          <cell r="B286" t="str">
            <v>SYM8031 35.8GB 1" SRDF AS4</v>
          </cell>
        </row>
        <row r="287">
          <cell r="A287" t="str">
            <v>8031-361LASU</v>
          </cell>
          <cell r="B287" t="str">
            <v>SYM8031 35.8GB 1" SRDF AS4 U</v>
          </cell>
        </row>
        <row r="288">
          <cell r="A288" t="str">
            <v>8031-361LUPG</v>
          </cell>
          <cell r="B288" t="str">
            <v>SYM8031 35.8GB 1" SRDF UP</v>
          </cell>
        </row>
        <row r="289">
          <cell r="A289" t="str">
            <v>8031-361UPG</v>
          </cell>
          <cell r="B289" t="str">
            <v>SYM 8031 35.8GB SRDF UPG</v>
          </cell>
        </row>
        <row r="290">
          <cell r="A290" t="str">
            <v>8031-36M1</v>
          </cell>
          <cell r="B290" t="str">
            <v>SYM 8031 35.8GB MIRROR</v>
          </cell>
        </row>
        <row r="291">
          <cell r="A291" t="str">
            <v>8031-36M1AS</v>
          </cell>
          <cell r="B291" t="str">
            <v>SYM 8031 35.8GB AS400 MIRR</v>
          </cell>
        </row>
        <row r="292">
          <cell r="A292" t="str">
            <v>8031-36M1ASUP</v>
          </cell>
          <cell r="B292" t="str">
            <v>SYM 8031 35.8GB AS/MIR UP</v>
          </cell>
        </row>
        <row r="293">
          <cell r="A293" t="str">
            <v>8031-36M1L</v>
          </cell>
          <cell r="B293" t="str">
            <v>SYM8031-35.8GB 1" MIR</v>
          </cell>
        </row>
        <row r="294">
          <cell r="A294" t="str">
            <v>8031-36M1LAS</v>
          </cell>
          <cell r="B294" t="str">
            <v>SYM8031 35.8GB 1" MIR UP</v>
          </cell>
        </row>
        <row r="295">
          <cell r="A295" t="str">
            <v>8031-36M1LASU</v>
          </cell>
          <cell r="B295" t="str">
            <v>SYM8031 35GB 1</v>
          </cell>
        </row>
        <row r="296">
          <cell r="A296" t="str">
            <v>8031-36M1LUPG</v>
          </cell>
          <cell r="B296" t="str">
            <v>SYM8031 35.8GB 1</v>
          </cell>
        </row>
        <row r="297">
          <cell r="A297" t="str">
            <v>8031-36M1UPG</v>
          </cell>
          <cell r="B297" t="str">
            <v>SYM 8031 35.8GB MIRR UPG</v>
          </cell>
        </row>
        <row r="298">
          <cell r="A298" t="str">
            <v>8031-36S3</v>
          </cell>
          <cell r="B298" t="str">
            <v>SYM 8031 107.4GB RAIDS</v>
          </cell>
        </row>
        <row r="299">
          <cell r="A299" t="str">
            <v>8031-36S3AS</v>
          </cell>
          <cell r="B299" t="str">
            <v>SYM 8031 103GB AS/4 RAIDS</v>
          </cell>
        </row>
        <row r="300">
          <cell r="A300" t="str">
            <v>8031-36S3ASUP</v>
          </cell>
          <cell r="B300" t="str">
            <v>SYM8031 103GB AS4 RD-S UP</v>
          </cell>
        </row>
        <row r="301">
          <cell r="A301" t="str">
            <v>8031-36S3L</v>
          </cell>
          <cell r="B301" t="str">
            <v>SYM8031 107.4GB 1</v>
          </cell>
        </row>
        <row r="302">
          <cell r="A302" t="str">
            <v>8031-36S3LAS</v>
          </cell>
          <cell r="B302" t="str">
            <v>SYM8031 105GB 1</v>
          </cell>
        </row>
        <row r="303">
          <cell r="A303" t="str">
            <v>8031-36S3LASU</v>
          </cell>
          <cell r="B303" t="str">
            <v>SYM8031 107.4GB 1" AS/4  UP</v>
          </cell>
        </row>
        <row r="304">
          <cell r="A304" t="str">
            <v>8031-36S3LUPG</v>
          </cell>
          <cell r="B304" t="str">
            <v>SYM8031 107.4GB 1</v>
          </cell>
        </row>
        <row r="305">
          <cell r="A305" t="str">
            <v>8031-36S3UPG</v>
          </cell>
          <cell r="B305" t="str">
            <v>SYM 8031 107.4GB RAIDS UPG</v>
          </cell>
        </row>
        <row r="306">
          <cell r="A306" t="str">
            <v>8031-731</v>
          </cell>
          <cell r="B306" t="str">
            <v>SYM 8031 72.17GB SRDF</v>
          </cell>
        </row>
        <row r="307">
          <cell r="A307" t="str">
            <v>8031-731L</v>
          </cell>
          <cell r="B307" t="str">
            <v>SYM8031 72.17GB 1</v>
          </cell>
        </row>
        <row r="308">
          <cell r="A308" t="str">
            <v>8031-731LUPG</v>
          </cell>
          <cell r="B308" t="str">
            <v>SYM8031 72.17GB 1</v>
          </cell>
        </row>
        <row r="309">
          <cell r="A309" t="str">
            <v>8031-731UPG</v>
          </cell>
          <cell r="B309" t="str">
            <v>SYM 8031 72.17GB SRDF UPG</v>
          </cell>
        </row>
        <row r="310">
          <cell r="A310" t="str">
            <v>8031-73M1</v>
          </cell>
          <cell r="B310" t="str">
            <v>SYM 8031 72.17GB MIRR</v>
          </cell>
        </row>
        <row r="311">
          <cell r="A311" t="str">
            <v>8031-73M1L</v>
          </cell>
          <cell r="B311" t="str">
            <v>SYM8031 72.17GB 1</v>
          </cell>
        </row>
        <row r="312">
          <cell r="A312" t="str">
            <v>8031-73M1LUPG</v>
          </cell>
          <cell r="B312" t="str">
            <v>SYM8031 72.17GB 1</v>
          </cell>
        </row>
        <row r="313">
          <cell r="A313" t="str">
            <v>8031-73M1UPG</v>
          </cell>
          <cell r="B313" t="str">
            <v>SYM 8031 72.17GB MIRR UPG</v>
          </cell>
        </row>
        <row r="314">
          <cell r="A314" t="str">
            <v>8230-181</v>
          </cell>
          <cell r="B314" t="str">
            <v>SYM 8230-181 FRAME</v>
          </cell>
        </row>
        <row r="315">
          <cell r="A315" t="str">
            <v>8230-36</v>
          </cell>
          <cell r="B315" t="str">
            <v>SYM 8230-36 FRAME</v>
          </cell>
        </row>
        <row r="316">
          <cell r="A316" t="str">
            <v>8230-73</v>
          </cell>
          <cell r="B316" t="str">
            <v>SYM 8230-73 FRAME</v>
          </cell>
        </row>
        <row r="317">
          <cell r="A317" t="str">
            <v>8430-18</v>
          </cell>
          <cell r="B317" t="str">
            <v>SYM 8430-18 FRAME</v>
          </cell>
        </row>
        <row r="318">
          <cell r="A318" t="str">
            <v>8430-181</v>
          </cell>
          <cell r="B318" t="str">
            <v>SYM 8430-181 FRAME</v>
          </cell>
        </row>
        <row r="319">
          <cell r="A319" t="str">
            <v>8430-36</v>
          </cell>
          <cell r="B319" t="str">
            <v>SYM 8430-36 FRAME</v>
          </cell>
        </row>
        <row r="320">
          <cell r="A320" t="str">
            <v>8430-73</v>
          </cell>
          <cell r="B320" t="str">
            <v>SYM 8430-73</v>
          </cell>
        </row>
        <row r="321">
          <cell r="A321" t="str">
            <v>8530-181</v>
          </cell>
          <cell r="B321" t="str">
            <v>SYM 8530-181 FRAME</v>
          </cell>
        </row>
        <row r="322">
          <cell r="A322" t="str">
            <v>8530-36</v>
          </cell>
          <cell r="B322" t="str">
            <v>SYM 8530-36 FRAME</v>
          </cell>
        </row>
        <row r="323">
          <cell r="A323" t="str">
            <v>8530-73</v>
          </cell>
          <cell r="B323" t="str">
            <v>SYM 8530-73</v>
          </cell>
        </row>
        <row r="324">
          <cell r="A324" t="str">
            <v>8730-18</v>
          </cell>
          <cell r="B324" t="str">
            <v>SYM 8730-18 FRAME</v>
          </cell>
        </row>
        <row r="325">
          <cell r="A325" t="str">
            <v>8730-181</v>
          </cell>
          <cell r="B325" t="str">
            <v>SYM 8730-181 FRAME</v>
          </cell>
        </row>
        <row r="326">
          <cell r="A326" t="str">
            <v>8730-36</v>
          </cell>
          <cell r="B326" t="str">
            <v>SYM 8730-36 FRAME</v>
          </cell>
        </row>
        <row r="327">
          <cell r="A327" t="str">
            <v>8730-73</v>
          </cell>
          <cell r="B327" t="str">
            <v>SYM 8730-73 FRAME</v>
          </cell>
        </row>
        <row r="328">
          <cell r="A328" t="str">
            <v>8730-PWRUPG</v>
          </cell>
          <cell r="B328" t="str">
            <v>8730 POWER UPGRADE</v>
          </cell>
        </row>
        <row r="329">
          <cell r="A329" t="str">
            <v>8830-181</v>
          </cell>
          <cell r="B329" t="str">
            <v>SYM 8830-181 FRAME</v>
          </cell>
        </row>
        <row r="330">
          <cell r="A330" t="str">
            <v>8830-36</v>
          </cell>
          <cell r="B330" t="str">
            <v>SYM 8830-36 FRAME</v>
          </cell>
        </row>
        <row r="331">
          <cell r="A331" t="str">
            <v>8830-73</v>
          </cell>
          <cell r="B331" t="str">
            <v>SYM 8830-73 FRAME</v>
          </cell>
        </row>
        <row r="332">
          <cell r="A332" t="str">
            <v>8PARACHN58</v>
          </cell>
          <cell r="B332" t="str">
            <v>RPQ 5830 8 PARALLEL</v>
          </cell>
        </row>
        <row r="333">
          <cell r="A333" t="str">
            <v>A2F20277660P</v>
          </cell>
          <cell r="B333" t="str">
            <v>200 METER FIBRE CABLE</v>
          </cell>
        </row>
        <row r="334">
          <cell r="A334" t="str">
            <v>A3724A/A2</v>
          </cell>
          <cell r="B334" t="str">
            <v>HP GADZOOK 10 PORT HUB</v>
          </cell>
        </row>
        <row r="335">
          <cell r="A335" t="str">
            <v>ACCONKIT-D</v>
          </cell>
          <cell r="B335" t="str">
            <v>AC CONNECTOR KIT DOM 3BAY</v>
          </cell>
        </row>
        <row r="336">
          <cell r="A336" t="str">
            <v>ACKIT8230-D</v>
          </cell>
          <cell r="B336" t="str">
            <v>AC LINE KIT DOM 8230</v>
          </cell>
        </row>
        <row r="337">
          <cell r="A337" t="str">
            <v>ACKIT8230-I</v>
          </cell>
          <cell r="B337" t="str">
            <v>AC LINE KIT INT 8230</v>
          </cell>
        </row>
        <row r="338">
          <cell r="A338" t="str">
            <v>AC-LINE-EXT</v>
          </cell>
          <cell r="B338" t="str">
            <v>54/34 AC LINE EXT (DOM)</v>
          </cell>
        </row>
        <row r="339">
          <cell r="A339" t="str">
            <v>AC-LINE-EXT-I</v>
          </cell>
          <cell r="B339" t="str">
            <v>INT'L POWER CORD FOR CFS</v>
          </cell>
        </row>
        <row r="340">
          <cell r="A340" t="str">
            <v>ACLINKIT-D</v>
          </cell>
          <cell r="B340" t="str">
            <v>AC LINE KIT DOM BOBCAT</v>
          </cell>
        </row>
        <row r="341">
          <cell r="A341" t="str">
            <v>ACLINKIT-I</v>
          </cell>
          <cell r="B341" t="str">
            <v>AC LINE KIT INT HALF BAY</v>
          </cell>
        </row>
        <row r="342">
          <cell r="A342" t="str">
            <v>ADAE273</v>
          </cell>
          <cell r="B342" t="str">
            <v>AVID 146GB BLK RK 2-73GB GEN5</v>
          </cell>
        </row>
        <row r="343">
          <cell r="A343" t="str">
            <v>ARY351A180G</v>
          </cell>
          <cell r="B343" t="str">
            <v>A3500</v>
          </cell>
        </row>
        <row r="344">
          <cell r="A344" t="str">
            <v>ARY353A360G</v>
          </cell>
          <cell r="B344" t="str">
            <v>A3500</v>
          </cell>
        </row>
        <row r="345">
          <cell r="A345" t="str">
            <v>ARY355A2160G</v>
          </cell>
          <cell r="B345" t="str">
            <v>A3500</v>
          </cell>
        </row>
        <row r="346">
          <cell r="A346" t="str">
            <v>AS400-SE-1</v>
          </cell>
          <cell r="B346" t="str">
            <v>AS/400 SCSI EXT 1</v>
          </cell>
        </row>
        <row r="347">
          <cell r="A347" t="str">
            <v>AVID473</v>
          </cell>
          <cell r="B347" t="str">
            <v>292 GB 10K GEN 5 DRIVE (4 PACK)</v>
          </cell>
        </row>
        <row r="348">
          <cell r="A348" t="str">
            <v>AVID73</v>
          </cell>
          <cell r="B348" t="str">
            <v>AVID JBOD Drive 73GB GBN5</v>
          </cell>
        </row>
        <row r="349">
          <cell r="A349" t="str">
            <v>AVPWDOM-47</v>
          </cell>
          <cell r="B349" t="str">
            <v>AV DOMESTIC POWER KIT FC4700</v>
          </cell>
        </row>
        <row r="350">
          <cell r="A350" t="str">
            <v>AVPWDOMDAE</v>
          </cell>
          <cell r="B350" t="str">
            <v>AV DOMESTIC POWER KIT DAE</v>
          </cell>
        </row>
        <row r="351">
          <cell r="A351" t="str">
            <v>AVPWINT-47</v>
          </cell>
          <cell r="B351" t="str">
            <v>AV INT'L POWER KIT FC4700</v>
          </cell>
        </row>
        <row r="352">
          <cell r="A352" t="str">
            <v>AVPWINTDAE</v>
          </cell>
          <cell r="B352" t="str">
            <v>AV INT'L POWER KIT DAE</v>
          </cell>
        </row>
        <row r="353">
          <cell r="A353" t="str">
            <v>BR-12000-0001</v>
          </cell>
          <cell r="B353" t="str">
            <v>64 PORT BROCADE SWITCH</v>
          </cell>
        </row>
        <row r="354">
          <cell r="A354" t="str">
            <v>BR-12000-0002</v>
          </cell>
          <cell r="B354" t="str">
            <v>128 PORT BROCADE SWITCH</v>
          </cell>
        </row>
        <row r="355">
          <cell r="A355" t="str">
            <v>C03054-01</v>
          </cell>
          <cell r="B355" t="str">
            <v>DRV, 18GB GEN 4FC W/CR</v>
          </cell>
        </row>
        <row r="356">
          <cell r="A356" t="str">
            <v>C03055-01</v>
          </cell>
          <cell r="B356" t="str">
            <v>DRV, 73GB GEN 4 FC W/CR</v>
          </cell>
        </row>
        <row r="357">
          <cell r="A357" t="str">
            <v>C03154-01</v>
          </cell>
          <cell r="B357" t="str">
            <v>AVID 36GB BLK DS2-18GB</v>
          </cell>
        </row>
        <row r="358">
          <cell r="A358" t="str">
            <v>C03155-01</v>
          </cell>
          <cell r="B358" t="str">
            <v>AVID 36GB BLK RK 2-18GB</v>
          </cell>
        </row>
        <row r="359">
          <cell r="A359" t="str">
            <v>C03156-01</v>
          </cell>
          <cell r="B359" t="str">
            <v>72GB ADD ON KIT, 4-18GB</v>
          </cell>
        </row>
        <row r="360">
          <cell r="A360" t="str">
            <v>C03157-01</v>
          </cell>
          <cell r="B360" t="str">
            <v>AVID 146GB BLK DS2-73GB</v>
          </cell>
        </row>
        <row r="361">
          <cell r="A361" t="str">
            <v>C03158-01</v>
          </cell>
          <cell r="B361" t="str">
            <v>AVID 146GB BLK RK 2-73GB</v>
          </cell>
        </row>
        <row r="362">
          <cell r="A362" t="str">
            <v>C03159-01</v>
          </cell>
          <cell r="B362" t="str">
            <v>292GB ADD ON KIT, 4-73GB</v>
          </cell>
        </row>
        <row r="363">
          <cell r="A363" t="str">
            <v>C100-FO-SC</v>
          </cell>
          <cell r="B363" t="str">
            <v>100 FT FIBR OPT SC C</v>
          </cell>
        </row>
        <row r="364">
          <cell r="A364" t="str">
            <v>C100-TP-RJ45</v>
          </cell>
          <cell r="B364" t="str">
            <v>ENET 100FT RJ45 TO R</v>
          </cell>
        </row>
        <row r="365">
          <cell r="A365" t="str">
            <v>C10M-50S</v>
          </cell>
          <cell r="B365" t="str">
            <v>10M NAR DIFF SCSI CBL 50 PIN</v>
          </cell>
        </row>
        <row r="366">
          <cell r="A366" t="str">
            <v>C10M-AIT</v>
          </cell>
          <cell r="B366" t="str">
            <v>CBL SCSI SYM TO HP 10M</v>
          </cell>
        </row>
        <row r="367">
          <cell r="A367" t="str">
            <v>C10M-PYR</v>
          </cell>
          <cell r="B367" t="str">
            <v>10M WIDE DIFF SCSI PYRAMID</v>
          </cell>
        </row>
        <row r="368">
          <cell r="A368" t="str">
            <v>C10M-RM1000</v>
          </cell>
          <cell r="B368" t="str">
            <v>10M FWD CBL SNI RM1000</v>
          </cell>
        </row>
        <row r="369">
          <cell r="A369" t="str">
            <v>C10M-SEQ</v>
          </cell>
          <cell r="B369" t="str">
            <v>10M WIDE DIFF SCSI CBL SEQUENT</v>
          </cell>
        </row>
        <row r="370">
          <cell r="A370" t="str">
            <v>C10M-SNI</v>
          </cell>
          <cell r="B370" t="str">
            <v>10M WIDE DIFF SCSI SNI</v>
          </cell>
        </row>
        <row r="371">
          <cell r="A371" t="str">
            <v>C12M-68S</v>
          </cell>
          <cell r="B371" t="str">
            <v>12M WIDE DIFF SCSI CBL 68 PIN</v>
          </cell>
        </row>
        <row r="372">
          <cell r="A372" t="str">
            <v>C12M-AS4</v>
          </cell>
          <cell r="B372" t="str">
            <v>12M WIDE DIFF SCSI CBL IBM AS/400</v>
          </cell>
        </row>
        <row r="373">
          <cell r="A373" t="str">
            <v>C12MINI68S</v>
          </cell>
          <cell r="B373" t="str">
            <v>12M SCSI CBL</v>
          </cell>
        </row>
        <row r="374">
          <cell r="A374" t="str">
            <v>C12M-NCR</v>
          </cell>
          <cell r="B374" t="str">
            <v>12M NCR CBL</v>
          </cell>
        </row>
        <row r="375">
          <cell r="A375" t="str">
            <v>C12M-PCS</v>
          </cell>
          <cell r="B375" t="str">
            <v>12M WIDE DIFF SCSI CBL RS/6000 &amp; SP2</v>
          </cell>
        </row>
        <row r="376">
          <cell r="A376" t="str">
            <v>C12M-SUN</v>
          </cell>
          <cell r="B376" t="str">
            <v>12M SUN PCI UWD SCSI CBL</v>
          </cell>
        </row>
        <row r="377">
          <cell r="A377" t="str">
            <v>C12M-UNI</v>
          </cell>
          <cell r="B377" t="str">
            <v>12 METER FWD CABLE UNISYS</v>
          </cell>
        </row>
        <row r="378">
          <cell r="A378" t="str">
            <v>C15M-NUMA</v>
          </cell>
          <cell r="B378" t="str">
            <v>15M FWD CBL SEQ-NUMA</v>
          </cell>
        </row>
        <row r="379">
          <cell r="A379" t="str">
            <v>C1710FPD-AA</v>
          </cell>
          <cell r="B379" t="str">
            <v>18.0GB 1" FC DSK, 10K</v>
          </cell>
        </row>
        <row r="380">
          <cell r="A380" t="str">
            <v>C1810FPD-AA</v>
          </cell>
          <cell r="B380" t="str">
            <v>18.2GB 1" FC DSK, 10K</v>
          </cell>
        </row>
        <row r="381">
          <cell r="A381" t="str">
            <v>C19M-50S</v>
          </cell>
          <cell r="B381" t="str">
            <v>19M NARR DIFF SCSI CBL 50 PIN</v>
          </cell>
        </row>
        <row r="382">
          <cell r="A382" t="str">
            <v>C19M-68S</v>
          </cell>
          <cell r="B382" t="str">
            <v>19M WIDE DIFF SCSI 68 PIN</v>
          </cell>
        </row>
        <row r="383">
          <cell r="A383" t="str">
            <v>C19M-NCR</v>
          </cell>
          <cell r="B383" t="str">
            <v>19M NCR CBL</v>
          </cell>
        </row>
        <row r="384">
          <cell r="A384" t="str">
            <v>C19M-UNI</v>
          </cell>
          <cell r="B384" t="str">
            <v>19 METER FWD CABLE UNISYS</v>
          </cell>
        </row>
        <row r="385">
          <cell r="A385" t="str">
            <v>C20M-AIT</v>
          </cell>
          <cell r="B385" t="str">
            <v>CBL SCSI SYM TO HP 20M</v>
          </cell>
        </row>
        <row r="386">
          <cell r="A386" t="str">
            <v>C20M-AS4</v>
          </cell>
          <cell r="B386" t="str">
            <v>20M WIDE SCSI CABLEIBM</v>
          </cell>
        </row>
        <row r="387">
          <cell r="A387" t="str">
            <v>C20MINI68S</v>
          </cell>
          <cell r="B387" t="str">
            <v>20 Meter SCSI Cable</v>
          </cell>
        </row>
        <row r="388">
          <cell r="A388" t="str">
            <v>C20M-PYR</v>
          </cell>
          <cell r="B388" t="str">
            <v>20M WIDE DIFF SCSI PYRAMID</v>
          </cell>
        </row>
        <row r="389">
          <cell r="A389" t="str">
            <v>C20M-RM1000</v>
          </cell>
          <cell r="B389" t="str">
            <v>20M FWD CBL SNI RM1000</v>
          </cell>
        </row>
        <row r="390">
          <cell r="A390" t="str">
            <v>C20M-SEQ</v>
          </cell>
          <cell r="B390" t="str">
            <v>20M WIDE DIFF SCSI CBL SEQUENT</v>
          </cell>
        </row>
        <row r="391">
          <cell r="A391" t="str">
            <v>C20M-SNI</v>
          </cell>
          <cell r="B391" t="str">
            <v>20M WIDE DIFF SCSI SNI</v>
          </cell>
        </row>
        <row r="392">
          <cell r="A392" t="str">
            <v>C20M-SUN</v>
          </cell>
          <cell r="B392" t="str">
            <v>20M SUN PCI UWD SCSI CBL</v>
          </cell>
        </row>
        <row r="393">
          <cell r="A393" t="str">
            <v>C25M-68S</v>
          </cell>
          <cell r="B393" t="str">
            <v>25M WIDE DIFF SCSI CBL 68 PIN</v>
          </cell>
        </row>
        <row r="394">
          <cell r="A394" t="str">
            <v>C25M-PCS</v>
          </cell>
          <cell r="B394" t="str">
            <v>25M WIDE DIFF SCSI CBL RS/6000 &amp; SP2</v>
          </cell>
        </row>
        <row r="395">
          <cell r="A395" t="str">
            <v>C2MINI68S</v>
          </cell>
          <cell r="B395" t="str">
            <v>2 METER SCSI CABLE</v>
          </cell>
        </row>
        <row r="396">
          <cell r="A396" t="str">
            <v>C3510-B</v>
          </cell>
          <cell r="B396" t="str">
            <v>36GB fibre channel disk, 10K RPM, 520 byte</v>
          </cell>
        </row>
        <row r="397">
          <cell r="A397" t="str">
            <v>C3510FLD-AA</v>
          </cell>
          <cell r="B397" t="str">
            <v>35.8GB 1" FC DSK, 10K</v>
          </cell>
        </row>
        <row r="398">
          <cell r="A398" t="str">
            <v>C3610FLD-AA</v>
          </cell>
          <cell r="B398" t="str">
            <v>36.0GB 1" FC DSK, 10K</v>
          </cell>
        </row>
        <row r="399">
          <cell r="A399" t="str">
            <v>C3M-NUMA</v>
          </cell>
          <cell r="B399" t="str">
            <v>3M FWD CBL SEQ-NUMA</v>
          </cell>
        </row>
        <row r="400">
          <cell r="A400" t="str">
            <v>C4400C-B</v>
          </cell>
          <cell r="B400" t="str">
            <v>ADD-ON SP</v>
          </cell>
        </row>
        <row r="401">
          <cell r="A401" t="str">
            <v>C4401RP-B</v>
          </cell>
          <cell r="B401" t="str">
            <v>BULL FC4400 RK DPE NON-HA</v>
          </cell>
        </row>
        <row r="402">
          <cell r="A402" t="str">
            <v>C4501DP-B</v>
          </cell>
          <cell r="B402" t="str">
            <v>DPE DESK ISPIPSILCC2GIBCS</v>
          </cell>
        </row>
        <row r="403">
          <cell r="A403" t="str">
            <v>C4501RP-B</v>
          </cell>
          <cell r="B403" t="str">
            <v>FC4400 HA DPE</v>
          </cell>
        </row>
        <row r="404">
          <cell r="A404" t="str">
            <v>C4502DP-B</v>
          </cell>
          <cell r="B404" t="str">
            <v>BULL HA DPE DESKSIDE</v>
          </cell>
        </row>
        <row r="405">
          <cell r="A405" t="str">
            <v>C5001D-B</v>
          </cell>
          <cell r="B405" t="str">
            <v>DAE-10 BASE DESK</v>
          </cell>
        </row>
        <row r="406">
          <cell r="A406" t="str">
            <v>C5001R-B</v>
          </cell>
          <cell r="B406" t="str">
            <v>DAE BASE RACK</v>
          </cell>
        </row>
        <row r="407">
          <cell r="A407" t="str">
            <v>C5003D-B</v>
          </cell>
          <cell r="B407" t="str">
            <v>DAE-30 BASE DESK</v>
          </cell>
        </row>
        <row r="408">
          <cell r="A408" t="str">
            <v>C5051D-B</v>
          </cell>
          <cell r="B408" t="str">
            <v>DAE-10 HA DESK</v>
          </cell>
        </row>
        <row r="409">
          <cell r="A409" t="str">
            <v>C5051R-B</v>
          </cell>
          <cell r="B409" t="str">
            <v>DAE HA RACK</v>
          </cell>
        </row>
        <row r="410">
          <cell r="A410" t="str">
            <v>C5051R-I</v>
          </cell>
          <cell r="B410" t="str">
            <v>DAE RACK HA 10-SLOT</v>
          </cell>
        </row>
        <row r="411">
          <cell r="A411" t="str">
            <v>C5053D-B</v>
          </cell>
          <cell r="B411" t="str">
            <v>DAE-30 HA DESK</v>
          </cell>
        </row>
        <row r="412">
          <cell r="A412" t="str">
            <v>C5201D-B</v>
          </cell>
          <cell r="B412" t="str">
            <v>BASE K110 SLT DESK ISPIPS</v>
          </cell>
        </row>
        <row r="413">
          <cell r="A413" t="str">
            <v>C5201R-B</v>
          </cell>
          <cell r="B413" t="str">
            <v>BASE K110SLT RACK ISPIPS</v>
          </cell>
        </row>
        <row r="414">
          <cell r="A414" t="str">
            <v>C5203D-B</v>
          </cell>
          <cell r="B414" t="str">
            <v>BASE K130 SLT DESK ISPIPS</v>
          </cell>
        </row>
        <row r="415">
          <cell r="A415" t="str">
            <v>C5210D-B</v>
          </cell>
          <cell r="B415" t="str">
            <v>K1 DESK ISPIPS MAX 10 DRV</v>
          </cell>
        </row>
        <row r="416">
          <cell r="A416" t="str">
            <v>C5210R-B</v>
          </cell>
          <cell r="B416" t="str">
            <v>K1 RACK ISPIPS NEG 10 DRV</v>
          </cell>
        </row>
        <row r="417">
          <cell r="A417" t="str">
            <v>C5301D-B</v>
          </cell>
          <cell r="B417" t="str">
            <v>HA K1 10 SLT DESK 2SP 2PS</v>
          </cell>
        </row>
        <row r="418">
          <cell r="A418" t="str">
            <v>C5301R-B</v>
          </cell>
          <cell r="B418" t="str">
            <v>HA K1 10 SLT RACK 2SP 2PS</v>
          </cell>
        </row>
        <row r="419">
          <cell r="A419" t="str">
            <v>C5303D-B</v>
          </cell>
          <cell r="B419" t="str">
            <v>HA K1 30 SLT DESK 2SP 2PS</v>
          </cell>
        </row>
        <row r="420">
          <cell r="A420" t="str">
            <v>C5310D-B</v>
          </cell>
          <cell r="B420" t="str">
            <v>K1 HA DESK 2SP 2PS 10 DRV</v>
          </cell>
        </row>
        <row r="421">
          <cell r="A421" t="str">
            <v>C5310R-B</v>
          </cell>
          <cell r="B421" t="str">
            <v>K1HA RACK 2SP2PS MAX10DRV</v>
          </cell>
        </row>
        <row r="422">
          <cell r="A422" t="str">
            <v>C5600C-AA</v>
          </cell>
          <cell r="B422" t="str">
            <v>ADD-ON C5600C SP</v>
          </cell>
        </row>
        <row r="423">
          <cell r="A423" t="str">
            <v>C5600C-B</v>
          </cell>
          <cell r="B423" t="str">
            <v>ADD-ON SP FOR DPE/DENALI</v>
          </cell>
        </row>
        <row r="424">
          <cell r="A424" t="str">
            <v>C5601R-B</v>
          </cell>
          <cell r="B424" t="str">
            <v>DPE DENALI BASE RACK</v>
          </cell>
        </row>
        <row r="425">
          <cell r="A425" t="str">
            <v>C5602D-B</v>
          </cell>
          <cell r="B425" t="str">
            <v>DPE DENALI BASE DESK</v>
          </cell>
        </row>
        <row r="426">
          <cell r="A426" t="str">
            <v>C5701R-B</v>
          </cell>
          <cell r="B426" t="str">
            <v>DPE DENALI HA RACK</v>
          </cell>
        </row>
        <row r="427">
          <cell r="A427" t="str">
            <v>C5701R-I</v>
          </cell>
          <cell r="B427" t="str">
            <v>DPE RACK HA 10-SLOT</v>
          </cell>
        </row>
        <row r="428">
          <cell r="A428" t="str">
            <v>C5702D-B</v>
          </cell>
          <cell r="B428" t="str">
            <v>DPE DENALI HA DESK</v>
          </cell>
        </row>
        <row r="429">
          <cell r="A429" t="str">
            <v>C5H010-R18</v>
          </cell>
          <cell r="B429" t="str">
            <v>DUAL FC HUB RACK 9PORT</v>
          </cell>
        </row>
        <row r="430">
          <cell r="A430" t="str">
            <v>C5H01D-V</v>
          </cell>
          <cell r="B430" t="str">
            <v>FC HUB DESK 9 DB9 PORTS</v>
          </cell>
        </row>
        <row r="431">
          <cell r="A431" t="str">
            <v>C5M-50S</v>
          </cell>
          <cell r="B431" t="str">
            <v>5M NAR DIFF SCSI 50 PIN</v>
          </cell>
        </row>
        <row r="432">
          <cell r="A432" t="str">
            <v>C5M-AIT</v>
          </cell>
          <cell r="B432" t="str">
            <v>CBL SCSI SYM TO HP 5M</v>
          </cell>
        </row>
        <row r="433">
          <cell r="A433" t="str">
            <v>C5M-PYR</v>
          </cell>
          <cell r="B433" t="str">
            <v>5M WIDE DIFF SCSI PYRAMID</v>
          </cell>
        </row>
        <row r="434">
          <cell r="A434" t="str">
            <v>C5M-RM1000</v>
          </cell>
          <cell r="B434" t="str">
            <v>5M FWD CBL SNI RM1000</v>
          </cell>
        </row>
        <row r="435">
          <cell r="A435" t="str">
            <v>C5M-SEQ</v>
          </cell>
          <cell r="B435" t="str">
            <v>5M WIDE DIFF SCSI CBL SEQUENT</v>
          </cell>
        </row>
        <row r="436">
          <cell r="A436" t="str">
            <v>C5M-SNI</v>
          </cell>
          <cell r="B436" t="str">
            <v>5M WIDE DIFF SCSI SNI</v>
          </cell>
        </row>
        <row r="437">
          <cell r="A437" t="str">
            <v>C6M-68S</v>
          </cell>
          <cell r="B437" t="str">
            <v>6M WIDE DIFF SCSI CBL 68 PIN</v>
          </cell>
        </row>
        <row r="438">
          <cell r="A438" t="str">
            <v>C6M-AS4</v>
          </cell>
          <cell r="B438" t="str">
            <v>6M WIDE SCSI CBL</v>
          </cell>
        </row>
        <row r="439">
          <cell r="A439" t="str">
            <v>C6MINI68S</v>
          </cell>
          <cell r="B439" t="str">
            <v>6M SCSI CBL</v>
          </cell>
        </row>
        <row r="440">
          <cell r="A440" t="str">
            <v>C6M-NCR</v>
          </cell>
          <cell r="B440" t="str">
            <v>6M NCR CBL</v>
          </cell>
        </row>
        <row r="441">
          <cell r="A441" t="str">
            <v>C6M-PCS</v>
          </cell>
          <cell r="B441" t="str">
            <v>6M WIDE DIFF SCSI  RS/6000 &amp; SP2</v>
          </cell>
        </row>
        <row r="442">
          <cell r="A442" t="str">
            <v>C6M-SUN</v>
          </cell>
          <cell r="B442" t="str">
            <v>6M SUN PCI UWD SCSI CBL</v>
          </cell>
        </row>
        <row r="443">
          <cell r="A443" t="str">
            <v>C6M-UNI</v>
          </cell>
          <cell r="B443" t="str">
            <v>6 METER FWD CABLE UNISYS</v>
          </cell>
        </row>
        <row r="444">
          <cell r="A444" t="str">
            <v>C72001G-B</v>
          </cell>
          <cell r="B444" t="str">
            <v>ADD-ON SP FOR K1</v>
          </cell>
        </row>
        <row r="445">
          <cell r="A445" t="str">
            <v>C72010G-B</v>
          </cell>
          <cell r="B445" t="str">
            <v>K1 ADD-ON SP MAX 10 DRV</v>
          </cell>
        </row>
        <row r="446">
          <cell r="A446" t="str">
            <v>C72064G-AA</v>
          </cell>
          <cell r="B446" t="str">
            <v>64MB CACHE DIMM FC5300</v>
          </cell>
        </row>
        <row r="447">
          <cell r="A447" t="str">
            <v>C7210-B</v>
          </cell>
          <cell r="B447" t="str">
            <v>73GB fibre channel disk, 10K RPM, 520 byte</v>
          </cell>
        </row>
        <row r="448">
          <cell r="A448" t="str">
            <v>C7210FD-AA</v>
          </cell>
          <cell r="B448" t="str">
            <v>73GB 1.6" FC DSK, 10K</v>
          </cell>
        </row>
        <row r="449">
          <cell r="A449" t="str">
            <v>C7210G-B</v>
          </cell>
          <cell r="B449" t="str">
            <v>1ST SPS FOR RCK 5300 400W</v>
          </cell>
        </row>
        <row r="450">
          <cell r="A450" t="str">
            <v>C7211G-AA</v>
          </cell>
          <cell r="B450" t="str">
            <v>2ND SPS FOR RCK 5300 400W</v>
          </cell>
        </row>
        <row r="451">
          <cell r="A451" t="str">
            <v>C72128G-AA</v>
          </cell>
          <cell r="B451" t="str">
            <v>128MB CACHE DIMM FC5300</v>
          </cell>
        </row>
        <row r="452">
          <cell r="A452" t="str">
            <v>C7212G-AA</v>
          </cell>
          <cell r="B452" t="str">
            <v>1 OR 1 SPS FOR DESK 5300</v>
          </cell>
        </row>
        <row r="453">
          <cell r="A453" t="str">
            <v>C7214G-B</v>
          </cell>
          <cell r="B453" t="str">
            <v>DUAL SPS RACK 5300 400W</v>
          </cell>
        </row>
        <row r="454">
          <cell r="A454" t="str">
            <v>C7215G-AA</v>
          </cell>
          <cell r="B454" t="str">
            <v>DUAL SPS DESK 5300 400W</v>
          </cell>
        </row>
        <row r="455">
          <cell r="A455" t="str">
            <v>C7222G-AA</v>
          </cell>
          <cell r="B455" t="str">
            <v>ADD-ON PS FC5300 &amp; DAE</v>
          </cell>
        </row>
        <row r="456">
          <cell r="A456" t="str">
            <v>C7310FD-AA</v>
          </cell>
          <cell r="B456" t="str">
            <v>73GB 1.6" FC DSK, 10K</v>
          </cell>
        </row>
        <row r="457">
          <cell r="A457" t="str">
            <v>C7311G-AA</v>
          </cell>
          <cell r="B457" t="str">
            <v>DAE LCC CARD</v>
          </cell>
        </row>
        <row r="458">
          <cell r="A458" t="str">
            <v>C73128G-AA</v>
          </cell>
          <cell r="B458" t="str">
            <v>DUAL 128MB DIMM FC5300</v>
          </cell>
        </row>
        <row r="459">
          <cell r="A459" t="str">
            <v>C7315G-A</v>
          </cell>
          <cell r="B459" t="str">
            <v>ADD-ON PDU WIDE DAE/DPE</v>
          </cell>
        </row>
        <row r="460">
          <cell r="A460" t="str">
            <v>C7320G-AA</v>
          </cell>
          <cell r="B460" t="str">
            <v>DPE LCC CARD</v>
          </cell>
        </row>
        <row r="461">
          <cell r="A461" t="str">
            <v>C7321G-AA</v>
          </cell>
          <cell r="B461" t="str">
            <v>DPE Rail kit for EMC Rack</v>
          </cell>
        </row>
        <row r="462">
          <cell r="A462" t="str">
            <v>C7322G-AA</v>
          </cell>
          <cell r="B462" t="str">
            <v>DPE POWER SUPPLY</v>
          </cell>
        </row>
        <row r="463">
          <cell r="A463" t="str">
            <v>C76064G-AA</v>
          </cell>
          <cell r="B463" t="str">
            <v>64MB CACHE - 2X32MB DIMMS</v>
          </cell>
        </row>
        <row r="464">
          <cell r="A464" t="str">
            <v>C76128G-AA</v>
          </cell>
          <cell r="B464" t="str">
            <v>128MB CACHE 4.32MB DIMMS</v>
          </cell>
        </row>
        <row r="465">
          <cell r="A465" t="str">
            <v>C76256G-AA</v>
          </cell>
          <cell r="B465" t="str">
            <v>256MB CACHE 2X128MB DIMMS</v>
          </cell>
        </row>
        <row r="466">
          <cell r="A466" t="str">
            <v>C76512G-AA</v>
          </cell>
          <cell r="B466" t="str">
            <v>512MB CACHE 4.128MB DIMMS</v>
          </cell>
        </row>
        <row r="467">
          <cell r="A467" t="str">
            <v>C7680G-AA</v>
          </cell>
          <cell r="B467" t="str">
            <v>DAE RACK KIT</v>
          </cell>
        </row>
        <row r="468">
          <cell r="A468" t="str">
            <v>C7680G-I</v>
          </cell>
          <cell r="B468" t="str">
            <v>DAE RAIL KIT</v>
          </cell>
        </row>
        <row r="469">
          <cell r="A469" t="str">
            <v>C7681G-I</v>
          </cell>
          <cell r="B469" t="str">
            <v>DPE RAIL KIT</v>
          </cell>
        </row>
        <row r="470">
          <cell r="A470" t="str">
            <v>C77064G-AA</v>
          </cell>
          <cell r="B470" t="str">
            <v>64MB CACHE 2X32MB DIMMS</v>
          </cell>
        </row>
        <row r="471">
          <cell r="A471" t="str">
            <v>C77128G-AA</v>
          </cell>
          <cell r="B471" t="str">
            <v>128MB CACHE 4X32MB DIMMS</v>
          </cell>
        </row>
        <row r="472">
          <cell r="A472" t="str">
            <v>C77256G-AA</v>
          </cell>
          <cell r="B472" t="str">
            <v>256MB CACHE 2X128MB DIMMS</v>
          </cell>
        </row>
        <row r="473">
          <cell r="A473" t="str">
            <v>C77512G-AA</v>
          </cell>
          <cell r="B473" t="str">
            <v>512MB CACHE 4X128MB DIMMS</v>
          </cell>
        </row>
        <row r="474">
          <cell r="A474" t="str">
            <v>C7810G-B</v>
          </cell>
          <cell r="B474" t="str">
            <v>BASE DPE RACK SPS W/KIT</v>
          </cell>
        </row>
        <row r="475">
          <cell r="A475" t="str">
            <v>C7810G-II</v>
          </cell>
          <cell r="B475" t="str">
            <v>BASE DPE RACK SPS W/ KIT</v>
          </cell>
        </row>
        <row r="476">
          <cell r="A476" t="str">
            <v>C7810M-I</v>
          </cell>
          <cell r="B476" t="str">
            <v>SHORT SPS RACK KIT</v>
          </cell>
        </row>
        <row r="477">
          <cell r="A477" t="str">
            <v>C7811G-AA</v>
          </cell>
          <cell r="B477" t="str">
            <v>ADD-ON DPE RACK SPS NO K</v>
          </cell>
        </row>
        <row r="478">
          <cell r="A478" t="str">
            <v>C78128G-AA</v>
          </cell>
          <cell r="B478" t="str">
            <v>256MB CACHE 128MB DIMM</v>
          </cell>
        </row>
        <row r="479">
          <cell r="A479" t="str">
            <v>C7812G-AA</v>
          </cell>
          <cell r="B479" t="str">
            <v>BASE OR ADD-ON DPE DESK</v>
          </cell>
        </row>
        <row r="480">
          <cell r="A480" t="str">
            <v>C7814G-AA</v>
          </cell>
          <cell r="B480" t="str">
            <v>SPS Rail Kit for EMC Clariion rack</v>
          </cell>
        </row>
        <row r="481">
          <cell r="A481" t="str">
            <v>C7814G-B</v>
          </cell>
          <cell r="B481" t="str">
            <v>DUAL DPE RACK SPS W/KIT</v>
          </cell>
        </row>
        <row r="482">
          <cell r="A482" t="str">
            <v>C7814G-I</v>
          </cell>
          <cell r="B482" t="str">
            <v>DUAL SPS&amp; SHORT TRAY ASSY</v>
          </cell>
        </row>
        <row r="483">
          <cell r="A483" t="str">
            <v>C7815G-AA</v>
          </cell>
          <cell r="B483" t="str">
            <v>DUAL DPE DESK SPS W/KIT</v>
          </cell>
        </row>
        <row r="484">
          <cell r="A484" t="str">
            <v>C78256G-AA</v>
          </cell>
          <cell r="B484" t="str">
            <v>512MB CACHE 256MB DIMM</v>
          </cell>
        </row>
        <row r="485">
          <cell r="A485" t="str">
            <v>C78512G-AA</v>
          </cell>
          <cell r="B485" t="str">
            <v>1024MB CACHE 2X256MB DIM</v>
          </cell>
        </row>
        <row r="486">
          <cell r="A486" t="str">
            <v>C7M-NUMA</v>
          </cell>
          <cell r="B486" t="str">
            <v>7M FWD CBL SEQ-NUMA</v>
          </cell>
        </row>
        <row r="487">
          <cell r="A487" t="str">
            <v>CAT5CBL100</v>
          </cell>
          <cell r="B487" t="str">
            <v>Two 100ft (yellow) Cat 5 LAN cables for connecting</v>
          </cell>
        </row>
        <row r="488">
          <cell r="A488" t="str">
            <v>CAT5CBL25</v>
          </cell>
          <cell r="B488" t="str">
            <v xml:space="preserve">Two 25ft (yellow) Cat 5 LAN cables for connecting </v>
          </cell>
        </row>
        <row r="489">
          <cell r="A489" t="str">
            <v>CAT6CBL15</v>
          </cell>
          <cell r="B489" t="str">
            <v>Two 15ft (brown) Cat 6 LAN cables for interconnect</v>
          </cell>
        </row>
        <row r="490">
          <cell r="A490" t="str">
            <v>CAT6CBL70</v>
          </cell>
          <cell r="B490" t="str">
            <v>Two 70ft (brown) Cat 6 LAN cables for interconnect</v>
          </cell>
        </row>
        <row r="491">
          <cell r="A491" t="str">
            <v>C-FOS-SC</v>
          </cell>
          <cell r="B491" t="str">
            <v>FIBR OPT SPLITTER SC</v>
          </cell>
        </row>
        <row r="492">
          <cell r="A492" t="str">
            <v>CFS-14</v>
          </cell>
          <cell r="B492" t="str">
            <v>CAB W/1-14 DATA MOVERS</v>
          </cell>
        </row>
        <row r="493">
          <cell r="A493" t="str">
            <v>CFS-14-PWRS-U</v>
          </cell>
          <cell r="B493" t="str">
            <v>CFS-14 Power Supply Upgrade</v>
          </cell>
        </row>
        <row r="494">
          <cell r="A494" t="str">
            <v>CFS-DCKIT</v>
          </cell>
          <cell r="B494" t="str">
            <v>DUAL CS MODEM CABLE KIT</v>
          </cell>
        </row>
        <row r="495">
          <cell r="A495" t="str">
            <v>CFS-EPO-6-U</v>
          </cell>
          <cell r="B495" t="str">
            <v>CFS-14 6 Breaker EPO Upgrade</v>
          </cell>
        </row>
        <row r="496">
          <cell r="A496" t="str">
            <v>CFS-INST-DOM</v>
          </cell>
          <cell r="B496" t="str">
            <v>CFS INSTALL KIT DOM</v>
          </cell>
        </row>
        <row r="497">
          <cell r="A497" t="str">
            <v>CFS-INST-INTL</v>
          </cell>
          <cell r="B497" t="str">
            <v>CFS INSTALL KIT INTL</v>
          </cell>
        </row>
        <row r="498">
          <cell r="A498" t="str">
            <v>CFS-SE</v>
          </cell>
          <cell r="B498" t="str">
            <v>CAB W/1-4 DATA MOVERS</v>
          </cell>
        </row>
        <row r="499">
          <cell r="A499" t="str">
            <v>CFS-SE-1000E</v>
          </cell>
          <cell r="B499" t="str">
            <v>CFS-SE 1.2TB R1 2QUAD ENET</v>
          </cell>
        </row>
        <row r="500">
          <cell r="A500" t="str">
            <v>CFS-SE-1000G</v>
          </cell>
          <cell r="B500" t="str">
            <v>CFS-SE 1.2TB R1 2GB ENET</v>
          </cell>
        </row>
        <row r="501">
          <cell r="A501" t="str">
            <v>CFS-SE-1001E</v>
          </cell>
          <cell r="B501" t="str">
            <v>CFS-SE5 1.45TB R1 2QUADE</v>
          </cell>
        </row>
        <row r="502">
          <cell r="A502" t="str">
            <v>CFS-SE-1001G</v>
          </cell>
          <cell r="B502" t="str">
            <v>CFS-SE5 1.45TB R1 2GIGE</v>
          </cell>
        </row>
        <row r="503">
          <cell r="A503" t="str">
            <v>CFS-SE5</v>
          </cell>
          <cell r="B503" t="str">
            <v>CELERRA SE W/ 5.0 SYMM</v>
          </cell>
        </row>
        <row r="504">
          <cell r="A504" t="str">
            <v>CFS-SE-501E</v>
          </cell>
          <cell r="B504" t="str">
            <v>CFS-SE 580GB R1 2 QUAD ENET</v>
          </cell>
        </row>
        <row r="505">
          <cell r="A505" t="str">
            <v>CFS-SE-501G</v>
          </cell>
          <cell r="B505" t="str">
            <v>CFS-SE 580GB R1 2GB ENET</v>
          </cell>
        </row>
        <row r="506">
          <cell r="A506" t="str">
            <v>CFS-SE-502E</v>
          </cell>
          <cell r="B506" t="str">
            <v>CFS-SE5 580GB R1 2QUADE</v>
          </cell>
        </row>
        <row r="507">
          <cell r="A507" t="str">
            <v>CFS-SE-502G</v>
          </cell>
          <cell r="B507" t="str">
            <v>CFS-SE5 580GB R1 2GIGE</v>
          </cell>
        </row>
        <row r="508">
          <cell r="A508" t="str">
            <v>CIENA</v>
          </cell>
          <cell r="B508" t="str">
            <v>CIENA EQUIPMENT</v>
          </cell>
        </row>
        <row r="509">
          <cell r="A509" t="str">
            <v>C-MODEM-US</v>
          </cell>
          <cell r="B509" t="str">
            <v>CLARIION SERVICE MODEM-US</v>
          </cell>
        </row>
        <row r="510">
          <cell r="A510" t="str">
            <v>CMS-14</v>
          </cell>
          <cell r="B510" t="str">
            <v>CMS DM CAB 7 TO 14</v>
          </cell>
        </row>
        <row r="511">
          <cell r="A511" t="str">
            <v>CMS-INST-DOM</v>
          </cell>
          <cell r="B511" t="str">
            <v>FILE MEDIA INSTALL K</v>
          </cell>
        </row>
        <row r="512">
          <cell r="A512" t="str">
            <v>CMS-INST-INTL</v>
          </cell>
          <cell r="B512" t="str">
            <v>FILE MEDIA INSTALL K</v>
          </cell>
        </row>
        <row r="513">
          <cell r="A513" t="str">
            <v>CMS-SE</v>
          </cell>
          <cell r="B513" t="str">
            <v>NMSB 208</v>
          </cell>
        </row>
        <row r="514">
          <cell r="A514" t="str">
            <v>CNR5TB</v>
          </cell>
          <cell r="B514" t="str">
            <v>5TB raw capacity expansion increment for Centera (</v>
          </cell>
        </row>
        <row r="515">
          <cell r="A515" t="str">
            <v>CNR5TBUP</v>
          </cell>
          <cell r="B515" t="str">
            <v>Field Upgrade 5TB raw capacity of Centera (8U requ</v>
          </cell>
        </row>
        <row r="516">
          <cell r="A516" t="str">
            <v>CNRGBECON</v>
          </cell>
          <cell r="B516" t="str">
            <v>Centera Inter-Rack Expansion kit. Includes 4Gigabi</v>
          </cell>
        </row>
        <row r="517">
          <cell r="A517" t="str">
            <v>CNRMOD-US</v>
          </cell>
          <cell r="B517" t="str">
            <v>Centera Remote Access Modem for N. America only</v>
          </cell>
        </row>
        <row r="518">
          <cell r="A518" t="str">
            <v>CNRRK10TB</v>
          </cell>
          <cell r="B518" t="str">
            <v>Centera 40U (6ft) Cabinet configured with 10TB raw</v>
          </cell>
        </row>
        <row r="519">
          <cell r="A519" t="str">
            <v>CNRRTSWCH</v>
          </cell>
          <cell r="B519" t="str">
            <v>Dual 8-port Gigabit Ethernet switches for intercon</v>
          </cell>
        </row>
        <row r="520">
          <cell r="A520" t="str">
            <v>CNT</v>
          </cell>
          <cell r="B520" t="str">
            <v>CNT Channel Extenders</v>
          </cell>
        </row>
        <row r="521">
          <cell r="A521" t="str">
            <v>CNT2</v>
          </cell>
          <cell r="B521" t="str">
            <v>CNT CHANNEL EXTENDERS</v>
          </cell>
        </row>
        <row r="522">
          <cell r="A522" t="str">
            <v>C-PH-CABLE</v>
          </cell>
          <cell r="B522" t="str">
            <v>SERVICE CABLE, PHONE HOME SOFTWARE</v>
          </cell>
        </row>
        <row r="523">
          <cell r="A523" t="str">
            <v>CR4200-DF</v>
          </cell>
          <cell r="B523" t="str">
            <v>FIBRE TO SCSI BRIDGE</v>
          </cell>
        </row>
        <row r="524">
          <cell r="A524" t="str">
            <v>CR4250</v>
          </cell>
          <cell r="B524" t="str">
            <v>CROSSROADS BRIDGE</v>
          </cell>
        </row>
        <row r="525">
          <cell r="A525" t="str">
            <v>CR4450</v>
          </cell>
          <cell r="B525" t="str">
            <v>CROSSROADS BRIDGE</v>
          </cell>
        </row>
        <row r="526">
          <cell r="A526" t="str">
            <v>CS7-S-E-TC</v>
          </cell>
          <cell r="B526" t="str">
            <v>BULL DP3-FCD8</v>
          </cell>
        </row>
        <row r="527">
          <cell r="A527" t="str">
            <v>CS-F-E</v>
          </cell>
          <cell r="B527" t="str">
            <v>CS-FIBRE, ENET</v>
          </cell>
        </row>
        <row r="528">
          <cell r="A528" t="str">
            <v>CS-F-E-U</v>
          </cell>
          <cell r="B528" t="str">
            <v>CS-FIBRE, ENET</v>
          </cell>
        </row>
        <row r="529">
          <cell r="A529" t="str">
            <v>CS-S-E</v>
          </cell>
          <cell r="B529" t="str">
            <v>CNTRL STATION - SCSI, ENET</v>
          </cell>
        </row>
        <row r="530">
          <cell r="A530" t="str">
            <v>CS-S-E-U</v>
          </cell>
          <cell r="B530" t="str">
            <v>CNTRL STATION - SCSI, ENET</v>
          </cell>
        </row>
        <row r="531">
          <cell r="A531" t="str">
            <v>C-YCABLE</v>
          </cell>
          <cell r="B531" t="str">
            <v>WIDE DIFF.SCSI Y CABLE</v>
          </cell>
        </row>
        <row r="532">
          <cell r="A532" t="str">
            <v>CY-IBM</v>
          </cell>
          <cell r="B532" t="str">
            <v>IBM CLUSTER "Y" CBL</v>
          </cell>
        </row>
        <row r="533">
          <cell r="A533" t="str">
            <v>CY-MULTI</v>
          </cell>
          <cell r="B533" t="str">
            <v>MULTI-HOST CLUSTER "Y" CBL</v>
          </cell>
        </row>
        <row r="534">
          <cell r="A534" t="str">
            <v>CY-SEQ</v>
          </cell>
          <cell r="B534" t="str">
            <v>SEQUENT CLUSTER "Y" CBL</v>
          </cell>
        </row>
        <row r="535">
          <cell r="A535" t="str">
            <v>D0-2F-2E4</v>
          </cell>
          <cell r="B535" t="str">
            <v>DM 2xFibre, 2xQuadE</v>
          </cell>
        </row>
        <row r="536">
          <cell r="A536" t="str">
            <v>D0-2F-2E4-2G</v>
          </cell>
          <cell r="B536" t="str">
            <v>DM 2xFibre, 2xQuadE, 2xGbE</v>
          </cell>
        </row>
        <row r="537">
          <cell r="A537" t="str">
            <v>D0-2F-2E4-2GU</v>
          </cell>
          <cell r="B537" t="str">
            <v>DM 2xFibre, 2xQuadE, 2xGbE, Upgrade</v>
          </cell>
        </row>
        <row r="538">
          <cell r="A538" t="str">
            <v>D0-2F-2G</v>
          </cell>
          <cell r="B538" t="str">
            <v>DM 2xFibre, 2xGbE</v>
          </cell>
        </row>
        <row r="539">
          <cell r="A539" t="str">
            <v>D0-2F-3E4</v>
          </cell>
          <cell r="B539" t="str">
            <v>DM 2xFibre, 2xQuadE</v>
          </cell>
        </row>
        <row r="540">
          <cell r="A540" t="str">
            <v>D0-2F-3G</v>
          </cell>
          <cell r="B540" t="str">
            <v>DM 2xFibre, 3xGbE</v>
          </cell>
        </row>
        <row r="541">
          <cell r="A541" t="str">
            <v>D0-2S-2E4</v>
          </cell>
          <cell r="B541" t="str">
            <v>DM 2xSCSI, 2xQuadE</v>
          </cell>
        </row>
        <row r="542">
          <cell r="A542" t="str">
            <v>D0-2S-2E4-2G</v>
          </cell>
          <cell r="B542" t="str">
            <v>DM 2xSCSI, 2xQuadE, 2xGbE</v>
          </cell>
        </row>
        <row r="543">
          <cell r="A543" t="str">
            <v>D0-2S-2G</v>
          </cell>
          <cell r="B543" t="str">
            <v>DM 2xSCSI, 2xGbE</v>
          </cell>
        </row>
        <row r="544">
          <cell r="A544" t="str">
            <v>D0-2S-3E4</v>
          </cell>
          <cell r="B544" t="str">
            <v>DM 2xSCSI, 2xQuadE</v>
          </cell>
        </row>
        <row r="545">
          <cell r="A545" t="str">
            <v>D0-2S-3G</v>
          </cell>
          <cell r="B545" t="str">
            <v>DM 2xSCSI, 2xGbE</v>
          </cell>
        </row>
        <row r="546">
          <cell r="A546" t="str">
            <v>D0-F-2E4</v>
          </cell>
          <cell r="B546" t="str">
            <v>DM Fibre, 2xQuadE</v>
          </cell>
        </row>
        <row r="547">
          <cell r="A547" t="str">
            <v>D0-F-2E4-2G</v>
          </cell>
          <cell r="B547" t="str">
            <v>DM Fibre, 2xQuadE, 2xGbE</v>
          </cell>
        </row>
        <row r="548">
          <cell r="A548" t="str">
            <v>D0-F-2E4-2G-U</v>
          </cell>
          <cell r="B548" t="str">
            <v>DM Fibre, 2xQuadE, 2xGbE, Upgrade</v>
          </cell>
        </row>
        <row r="549">
          <cell r="A549" t="str">
            <v>D0-F-2G</v>
          </cell>
          <cell r="B549" t="str">
            <v>DM Fibre, 2xGbE</v>
          </cell>
        </row>
        <row r="550">
          <cell r="A550" t="str">
            <v>D0-F-3E4</v>
          </cell>
          <cell r="B550" t="str">
            <v>DM Fibre, 3xQuadE</v>
          </cell>
        </row>
        <row r="551">
          <cell r="A551" t="str">
            <v>D0-F-3G</v>
          </cell>
          <cell r="B551" t="str">
            <v>DM Fibre, 3xGbE</v>
          </cell>
        </row>
        <row r="552">
          <cell r="A552" t="str">
            <v>D0-FS-2E4</v>
          </cell>
          <cell r="B552" t="str">
            <v>DM Fibre, SCSI, 2xQuadE</v>
          </cell>
        </row>
        <row r="553">
          <cell r="A553" t="str">
            <v>D0-FS-2E4-2G</v>
          </cell>
          <cell r="B553" t="str">
            <v>DM Fibre, SCSI, 2xQuadE, 2xGbE</v>
          </cell>
        </row>
        <row r="554">
          <cell r="A554" t="str">
            <v>D0-FS-2G</v>
          </cell>
          <cell r="B554" t="str">
            <v>DM Fibre, SCSI, 2xGbE</v>
          </cell>
        </row>
        <row r="555">
          <cell r="A555" t="str">
            <v>D0-FS-3E4</v>
          </cell>
          <cell r="B555" t="str">
            <v>DM Fibre, SCSI, 3xQuadE</v>
          </cell>
        </row>
        <row r="556">
          <cell r="A556" t="str">
            <v>D0-FS-3G</v>
          </cell>
          <cell r="B556" t="str">
            <v>DM Fibre, SCSI, 3xGbE</v>
          </cell>
        </row>
        <row r="557">
          <cell r="A557" t="str">
            <v>D0-SF-2E4</v>
          </cell>
          <cell r="B557" t="str">
            <v>DM SCSI, Fibre, 2xQuadE</v>
          </cell>
        </row>
        <row r="558">
          <cell r="A558" t="str">
            <v>D0-SF-2E4-2G</v>
          </cell>
          <cell r="B558" t="str">
            <v>DM SCSI, Fibre, 2xQuadE, 2xGbE</v>
          </cell>
        </row>
        <row r="559">
          <cell r="A559" t="str">
            <v>D0-SF-2G</v>
          </cell>
          <cell r="B559" t="str">
            <v>DM SCSI, Fibre, 2xGbE</v>
          </cell>
        </row>
        <row r="560">
          <cell r="A560" t="str">
            <v>D0-SF-3E4</v>
          </cell>
          <cell r="B560" t="str">
            <v>DM SCSI, Fibre, 3xQuadE</v>
          </cell>
        </row>
        <row r="561">
          <cell r="A561" t="str">
            <v>D0-SF-3G</v>
          </cell>
          <cell r="B561" t="str">
            <v>DM SCSI, Fibre, 3xGbE</v>
          </cell>
        </row>
        <row r="562">
          <cell r="A562" t="str">
            <v>DAE</v>
          </cell>
          <cell r="B562" t="str">
            <v>ARRAY EXPANSION (FACTORY INSTALL)</v>
          </cell>
        </row>
        <row r="563">
          <cell r="A563" t="str">
            <v>DAE-DE</v>
          </cell>
          <cell r="B563" t="str">
            <v>DE DAE FIELD UPGRADE</v>
          </cell>
        </row>
        <row r="564">
          <cell r="A564" t="str">
            <v>DAEFLD</v>
          </cell>
          <cell r="B564" t="str">
            <v>ARRAY EXPANSION (FIELD INSTALL)</v>
          </cell>
        </row>
        <row r="565">
          <cell r="A565" t="str">
            <v>DAELCC</v>
          </cell>
          <cell r="B565" t="str">
            <v>DAE LINK CONTROL CARD</v>
          </cell>
        </row>
        <row r="566">
          <cell r="A566" t="str">
            <v>DAEPS</v>
          </cell>
          <cell r="B566" t="str">
            <v>DAE/FC5300 POWER SUPPLY</v>
          </cell>
        </row>
        <row r="567">
          <cell r="A567" t="str">
            <v>DB9-SERIAL</v>
          </cell>
          <cell r="B567" t="str">
            <v>DB9 DIAG SERIAL CABLE</v>
          </cell>
        </row>
        <row r="568">
          <cell r="A568" t="str">
            <v>DECKZPBA-CA</v>
          </cell>
          <cell r="B568" t="str">
            <v>PCI CONTROLLER</v>
          </cell>
        </row>
        <row r="569">
          <cell r="A569" t="str">
            <v>DECKZPBA-CB</v>
          </cell>
          <cell r="B569" t="str">
            <v>ULTRA SCSI ADAPTER</v>
          </cell>
        </row>
        <row r="570">
          <cell r="A570" t="str">
            <v>DECKZPSA</v>
          </cell>
          <cell r="B570" t="str">
            <v>DIGITAL SCSI KZPSA-BB</v>
          </cell>
        </row>
        <row r="571">
          <cell r="A571" t="str">
            <v>DELL</v>
          </cell>
          <cell r="B571" t="str">
            <v>DELL EQUIPMENT</v>
          </cell>
        </row>
        <row r="572">
          <cell r="A572" t="str">
            <v>DELL2</v>
          </cell>
          <cell r="B572" t="str">
            <v>DELL EQUIPMENT</v>
          </cell>
        </row>
        <row r="573">
          <cell r="A573" t="str">
            <v>DELL3</v>
          </cell>
          <cell r="B573" t="str">
            <v>DELL EQUIPMENT</v>
          </cell>
        </row>
        <row r="574">
          <cell r="A574" t="str">
            <v>DELL4</v>
          </cell>
          <cell r="B574" t="str">
            <v>DELL EQUIPMENT</v>
          </cell>
        </row>
        <row r="575">
          <cell r="A575" t="str">
            <v>DELL5</v>
          </cell>
          <cell r="B575" t="str">
            <v>DELL EQUIPMENT</v>
          </cell>
        </row>
        <row r="576">
          <cell r="A576" t="str">
            <v>DGC4GB</v>
          </cell>
          <cell r="B576" t="str">
            <v>CLARION 4 GB DRIVE</v>
          </cell>
        </row>
        <row r="577">
          <cell r="A577" t="str">
            <v>DGC9GB</v>
          </cell>
          <cell r="B577" t="str">
            <v>CLARION 9GB DRIVE</v>
          </cell>
        </row>
        <row r="578">
          <cell r="A578" t="str">
            <v>DM7-2E4</v>
          </cell>
          <cell r="B578" t="str">
            <v>DM SCSI 2xQUAD ENET</v>
          </cell>
        </row>
        <row r="579">
          <cell r="A579" t="str">
            <v>DM7-2S-2E4-U</v>
          </cell>
          <cell r="B579" t="str">
            <v>DM 2X SCSI 2X QUAD E UPG</v>
          </cell>
        </row>
        <row r="580">
          <cell r="A580" t="str">
            <v>DM7-2S-2G-U</v>
          </cell>
          <cell r="B580" t="str">
            <v>DM 2 SCSI 2 GB E UPG</v>
          </cell>
        </row>
        <row r="581">
          <cell r="A581" t="str">
            <v>DM7-2S-E4-2D</v>
          </cell>
          <cell r="B581" t="str">
            <v>DM 2xSCSI 4P-ENET 2xDVB23</v>
          </cell>
        </row>
        <row r="582">
          <cell r="A582" t="str">
            <v>DM7-2S-E4-A-U</v>
          </cell>
          <cell r="B582" t="str">
            <v>DM 2 SCSI, QUAD E ATM UPG</v>
          </cell>
        </row>
        <row r="583">
          <cell r="A583" t="str">
            <v>DM7-2S-E4-D</v>
          </cell>
          <cell r="B583" t="str">
            <v>DM 2xSCSI 4P-ENET DVB23</v>
          </cell>
        </row>
        <row r="584">
          <cell r="A584" t="str">
            <v>DM7-2S-E4-F-U</v>
          </cell>
          <cell r="B584" t="str">
            <v>DM 2 SCSI, QUAD E FDDI UPG</v>
          </cell>
        </row>
        <row r="585">
          <cell r="A585" t="str">
            <v>DM7-2S-E4-G-U</v>
          </cell>
          <cell r="B585" t="str">
            <v>DM 2 SCSI QUAD E GB E UPG</v>
          </cell>
        </row>
        <row r="586">
          <cell r="A586" t="str">
            <v>DM7-E4-G</v>
          </cell>
          <cell r="B586" t="str">
            <v>DM SCSI QUAD ENET GB ENET</v>
          </cell>
        </row>
        <row r="587">
          <cell r="A587" t="str">
            <v>DM7-FS-2E4</v>
          </cell>
          <cell r="B587" t="str">
            <v>DM FIBRE SCSI 2X QUAD E</v>
          </cell>
        </row>
        <row r="588">
          <cell r="A588" t="str">
            <v>DM7-FS-2E4-U</v>
          </cell>
          <cell r="B588" t="str">
            <v>DM FIBRE SCSI 2X QUAD E UPG</v>
          </cell>
        </row>
        <row r="589">
          <cell r="A589" t="str">
            <v>DM7-FS-2G</v>
          </cell>
          <cell r="B589" t="str">
            <v>DM FIBRE SCSI 2xGigE</v>
          </cell>
        </row>
        <row r="590">
          <cell r="A590" t="str">
            <v>DM7-FS-2G-U</v>
          </cell>
          <cell r="B590" t="str">
            <v>DM FIBRE SCSI, 2X G E UPG</v>
          </cell>
        </row>
        <row r="591">
          <cell r="A591" t="str">
            <v>DM7-FS-E4-A-U</v>
          </cell>
          <cell r="B591" t="str">
            <v>DM FIBRE SCSI, QUAD E ATM UPG</v>
          </cell>
        </row>
        <row r="592">
          <cell r="A592" t="str">
            <v>DM7-FS-E4-F-U</v>
          </cell>
          <cell r="B592" t="str">
            <v>DM FIBRE SCSI, QUAD E FDDI UPG</v>
          </cell>
        </row>
        <row r="593">
          <cell r="A593" t="str">
            <v>DM7-FS-E4-G</v>
          </cell>
          <cell r="B593" t="str">
            <v>DM FIBRE SCSI QUAD E GB E</v>
          </cell>
        </row>
        <row r="594">
          <cell r="A594" t="str">
            <v>DM7-FS-E4-G-U</v>
          </cell>
          <cell r="B594" t="str">
            <v>DM FIBRE SCSI, QUAD E GB E UPG</v>
          </cell>
        </row>
        <row r="595">
          <cell r="A595" t="str">
            <v>DP2-FCD2</v>
          </cell>
          <cell r="B595" t="str">
            <v>2-PORT DP FIBRE CHNL MULTI</v>
          </cell>
        </row>
        <row r="596">
          <cell r="A596" t="str">
            <v>DP2-PCD4</v>
          </cell>
          <cell r="B596" t="str">
            <v>4-PORT DP PAR CHNL DIR</v>
          </cell>
        </row>
        <row r="597">
          <cell r="A597" t="str">
            <v>DP2-RFD2</v>
          </cell>
          <cell r="B597" t="str">
            <v>2-PORT REMOTE FC DIR</v>
          </cell>
        </row>
        <row r="598">
          <cell r="A598" t="str">
            <v>DP2-RFD2S</v>
          </cell>
          <cell r="B598" t="str">
            <v>REMOVE FC DIR 2PT MUL/SIN</v>
          </cell>
        </row>
        <row r="599">
          <cell r="A599" t="str">
            <v>DP2-RLD4</v>
          </cell>
          <cell r="B599" t="str">
            <v>4-PORT DP REMOTE LINK DIR</v>
          </cell>
        </row>
        <row r="600">
          <cell r="A600" t="str">
            <v>DP2-SCD4</v>
          </cell>
          <cell r="B600" t="str">
            <v>4-PORT DP SERIAL CHNL DIR</v>
          </cell>
        </row>
        <row r="601">
          <cell r="A601" t="str">
            <v>DP2-USD4SW</v>
          </cell>
          <cell r="B601" t="str">
            <v>4-PORT DP UF SCSI DIR</v>
          </cell>
        </row>
        <row r="602">
          <cell r="A602" t="str">
            <v>DP3-FCD2</v>
          </cell>
          <cell r="B602" t="str">
            <v>2PORT DP FIBRE CHNL MULT</v>
          </cell>
        </row>
        <row r="603">
          <cell r="A603" t="str">
            <v>DP3-FCD2S</v>
          </cell>
          <cell r="B603" t="str">
            <v>FIBRE CHN DIR 2PT MUL/SIN</v>
          </cell>
        </row>
        <row r="604">
          <cell r="A604" t="str">
            <v>DP3-FCD42G</v>
          </cell>
          <cell r="B604" t="str">
            <v>2GB FC DIR 4PT MULTI</v>
          </cell>
        </row>
        <row r="605">
          <cell r="A605" t="str">
            <v>DP3-FCD42GS</v>
          </cell>
          <cell r="B605" t="str">
            <v>2GB FC DIR 4PT 1SIN, 3MUL</v>
          </cell>
        </row>
        <row r="606">
          <cell r="A606" t="str">
            <v>DP3-FCD8</v>
          </cell>
          <cell r="B606" t="str">
            <v>FIBRE CHN DIR 8 PORT HUB</v>
          </cell>
        </row>
        <row r="607">
          <cell r="A607" t="str">
            <v>DP3-RFD2</v>
          </cell>
          <cell r="B607" t="str">
            <v>2PORT DP FIBRE CHN REMOT</v>
          </cell>
        </row>
        <row r="608">
          <cell r="A608" t="str">
            <v>DP3-RFD2S</v>
          </cell>
          <cell r="B608" t="str">
            <v>REMOTE FC DIR 2PT MUL/SIN</v>
          </cell>
        </row>
        <row r="609">
          <cell r="A609" t="str">
            <v>DP3-RLD42</v>
          </cell>
          <cell r="B609" t="str">
            <v>REMOTE LINK DIR 4PT 2CCI/O</v>
          </cell>
        </row>
        <row r="610">
          <cell r="A610" t="str">
            <v>DP3-RLD44</v>
          </cell>
          <cell r="B610" t="str">
            <v>REMOTE LNK DIR 4PT 4CCI/O</v>
          </cell>
        </row>
        <row r="611">
          <cell r="A611" t="str">
            <v>DP3-SCB1</v>
          </cell>
          <cell r="B611" t="str">
            <v>12PORTB SYM FC SWITCH DIR</v>
          </cell>
        </row>
        <row r="612">
          <cell r="A612" t="str">
            <v>DP3-SCD42</v>
          </cell>
          <cell r="B612" t="str">
            <v>ESCON CHN DIR 4 PT 2CCI/O</v>
          </cell>
        </row>
        <row r="613">
          <cell r="A613" t="str">
            <v>DP3-SCD44</v>
          </cell>
          <cell r="B613" t="str">
            <v>ESCON CHN DIR 4PT 4CCI/O</v>
          </cell>
        </row>
        <row r="614">
          <cell r="A614" t="str">
            <v>DP3-SCQ1</v>
          </cell>
          <cell r="B614" t="str">
            <v>12PORTQ SYM FC SWITCH DIR</v>
          </cell>
        </row>
        <row r="615">
          <cell r="A615" t="str">
            <v>DP3-U2SD4L</v>
          </cell>
          <cell r="B615" t="str">
            <v>ULTRA2 SCSI DIR 4PT LVD</v>
          </cell>
        </row>
        <row r="616">
          <cell r="A616" t="str">
            <v>DP3-USD4H</v>
          </cell>
          <cell r="B616" t="str">
            <v>4-PORT HVD ULTRA SCSI DIR</v>
          </cell>
        </row>
        <row r="617">
          <cell r="A617" t="str">
            <v>DPELCC</v>
          </cell>
          <cell r="B617" t="str">
            <v>DPE LINK CONTROL CARD</v>
          </cell>
        </row>
        <row r="618">
          <cell r="A618" t="str">
            <v>DPEPS</v>
          </cell>
          <cell r="B618" t="str">
            <v>DPE POWER SUPPLY</v>
          </cell>
        </row>
        <row r="619">
          <cell r="A619" t="str">
            <v>DP-FCD2-MM</v>
          </cell>
          <cell r="B619" t="str">
            <v>DP-FCD2-MM CHNL</v>
          </cell>
        </row>
        <row r="620">
          <cell r="A620" t="str">
            <v>DP-PCD4</v>
          </cell>
          <cell r="B620" t="str">
            <v>DP PCD4 CHNL</v>
          </cell>
        </row>
        <row r="621">
          <cell r="A621" t="str">
            <v>DP-RLD2</v>
          </cell>
          <cell r="B621" t="str">
            <v>DP-RLD2 CHNL</v>
          </cell>
        </row>
        <row r="622">
          <cell r="A622" t="str">
            <v>DP-RLD4</v>
          </cell>
          <cell r="B622" t="str">
            <v>DP-RLD4 CHNL</v>
          </cell>
        </row>
        <row r="623">
          <cell r="A623" t="str">
            <v>DP-SCD2</v>
          </cell>
          <cell r="B623" t="str">
            <v>DP-SCD2 CHNL</v>
          </cell>
        </row>
        <row r="624">
          <cell r="A624" t="str">
            <v>DP-SCD4</v>
          </cell>
          <cell r="B624" t="str">
            <v>DP-SCD4</v>
          </cell>
        </row>
        <row r="625">
          <cell r="A625" t="str">
            <v>DP-USD4SW</v>
          </cell>
          <cell r="B625" t="str">
            <v>DP-USD4SW CHNL</v>
          </cell>
        </row>
        <row r="626">
          <cell r="A626" t="str">
            <v>DP-WSD4SW</v>
          </cell>
          <cell r="B626" t="str">
            <v>DP WSCSI CHNL SW</v>
          </cell>
        </row>
        <row r="627">
          <cell r="A627" t="str">
            <v>DS-16B-02</v>
          </cell>
          <cell r="B627" t="str">
            <v>SINGLE 16PT FC SWITCH W/2LW PTS</v>
          </cell>
        </row>
        <row r="628">
          <cell r="A628" t="str">
            <v>DS-16B-02D</v>
          </cell>
          <cell r="B628" t="str">
            <v>SINGLE 16 PORT FC SWITCH W 2 LW PORTS</v>
          </cell>
        </row>
        <row r="629">
          <cell r="A629" t="str">
            <v>DS-16B2-00</v>
          </cell>
          <cell r="B629" t="str">
            <v>SINGLE 16PT 2Gb FC SWITCH</v>
          </cell>
        </row>
        <row r="630">
          <cell r="A630" t="str">
            <v>DS-16B2-0D</v>
          </cell>
          <cell r="B630" t="str">
            <v>SINGLE 16 PORT 2Gb FC SWITCH</v>
          </cell>
        </row>
        <row r="631">
          <cell r="A631" t="str">
            <v>DS16B2-DE</v>
          </cell>
          <cell r="B631" t="str">
            <v>Brocade 16 Port 2Gb Rail Kit for Dell</v>
          </cell>
        </row>
        <row r="632">
          <cell r="A632" t="str">
            <v>DS16B2-RKH</v>
          </cell>
          <cell r="B632" t="str">
            <v>DS16B2 1U RACK KIT HI PRO</v>
          </cell>
        </row>
        <row r="633">
          <cell r="A633" t="str">
            <v>DS16B2-RKL</v>
          </cell>
          <cell r="B633" t="str">
            <v>DS16B2 1U RACK KIT LO PRO</v>
          </cell>
        </row>
        <row r="634">
          <cell r="A634" t="str">
            <v>DS16B2RKLS</v>
          </cell>
          <cell r="B634" t="str">
            <v>DS-16B2 LO-PRO UNIVERSAL RAIL KIT</v>
          </cell>
        </row>
        <row r="635">
          <cell r="A635" t="str">
            <v>DS-16B-CRK</v>
          </cell>
          <cell r="B635" t="str">
            <v>DS-16B RAIL KIT FOR CLARiiON RACKS</v>
          </cell>
        </row>
        <row r="636">
          <cell r="A636" t="str">
            <v>DS-16M-00</v>
          </cell>
          <cell r="B636" t="str">
            <v>16 PORT SWITCH W/SW OPTIC</v>
          </cell>
        </row>
        <row r="637">
          <cell r="A637" t="str">
            <v>DS-16M-0D</v>
          </cell>
          <cell r="B637" t="str">
            <v>16 PORT FCSWITCH SW OPT</v>
          </cell>
        </row>
        <row r="638">
          <cell r="A638" t="str">
            <v>DS16M-CRKH</v>
          </cell>
          <cell r="B638" t="str">
            <v>16PORT RAILKIT HI-P BEZEL</v>
          </cell>
        </row>
        <row r="639">
          <cell r="A639" t="str">
            <v>DS16M-CRKL</v>
          </cell>
          <cell r="B639" t="str">
            <v>16PORT RAILKIT LO-P BEZEL</v>
          </cell>
        </row>
        <row r="640">
          <cell r="A640" t="str">
            <v>DS16M-DE</v>
          </cell>
          <cell r="B640" t="str">
            <v>McData 16 port rail kit for Dell</v>
          </cell>
        </row>
        <row r="641">
          <cell r="A641" t="str">
            <v>DS-32M-00</v>
          </cell>
          <cell r="B641" t="str">
            <v>32 PORT SWITCH W/SW OPTIC</v>
          </cell>
        </row>
        <row r="642">
          <cell r="A642" t="str">
            <v>DS-32M-0D</v>
          </cell>
          <cell r="B642" t="str">
            <v>32 PORT FCSWITCH FW OPT</v>
          </cell>
        </row>
        <row r="643">
          <cell r="A643" t="str">
            <v>DS32M-CRKH</v>
          </cell>
          <cell r="B643" t="str">
            <v>32PORT RAILKIT HI-P BEZEL</v>
          </cell>
        </row>
        <row r="644">
          <cell r="A644" t="str">
            <v>DS32M-CRKL</v>
          </cell>
          <cell r="B644" t="str">
            <v>32PORT RAILKIT LO-P BEZEL</v>
          </cell>
        </row>
        <row r="645">
          <cell r="A645" t="str">
            <v>DS32M-DE</v>
          </cell>
          <cell r="B645" t="str">
            <v>McData 32 port rail kit for Dell</v>
          </cell>
        </row>
        <row r="646">
          <cell r="A646" t="str">
            <v>DS-8B-CRK</v>
          </cell>
          <cell r="B646" t="str">
            <v>DS-8B RAIL KIT FOR CLARiiON RACKS</v>
          </cell>
        </row>
        <row r="647">
          <cell r="A647" t="str">
            <v>DSB2-LWKT</v>
          </cell>
          <cell r="B647" t="str">
            <v>DS-16B2 LONG WAVE OPTIC KIT</v>
          </cell>
        </row>
        <row r="648">
          <cell r="A648" t="str">
            <v>DSB2-LWKTC</v>
          </cell>
          <cell r="B648" t="str">
            <v>DS-16B2 LONG WAVE OPTIC KIT</v>
          </cell>
        </row>
        <row r="649">
          <cell r="A649" t="str">
            <v>DS-B-PC01</v>
          </cell>
          <cell r="B649" t="str">
            <v>FC DS PWR CRD INTL GRP 1</v>
          </cell>
        </row>
        <row r="650">
          <cell r="A650" t="str">
            <v>DS-B-PC02</v>
          </cell>
          <cell r="B650" t="str">
            <v>FC DS PWR CRD INTL GRP 2</v>
          </cell>
        </row>
        <row r="651">
          <cell r="A651" t="str">
            <v>DS-B-PC03</v>
          </cell>
          <cell r="B651" t="str">
            <v>FC DS PWR CRD INTL GRP 3</v>
          </cell>
        </row>
        <row r="652">
          <cell r="A652" t="str">
            <v>DS-B-PC04</v>
          </cell>
          <cell r="B652" t="str">
            <v>FC DS PWR CRD INTL GRP 4</v>
          </cell>
        </row>
        <row r="653">
          <cell r="A653" t="str">
            <v>DS-B-PC05</v>
          </cell>
          <cell r="B653" t="str">
            <v>FC DS PWR CRD INTL GRP 5</v>
          </cell>
        </row>
        <row r="654">
          <cell r="A654" t="str">
            <v>DS-B-PC06</v>
          </cell>
          <cell r="B654" t="str">
            <v>FC DS PWR CRD INTL GRP 6</v>
          </cell>
        </row>
        <row r="655">
          <cell r="A655" t="str">
            <v>DS-B-RLKT</v>
          </cell>
          <cell r="B655" t="str">
            <v>RAILKIT FOR 8B/16B SWITCHES</v>
          </cell>
        </row>
        <row r="656">
          <cell r="A656" t="str">
            <v>DSED-LWKT</v>
          </cell>
          <cell r="B656" t="str">
            <v>LONG WAVE OPTIC KIT</v>
          </cell>
        </row>
        <row r="657">
          <cell r="A657" t="str">
            <v>DSED-LWKT-UPG</v>
          </cell>
          <cell r="B657" t="str">
            <v>LONG WAVE PORT UPG KIT</v>
          </cell>
        </row>
        <row r="658">
          <cell r="A658" t="str">
            <v>DSK109A</v>
          </cell>
          <cell r="B658" t="str">
            <v>109GB UPGRADE JBOD</v>
          </cell>
        </row>
        <row r="659">
          <cell r="A659" t="str">
            <v>DSK109P</v>
          </cell>
          <cell r="B659" t="str">
            <v>109GB PRIMARY BOX</v>
          </cell>
        </row>
        <row r="660">
          <cell r="A660" t="str">
            <v>DSK36A</v>
          </cell>
          <cell r="B660" t="str">
            <v>36GB UPG 3500 SERIES</v>
          </cell>
        </row>
        <row r="661">
          <cell r="A661" t="str">
            <v>DS-LWKT</v>
          </cell>
          <cell r="B661" t="str">
            <v>DS LONGWAVE OPTIC</v>
          </cell>
        </row>
        <row r="662">
          <cell r="A662" t="str">
            <v>DS-LWKT-UG</v>
          </cell>
          <cell r="B662" t="str">
            <v>DS LONGWAVE OPTIC UPGRADE</v>
          </cell>
        </row>
        <row r="663">
          <cell r="A663" t="str">
            <v>DS-M-1200KT</v>
          </cell>
          <cell r="B663" t="str">
            <v>DS-XXM RAIL KIT FOR EC-1200</v>
          </cell>
        </row>
        <row r="664">
          <cell r="A664" t="str">
            <v>DS-M-RLKT</v>
          </cell>
          <cell r="B664" t="str">
            <v>DS-XXM RAIL KIT FOR 19" RACK</v>
          </cell>
        </row>
        <row r="665">
          <cell r="A665" t="str">
            <v>EC-1100</v>
          </cell>
          <cell r="B665" t="str">
            <v>CONNECTRIX CABINET</v>
          </cell>
        </row>
        <row r="666">
          <cell r="A666" t="str">
            <v>EC-1200</v>
          </cell>
          <cell r="B666" t="str">
            <v>CONNECTRIX CABINET</v>
          </cell>
        </row>
        <row r="667">
          <cell r="A667" t="str">
            <v>ED-1032-00</v>
          </cell>
          <cell r="B667" t="str">
            <v>ED1032 WITH NO PORT CARDS</v>
          </cell>
        </row>
        <row r="668">
          <cell r="A668" t="str">
            <v>ED-1032-UPG</v>
          </cell>
          <cell r="B668" t="str">
            <v>ED-1032 UPGRADE WITH NO PORT CARDS</v>
          </cell>
        </row>
        <row r="669">
          <cell r="A669" t="str">
            <v>ED-6064</v>
          </cell>
          <cell r="B669" t="str">
            <v>ED-6064 DIRECTOR W/CUP LIC</v>
          </cell>
        </row>
        <row r="670">
          <cell r="A670" t="str">
            <v>ED-6064-UPG</v>
          </cell>
          <cell r="B670" t="str">
            <v>ED-6064 DIRECTOR W/CUP LIC UPG</v>
          </cell>
        </row>
        <row r="671">
          <cell r="A671" t="str">
            <v>ED-64M</v>
          </cell>
          <cell r="B671" t="str">
            <v>64 PORT DIRECTOR-NO CARDS</v>
          </cell>
        </row>
        <row r="672">
          <cell r="A672" t="str">
            <v>ED-64M-UPG</v>
          </cell>
          <cell r="B672" t="str">
            <v>64 PORT UPGRADE-NO CARDS</v>
          </cell>
        </row>
        <row r="673">
          <cell r="A673" t="str">
            <v>EDM0-4EF-PCI</v>
          </cell>
          <cell r="B673" t="str">
            <v>PCI QUAD FAST ETHERNET</v>
          </cell>
        </row>
        <row r="674">
          <cell r="A674" t="str">
            <v>EDM0-ATMF</v>
          </cell>
          <cell r="B674" t="str">
            <v>ATM RING CARD-MFIBER</v>
          </cell>
        </row>
        <row r="675">
          <cell r="A675" t="str">
            <v>EDM0-ATMU</v>
          </cell>
          <cell r="B675" t="str">
            <v>ATM RING CARD-UTP5</v>
          </cell>
        </row>
        <row r="676">
          <cell r="A676" t="str">
            <v>EDM0-D7-4</v>
          </cell>
          <cell r="B676" t="str">
            <v>7 PACK DLT 4/7/8000 TAPES</v>
          </cell>
        </row>
        <row r="677">
          <cell r="A677" t="str">
            <v>EDM0-DC-LTO</v>
          </cell>
          <cell r="B677" t="str">
            <v>LTO IBM CLEANING CART</v>
          </cell>
        </row>
        <row r="678">
          <cell r="A678" t="str">
            <v>EDM0-F2-PCI</v>
          </cell>
          <cell r="B678" t="str">
            <v>PCI DUAL PORT FDDI BD</v>
          </cell>
        </row>
        <row r="679">
          <cell r="A679" t="str">
            <v>EDM0-GBE-PCI</v>
          </cell>
          <cell r="B679" t="str">
            <v>PCI GIGABIT ETHERNET BD</v>
          </cell>
        </row>
        <row r="680">
          <cell r="A680" t="str">
            <v>EDM0-LTO-IBM</v>
          </cell>
          <cell r="B680" t="str">
            <v>LTO IBM MEDIA CARTRIDGE 5 PACK</v>
          </cell>
        </row>
        <row r="681">
          <cell r="A681" t="str">
            <v>EDM0-PCI-IO</v>
          </cell>
          <cell r="B681" t="str">
            <v>PCI I/O-2 EMPTY PCI SLOTS</v>
          </cell>
        </row>
        <row r="682">
          <cell r="A682" t="str">
            <v>EDM0-TR</v>
          </cell>
          <cell r="B682" t="str">
            <v>TOKEN RING RING CARD</v>
          </cell>
        </row>
        <row r="683">
          <cell r="A683" t="str">
            <v>EDM35K4</v>
          </cell>
          <cell r="B683" t="str">
            <v>EDM 3500 4-CPU</v>
          </cell>
        </row>
        <row r="684">
          <cell r="A684" t="str">
            <v>EDM45K4</v>
          </cell>
          <cell r="B684" t="str">
            <v>EDM 4500 4-CPU</v>
          </cell>
        </row>
        <row r="685">
          <cell r="A685" t="str">
            <v>EDM45K6</v>
          </cell>
          <cell r="B685" t="str">
            <v>EDM 4500 6-CPU</v>
          </cell>
        </row>
        <row r="686">
          <cell r="A686" t="str">
            <v>EDM65K4</v>
          </cell>
          <cell r="B686" t="str">
            <v>EDM 6500 4-CPU</v>
          </cell>
        </row>
        <row r="687">
          <cell r="A687" t="str">
            <v>EDM65K6</v>
          </cell>
          <cell r="B687" t="str">
            <v>EDM 6500 6-CPU</v>
          </cell>
        </row>
        <row r="688">
          <cell r="A688" t="str">
            <v>EDM65K8</v>
          </cell>
          <cell r="B688" t="str">
            <v>EDM 6500 8-CPU</v>
          </cell>
        </row>
        <row r="689">
          <cell r="A689" t="str">
            <v>EDM6K-PWR-UPG</v>
          </cell>
          <cell r="B689" t="str">
            <v>EDM65K POWER UPG</v>
          </cell>
        </row>
        <row r="690">
          <cell r="A690" t="str">
            <v>EDMFC230</v>
          </cell>
          <cell r="B690" t="str">
            <v>FC230 LVD BD UPGRADE</v>
          </cell>
        </row>
        <row r="691">
          <cell r="A691" t="str">
            <v>EDM-MEM-1G</v>
          </cell>
          <cell r="B691" t="str">
            <v>EDM 1GB SUMM UPG 8*128MB</v>
          </cell>
        </row>
        <row r="692">
          <cell r="A692" t="str">
            <v>EDM-MODEM-CAN</v>
          </cell>
          <cell r="B692" t="str">
            <v>MODEM EDM CANADA</v>
          </cell>
        </row>
        <row r="693">
          <cell r="A693" t="str">
            <v>EDM-MODEM-ROW</v>
          </cell>
          <cell r="B693" t="str">
            <v>MODEM EDM REST OF WORLD</v>
          </cell>
        </row>
        <row r="694">
          <cell r="A694" t="str">
            <v>EDM-MODEM-USA</v>
          </cell>
          <cell r="B694" t="str">
            <v>MODEM EDM USA</v>
          </cell>
        </row>
        <row r="695">
          <cell r="A695" t="str">
            <v>EDMO-4EF</v>
          </cell>
          <cell r="B695" t="str">
            <v>SUN QUAD FAST ETHERNET</v>
          </cell>
        </row>
        <row r="696">
          <cell r="A696" t="str">
            <v>EDMO-CPU336</v>
          </cell>
          <cell r="B696" t="str">
            <v>2 366MHZ UPG BD 1GB</v>
          </cell>
        </row>
        <row r="697">
          <cell r="A697" t="str">
            <v>EDMO-E</v>
          </cell>
          <cell r="B697" t="str">
            <v>FAST ETHERNET (100BASET)</v>
          </cell>
        </row>
        <row r="698">
          <cell r="A698" t="str">
            <v>EDMO-F2</v>
          </cell>
          <cell r="B698" t="str">
            <v>EDM FDDI 1 SLOT 2 PORTS</v>
          </cell>
        </row>
        <row r="699">
          <cell r="A699" t="str">
            <v>EDMO-GBE</v>
          </cell>
          <cell r="B699" t="str">
            <v>SUN GIGABIT ETHERNET</v>
          </cell>
        </row>
        <row r="700">
          <cell r="A700" t="str">
            <v>EDMO-IO</v>
          </cell>
          <cell r="B700" t="str">
            <v>SUPPORT ADDL SBUS CARDS</v>
          </cell>
        </row>
        <row r="701">
          <cell r="A701" t="str">
            <v>EDM-PTM</v>
          </cell>
          <cell r="B701" t="str">
            <v>P3000 PASSTHRU DEVICE NEW</v>
          </cell>
        </row>
        <row r="702">
          <cell r="A702" t="str">
            <v>EDM-PTM-ACC</v>
          </cell>
          <cell r="B702" t="str">
            <v>P3000 PASSTHRU ACCESSORY KIT</v>
          </cell>
        </row>
        <row r="703">
          <cell r="A703" t="str">
            <v>EDM-PTM-UPG</v>
          </cell>
          <cell r="B703" t="str">
            <v>P3000 PASS THRU DEVICE UPG</v>
          </cell>
        </row>
        <row r="704">
          <cell r="A704" t="str">
            <v>EDM-SCSI-7</v>
          </cell>
          <cell r="B704" t="str">
            <v>SCSI &amp; CABLE DLT7 ALL</v>
          </cell>
        </row>
        <row r="705">
          <cell r="A705" t="str">
            <v>EDM-SCSI-PCIH</v>
          </cell>
          <cell r="B705" t="str">
            <v>PCI SCSI CONTROLLER HVD</v>
          </cell>
        </row>
        <row r="706">
          <cell r="A706" t="str">
            <v>EDM-SCSI-PCIL</v>
          </cell>
          <cell r="B706" t="str">
            <v>PCI SCSI CONTROLLER</v>
          </cell>
        </row>
        <row r="707">
          <cell r="A707" t="str">
            <v>EDM-WNT-KIT</v>
          </cell>
          <cell r="B707" t="str">
            <v>EDM NT UPG KIT BCV S</v>
          </cell>
        </row>
        <row r="708">
          <cell r="A708" t="str">
            <v>ED-PCM-04</v>
          </cell>
          <cell r="B708" t="str">
            <v>4 PORT SHORT WAVE CARD</v>
          </cell>
        </row>
        <row r="709">
          <cell r="A709" t="str">
            <v>ED-PCM-04-UPG</v>
          </cell>
          <cell r="B709" t="str">
            <v>4 PORT SW UPGRADE CARD</v>
          </cell>
        </row>
        <row r="710">
          <cell r="A710" t="str">
            <v>ED-PCM-L4</v>
          </cell>
          <cell r="B710" t="str">
            <v>4 PORT LONG WAVE CARD</v>
          </cell>
        </row>
        <row r="711">
          <cell r="A711" t="str">
            <v>ED-PCM-L4-UPG</v>
          </cell>
          <cell r="B711" t="str">
            <v>4 PORT LW UPGRADE CARD</v>
          </cell>
        </row>
        <row r="712">
          <cell r="A712" t="str">
            <v>EMA12000</v>
          </cell>
          <cell r="B712" t="str">
            <v>STORAGEWORKS SUBSYSTEM</v>
          </cell>
        </row>
        <row r="713">
          <cell r="A713" t="str">
            <v>EMA16000</v>
          </cell>
          <cell r="B713" t="str">
            <v>STORAGEWORKS SUBSYSTEM</v>
          </cell>
        </row>
        <row r="714">
          <cell r="A714" t="str">
            <v>EMC16PARCH56</v>
          </cell>
          <cell r="B714" t="str">
            <v>RPQ 5630 16 PARALLEL CHNL</v>
          </cell>
        </row>
        <row r="715">
          <cell r="A715" t="str">
            <v>EMC5030-362</v>
          </cell>
          <cell r="B715" t="str">
            <v>BULL 5030-362</v>
          </cell>
        </row>
        <row r="716">
          <cell r="A716" t="str">
            <v>EMC5030-362UP</v>
          </cell>
          <cell r="B716" t="str">
            <v>BULL 5030-362UPG</v>
          </cell>
        </row>
        <row r="717">
          <cell r="A717" t="str">
            <v>EMC5030-36M2</v>
          </cell>
          <cell r="B717" t="str">
            <v>BULL 5030-36M2</v>
          </cell>
        </row>
        <row r="718">
          <cell r="A718" t="str">
            <v>EMC5030-36M2U</v>
          </cell>
          <cell r="B718" t="str">
            <v>BULL 5030-36M2UPG</v>
          </cell>
        </row>
        <row r="719">
          <cell r="A719" t="str">
            <v>EMC5031-182</v>
          </cell>
          <cell r="B719" t="str">
            <v>BULL 5031-182</v>
          </cell>
        </row>
        <row r="720">
          <cell r="A720" t="str">
            <v>EMC5031-18M2</v>
          </cell>
          <cell r="B720" t="str">
            <v>BULL 5031-18M2</v>
          </cell>
        </row>
        <row r="721">
          <cell r="A721" t="str">
            <v>EMC5031-18M2U</v>
          </cell>
          <cell r="B721" t="str">
            <v>BULL 5031-18M2UPG</v>
          </cell>
        </row>
        <row r="722">
          <cell r="A722" t="str">
            <v>EMC5630-18</v>
          </cell>
          <cell r="B722" t="str">
            <v>BULL 5630-18</v>
          </cell>
        </row>
        <row r="723">
          <cell r="A723" t="str">
            <v>EMC5630-36</v>
          </cell>
          <cell r="B723" t="str">
            <v>BULL 5630-36</v>
          </cell>
        </row>
        <row r="724">
          <cell r="A724" t="str">
            <v>EMC5630SKITD</v>
          </cell>
          <cell r="B724" t="str">
            <v>5630 SHIP KIT DOMESTIC</v>
          </cell>
        </row>
        <row r="725">
          <cell r="A725" t="str">
            <v>EMC5630SKITI</v>
          </cell>
          <cell r="B725" t="str">
            <v>5630 SHIP KIT INT'L</v>
          </cell>
        </row>
        <row r="726">
          <cell r="A726" t="str">
            <v>EMC5630TKIT</v>
          </cell>
          <cell r="B726" t="str">
            <v>5630 TOOL KIT</v>
          </cell>
        </row>
        <row r="727">
          <cell r="A727" t="str">
            <v>EMC5830-18</v>
          </cell>
          <cell r="B727" t="str">
            <v>BULL 5830-18</v>
          </cell>
        </row>
        <row r="728">
          <cell r="A728" t="str">
            <v>EMC5830-36</v>
          </cell>
          <cell r="B728" t="str">
            <v>BULL 5830-36</v>
          </cell>
        </row>
        <row r="729">
          <cell r="A729" t="str">
            <v>EMC5830SKITD</v>
          </cell>
          <cell r="B729" t="str">
            <v>5830 SHIP KIT DOMESTIC</v>
          </cell>
        </row>
        <row r="730">
          <cell r="A730" t="str">
            <v>EMC5830SKITI</v>
          </cell>
          <cell r="B730" t="str">
            <v>5830 SHIP KIT INT'L</v>
          </cell>
        </row>
        <row r="731">
          <cell r="A731" t="str">
            <v>EMC8031361</v>
          </cell>
          <cell r="B731" t="str">
            <v>BULL 8031-361</v>
          </cell>
        </row>
        <row r="732">
          <cell r="A732" t="str">
            <v>EMC8031361U</v>
          </cell>
          <cell r="B732" t="str">
            <v>BULL 8031-361UPG</v>
          </cell>
        </row>
        <row r="733">
          <cell r="A733" t="str">
            <v>EMC803136M1</v>
          </cell>
          <cell r="B733" t="str">
            <v>BULL 8031-36M1</v>
          </cell>
        </row>
        <row r="734">
          <cell r="A734" t="str">
            <v>EMC803136MU</v>
          </cell>
          <cell r="B734" t="str">
            <v>BULL 8031-36M1UPG</v>
          </cell>
        </row>
        <row r="735">
          <cell r="A735" t="str">
            <v>EMC803136S3</v>
          </cell>
          <cell r="B735" t="str">
            <v>BULL 8031-36S3</v>
          </cell>
        </row>
        <row r="736">
          <cell r="A736" t="str">
            <v>EMC803136SU</v>
          </cell>
          <cell r="B736" t="str">
            <v>BULL 8031-36S3UPG</v>
          </cell>
        </row>
        <row r="737">
          <cell r="A737" t="str">
            <v>EMC8031731</v>
          </cell>
          <cell r="B737" t="str">
            <v>BULL 8031-731</v>
          </cell>
        </row>
        <row r="738">
          <cell r="A738" t="str">
            <v>EMC8031731U</v>
          </cell>
          <cell r="B738" t="str">
            <v>BULL 8031-731UPG</v>
          </cell>
        </row>
        <row r="739">
          <cell r="A739" t="str">
            <v>EMC803173M1</v>
          </cell>
          <cell r="B739" t="str">
            <v>BULL 8031-73M1</v>
          </cell>
        </row>
        <row r="740">
          <cell r="A740" t="str">
            <v>EMC803173MU</v>
          </cell>
          <cell r="B740" t="str">
            <v>BULL 8031-73M1UPG</v>
          </cell>
        </row>
        <row r="741">
          <cell r="A741" t="str">
            <v>EMCDP2-FCD2</v>
          </cell>
          <cell r="B741" t="str">
            <v>BULL DP2-FCD2</v>
          </cell>
        </row>
        <row r="742">
          <cell r="A742" t="str">
            <v>EMCDP2-RLD4</v>
          </cell>
          <cell r="B742" t="str">
            <v>BULL DP2-RLD4</v>
          </cell>
        </row>
        <row r="743">
          <cell r="A743" t="str">
            <v>EMCDP2-SCD4</v>
          </cell>
          <cell r="B743" t="str">
            <v>BULL DP2-SCD4</v>
          </cell>
        </row>
        <row r="744">
          <cell r="A744" t="str">
            <v>EMCDP2-USD4SW</v>
          </cell>
          <cell r="B744" t="str">
            <v>BULL DP2-USD4SW</v>
          </cell>
        </row>
        <row r="745">
          <cell r="A745" t="str">
            <v>EMCDP3FCD2</v>
          </cell>
          <cell r="B745" t="str">
            <v>BULL DP3-FCD2</v>
          </cell>
        </row>
        <row r="746">
          <cell r="A746" t="str">
            <v>EMCDP3FCD2S</v>
          </cell>
          <cell r="B746" t="str">
            <v>BULL DP3-FCD2S</v>
          </cell>
        </row>
        <row r="747">
          <cell r="A747" t="str">
            <v>EMCDP3FCD8</v>
          </cell>
          <cell r="B747" t="str">
            <v>BULL DP3-FCD8</v>
          </cell>
        </row>
        <row r="748">
          <cell r="A748" t="str">
            <v>EMCDP3RFD2</v>
          </cell>
          <cell r="B748" t="str">
            <v>BULL DP3-RFD2</v>
          </cell>
        </row>
        <row r="749">
          <cell r="A749" t="str">
            <v>EMCDP3RFD2S</v>
          </cell>
          <cell r="B749" t="str">
            <v>BULL DP3-RFD2S</v>
          </cell>
        </row>
        <row r="750">
          <cell r="A750" t="str">
            <v>EMCDP3RLD42</v>
          </cell>
          <cell r="B750" t="str">
            <v>BULL DP3-RLD42</v>
          </cell>
        </row>
        <row r="751">
          <cell r="A751" t="str">
            <v>EMCDP3USD4H</v>
          </cell>
          <cell r="B751" t="str">
            <v>BULL DP3-USD4H</v>
          </cell>
        </row>
        <row r="752">
          <cell r="A752" t="str">
            <v>EMCENHCHN843</v>
          </cell>
          <cell r="B752" t="str">
            <v>BUL ENHCHN8430</v>
          </cell>
        </row>
        <row r="753">
          <cell r="A753" t="str">
            <v>EMCMEM2-1024</v>
          </cell>
          <cell r="B753" t="str">
            <v>BULL MEM2-1024</v>
          </cell>
        </row>
        <row r="754">
          <cell r="A754" t="str">
            <v>EMCMEM2-1024U</v>
          </cell>
          <cell r="B754" t="str">
            <v>BULL MEM2-1024UPG</v>
          </cell>
        </row>
        <row r="755">
          <cell r="A755" t="str">
            <v>EMCMEM2-1536</v>
          </cell>
          <cell r="B755" t="str">
            <v>BULL MEM2-1536</v>
          </cell>
        </row>
        <row r="756">
          <cell r="A756" t="str">
            <v>EMCMEM2-2048</v>
          </cell>
          <cell r="B756" t="str">
            <v>BULL MEM2-2048</v>
          </cell>
        </row>
        <row r="757">
          <cell r="A757" t="str">
            <v>EMCMEM2-2048U</v>
          </cell>
          <cell r="B757" t="str">
            <v>BULL MEM2-2048UPG</v>
          </cell>
        </row>
        <row r="758">
          <cell r="A758" t="str">
            <v>EMCMEM2-3072</v>
          </cell>
          <cell r="B758" t="str">
            <v>BULL MEM2-3072</v>
          </cell>
        </row>
        <row r="759">
          <cell r="A759" t="str">
            <v>EMCMEM2-4096</v>
          </cell>
          <cell r="B759" t="str">
            <v>BULL MEM2-4096</v>
          </cell>
        </row>
        <row r="760">
          <cell r="A760" t="str">
            <v>EMCMEM2-4096U</v>
          </cell>
          <cell r="B760" t="str">
            <v>BULL MEM2-4096UPG</v>
          </cell>
        </row>
        <row r="761">
          <cell r="A761" t="str">
            <v>EMCMEM2-5120</v>
          </cell>
          <cell r="B761" t="str">
            <v>BULL MEM2-5120</v>
          </cell>
        </row>
        <row r="762">
          <cell r="A762" t="str">
            <v>EMCMEM2-512U</v>
          </cell>
          <cell r="B762" t="str">
            <v>BULL MEM2-512UPG</v>
          </cell>
        </row>
        <row r="763">
          <cell r="A763" t="str">
            <v>EMCMEM2-6144</v>
          </cell>
          <cell r="B763" t="str">
            <v>BULL MEM2-6144</v>
          </cell>
        </row>
        <row r="764">
          <cell r="A764" t="str">
            <v>EMCMEM2-8192</v>
          </cell>
          <cell r="B764" t="str">
            <v>BULL MEM2-8192</v>
          </cell>
        </row>
        <row r="765">
          <cell r="A765" t="str">
            <v>EMCMEM31024U</v>
          </cell>
          <cell r="B765" t="str">
            <v>BULL MEM3-1024UPG</v>
          </cell>
        </row>
        <row r="766">
          <cell r="A766" t="str">
            <v>EMCMEM316384</v>
          </cell>
          <cell r="B766" t="str">
            <v>BULL MEM3-16384</v>
          </cell>
        </row>
        <row r="767">
          <cell r="A767" t="str">
            <v>EMCMEM32048</v>
          </cell>
          <cell r="B767" t="str">
            <v>BULL MEM3-2048</v>
          </cell>
        </row>
        <row r="768">
          <cell r="A768" t="str">
            <v>EMCMEM32048U</v>
          </cell>
          <cell r="B768" t="str">
            <v>BULL MEM3-2048UPG</v>
          </cell>
        </row>
        <row r="769">
          <cell r="A769" t="str">
            <v>EMCMEM324576</v>
          </cell>
          <cell r="B769" t="str">
            <v>BULL MEM3-24576</v>
          </cell>
        </row>
        <row r="770">
          <cell r="A770" t="str">
            <v>EMCMEM332768</v>
          </cell>
          <cell r="B770" t="str">
            <v>BULL MEM3-32768</v>
          </cell>
        </row>
        <row r="771">
          <cell r="A771" t="str">
            <v>EMCMEM34096</v>
          </cell>
          <cell r="B771" t="str">
            <v>BULL MEM3-4096</v>
          </cell>
        </row>
        <row r="772">
          <cell r="A772" t="str">
            <v>EMCMEM34096U</v>
          </cell>
          <cell r="B772" t="str">
            <v>BULL MEM3-4096UPG</v>
          </cell>
        </row>
        <row r="773">
          <cell r="A773" t="str">
            <v>EMCMEM38192</v>
          </cell>
          <cell r="B773" t="str">
            <v>BULL MEM3-8192</v>
          </cell>
        </row>
        <row r="774">
          <cell r="A774" t="str">
            <v>EMCMEM38192U</v>
          </cell>
          <cell r="B774" t="str">
            <v>BULL MEM3-8192UPG</v>
          </cell>
        </row>
        <row r="775">
          <cell r="A775" t="str">
            <v>EMCSYM8436</v>
          </cell>
          <cell r="B775" t="str">
            <v>BULL SYM 8430-36</v>
          </cell>
        </row>
        <row r="776">
          <cell r="A776" t="str">
            <v>EMPTY-RACK</v>
          </cell>
          <cell r="B776" t="str">
            <v>CLARIION 39U RACK</v>
          </cell>
        </row>
        <row r="777">
          <cell r="A777" t="str">
            <v>ENHCHN3830</v>
          </cell>
          <cell r="B777" t="str">
            <v>RPL 10RZ CACHE BD W/CHNDR</v>
          </cell>
        </row>
        <row r="778">
          <cell r="A778" t="str">
            <v>ENHCHN5830</v>
          </cell>
          <cell r="B778" t="str">
            <v>RPL 10RZ CACHE BD W/CHNDR</v>
          </cell>
        </row>
        <row r="779">
          <cell r="A779" t="str">
            <v>ENHCHN8430</v>
          </cell>
          <cell r="B779" t="str">
            <v>RPL 10R2 CACHE BD W/CHNDR</v>
          </cell>
        </row>
        <row r="780">
          <cell r="A780" t="str">
            <v>ENHCHN8530</v>
          </cell>
          <cell r="B780" t="str">
            <v>RPL 1OR2 CACHE BD W/CHNDR</v>
          </cell>
        </row>
        <row r="781">
          <cell r="A781" t="str">
            <v>ENTL-D1</v>
          </cell>
          <cell r="B781" t="str">
            <v>BULL MEM2-3072</v>
          </cell>
        </row>
        <row r="782">
          <cell r="A782" t="str">
            <v>ENTL-D2</v>
          </cell>
          <cell r="B782" t="str">
            <v>BULL MEM2-4096</v>
          </cell>
        </row>
        <row r="783">
          <cell r="A783" t="str">
            <v>EPICBL-100</v>
          </cell>
          <cell r="B783" t="str">
            <v>100' CBL-REMOTE SWITCH</v>
          </cell>
        </row>
        <row r="784">
          <cell r="A784" t="str">
            <v>EPICBL-150</v>
          </cell>
          <cell r="B784" t="str">
            <v>150' CBL REMOTE SWITCH</v>
          </cell>
        </row>
        <row r="785">
          <cell r="A785" t="str">
            <v>EPICBL-200</v>
          </cell>
          <cell r="B785" t="str">
            <v>200' CBL REMOTE SWITCH</v>
          </cell>
        </row>
        <row r="786">
          <cell r="A786" t="str">
            <v>EPICBL-50</v>
          </cell>
          <cell r="B786" t="str">
            <v>50' CBL-REMOTE SWITCH</v>
          </cell>
        </row>
        <row r="787">
          <cell r="A787" t="str">
            <v>EPICBL-75</v>
          </cell>
          <cell r="B787" t="str">
            <v>75' CBL-REMOTE SWITCH</v>
          </cell>
        </row>
        <row r="788">
          <cell r="A788" t="str">
            <v>ER-12000-0002</v>
          </cell>
          <cell r="B788" t="str">
            <v>128 PORT BROCADE SWITCH</v>
          </cell>
        </row>
        <row r="789">
          <cell r="A789" t="str">
            <v>ES1000</v>
          </cell>
          <cell r="B789" t="str">
            <v>ES1000</v>
          </cell>
        </row>
        <row r="790">
          <cell r="A790" t="str">
            <v>ES3016</v>
          </cell>
          <cell r="B790" t="str">
            <v>DEPARTMENTAL SWITCH</v>
          </cell>
        </row>
        <row r="791">
          <cell r="A791" t="str">
            <v>ESA12000</v>
          </cell>
          <cell r="B791" t="str">
            <v>STORAGEWORKS SUBSYSTEM</v>
          </cell>
        </row>
        <row r="792">
          <cell r="A792" t="str">
            <v>ETLU47-2640</v>
          </cell>
          <cell r="B792" t="str">
            <v>DLT7000 UPG 2640 SERIES</v>
          </cell>
        </row>
        <row r="793">
          <cell r="A793" t="str">
            <v>ETLU47-520</v>
          </cell>
          <cell r="B793" t="str">
            <v>DLT7000 UPG 520 SERIES</v>
          </cell>
        </row>
        <row r="794">
          <cell r="A794" t="str">
            <v>ETLU7-2640</v>
          </cell>
          <cell r="B794" t="str">
            <v>DLT7000 ADDON DRIVE 2640</v>
          </cell>
        </row>
        <row r="795">
          <cell r="A795" t="str">
            <v>ETLU7-520</v>
          </cell>
          <cell r="B795" t="str">
            <v>DLT7000 ADDON DRIVE 520</v>
          </cell>
        </row>
        <row r="796">
          <cell r="A796" t="str">
            <v>ETLU7-P3000</v>
          </cell>
          <cell r="B796" t="str">
            <v>DLT7000 ADDON DRIVE P3000</v>
          </cell>
        </row>
        <row r="797">
          <cell r="A797" t="str">
            <v>ETLU8-7100</v>
          </cell>
          <cell r="B797" t="str">
            <v>DLT8000 DRIVES 7100</v>
          </cell>
        </row>
        <row r="798">
          <cell r="A798" t="str">
            <v>ETLU8-P3-P7</v>
          </cell>
          <cell r="B798" t="str">
            <v>DLT8000 DRIVES P7K</v>
          </cell>
        </row>
        <row r="799">
          <cell r="A799" t="str">
            <v>ETLU-LTO-IBM</v>
          </cell>
          <cell r="B799" t="str">
            <v>LTO IBM DRIVES FOR P7000</v>
          </cell>
        </row>
        <row r="800">
          <cell r="A800" t="str">
            <v>FC100M-50M</v>
          </cell>
          <cell r="B800" t="str">
            <v>FIBRE 100M 50/125 CBL</v>
          </cell>
        </row>
        <row r="801">
          <cell r="A801" t="str">
            <v>FC100M-50MLC</v>
          </cell>
          <cell r="B801" t="str">
            <v>FCHNL 100M 50/125 LC-LC</v>
          </cell>
        </row>
        <row r="802">
          <cell r="A802" t="str">
            <v>FC100M-50MSLC</v>
          </cell>
          <cell r="B802" t="str">
            <v>FCHNL 100M 50/125 SC-LC</v>
          </cell>
        </row>
        <row r="803">
          <cell r="A803" t="str">
            <v>FC100M-9M</v>
          </cell>
          <cell r="B803" t="str">
            <v>FCHNL 100M 9/125 SC-SC</v>
          </cell>
        </row>
        <row r="804">
          <cell r="A804" t="str">
            <v>FC100M-9MLC</v>
          </cell>
          <cell r="B804" t="str">
            <v>FCHNL 100M 9/125 LC-LC</v>
          </cell>
        </row>
        <row r="805">
          <cell r="A805" t="str">
            <v>FC100M-9MSLC</v>
          </cell>
          <cell r="B805" t="str">
            <v>FCHNL 100M 9/125 SC-LC</v>
          </cell>
        </row>
        <row r="806">
          <cell r="A806" t="str">
            <v>FC10M-50M</v>
          </cell>
          <cell r="B806" t="str">
            <v>FIBRE 10M 50/125 CBL</v>
          </cell>
        </row>
        <row r="807">
          <cell r="A807" t="str">
            <v>FC10M-50MLC</v>
          </cell>
          <cell r="B807" t="str">
            <v>FCHNL 10M 50/125 LC-LC</v>
          </cell>
        </row>
        <row r="808">
          <cell r="A808" t="str">
            <v>FC10M-50MSLC</v>
          </cell>
          <cell r="B808" t="str">
            <v>FCHNL 10M 50/125 SC-LC</v>
          </cell>
        </row>
        <row r="809">
          <cell r="A809" t="str">
            <v>FC10M-9M</v>
          </cell>
          <cell r="B809" t="str">
            <v>FCHNL 10M 9/125 SC-SC</v>
          </cell>
        </row>
        <row r="810">
          <cell r="A810" t="str">
            <v>FC10M-9MLC</v>
          </cell>
          <cell r="B810" t="str">
            <v>FCHNL 10M 9/125 LC-LC</v>
          </cell>
        </row>
        <row r="811">
          <cell r="A811" t="str">
            <v>FC10M-9MSLC</v>
          </cell>
          <cell r="B811" t="str">
            <v>FCHNL 10M 9/125 SC-LC</v>
          </cell>
        </row>
        <row r="812">
          <cell r="A812" t="str">
            <v>FC1M-50MLC</v>
          </cell>
          <cell r="B812" t="str">
            <v>FCHNL 1M 50/125 LC-LC</v>
          </cell>
        </row>
        <row r="813">
          <cell r="A813" t="str">
            <v>FC1M-50MSLC</v>
          </cell>
          <cell r="B813" t="str">
            <v>FCHNL 1M 50/125 SC-LC</v>
          </cell>
        </row>
        <row r="814">
          <cell r="A814" t="str">
            <v>FC1M-9MSLC</v>
          </cell>
          <cell r="B814" t="str">
            <v>FCHNL 1M 9/125 SC-LC</v>
          </cell>
        </row>
        <row r="815">
          <cell r="A815" t="str">
            <v>FC-30-181</v>
          </cell>
          <cell r="B815" t="str">
            <v>FC 181GB DRIVE 7.2K</v>
          </cell>
        </row>
        <row r="816">
          <cell r="A816" t="str">
            <v>FC-30-181U</v>
          </cell>
          <cell r="B816" t="str">
            <v>FC 181GB DRIVE 7.2K UPG</v>
          </cell>
        </row>
        <row r="817">
          <cell r="A817" t="str">
            <v>FC30M-50M</v>
          </cell>
          <cell r="B817" t="str">
            <v>FIBRE 30M 50/125 CBL</v>
          </cell>
        </row>
        <row r="818">
          <cell r="A818" t="str">
            <v>FC30M-50MLC</v>
          </cell>
          <cell r="B818" t="str">
            <v>FCHNL 30M 50/125 LC-LC</v>
          </cell>
        </row>
        <row r="819">
          <cell r="A819" t="str">
            <v>FC30M-50MSLC</v>
          </cell>
          <cell r="B819" t="str">
            <v>FCHNL 30M 50/125 SC-LC</v>
          </cell>
        </row>
        <row r="820">
          <cell r="A820" t="str">
            <v>FC30M-9M</v>
          </cell>
          <cell r="B820" t="str">
            <v>FCHNL 30M 9/125 SC-SC</v>
          </cell>
        </row>
        <row r="821">
          <cell r="A821" t="str">
            <v>FC30M-9MLC</v>
          </cell>
          <cell r="B821" t="str">
            <v>FCHNL 30M 9/125 LC-LC</v>
          </cell>
        </row>
        <row r="822">
          <cell r="A822" t="str">
            <v>FC30M-9MSLC</v>
          </cell>
          <cell r="B822" t="str">
            <v>FCHNL 30M 9/125 SC-LC</v>
          </cell>
        </row>
        <row r="823">
          <cell r="A823" t="str">
            <v>FC-31-18</v>
          </cell>
          <cell r="B823" t="str">
            <v>FC 18GB DRIVE 10K</v>
          </cell>
        </row>
        <row r="824">
          <cell r="A824" t="str">
            <v>FC-31-18UP</v>
          </cell>
          <cell r="B824" t="str">
            <v>FC 18GB DRIVE 10K UPG</v>
          </cell>
        </row>
        <row r="825">
          <cell r="A825" t="str">
            <v>FC-31-36</v>
          </cell>
          <cell r="B825" t="str">
            <v>FC 36GB DRIVE 10K</v>
          </cell>
        </row>
        <row r="826">
          <cell r="A826" t="str">
            <v>FC-31-36UP</v>
          </cell>
          <cell r="B826" t="str">
            <v>FC 36GB DRIVE 10K UPG</v>
          </cell>
        </row>
        <row r="827">
          <cell r="A827" t="str">
            <v>FC-315-18</v>
          </cell>
          <cell r="B827" t="str">
            <v>FC 18GB DRIVE 15K</v>
          </cell>
        </row>
        <row r="828">
          <cell r="A828" t="str">
            <v>FC31518JBU</v>
          </cell>
          <cell r="B828" t="str">
            <v>1" 18.15GB FC15K 512 BYTE</v>
          </cell>
        </row>
        <row r="829">
          <cell r="A829" t="str">
            <v>FC-315-18U</v>
          </cell>
          <cell r="B829" t="str">
            <v>FC 18GB DRIVE 15K UPG</v>
          </cell>
        </row>
        <row r="830">
          <cell r="A830" t="str">
            <v>FC-315-36</v>
          </cell>
          <cell r="B830" t="str">
            <v>FC 36GB DRIVE 15K</v>
          </cell>
        </row>
        <row r="831">
          <cell r="A831" t="str">
            <v>FC-315-36U</v>
          </cell>
          <cell r="B831" t="str">
            <v>FC 36GB DRIVE 15K UPG</v>
          </cell>
        </row>
        <row r="832">
          <cell r="A832" t="str">
            <v>FC-31-73</v>
          </cell>
          <cell r="B832" t="str">
            <v>FC 73GB DRIVE 10K</v>
          </cell>
        </row>
        <row r="833">
          <cell r="A833" t="str">
            <v>FC-31-73UP</v>
          </cell>
          <cell r="B833" t="str">
            <v>FC 73GB DRIVE 10K UPG</v>
          </cell>
        </row>
        <row r="834">
          <cell r="A834" t="str">
            <v>FC3M-50MLC</v>
          </cell>
          <cell r="B834" t="str">
            <v>FCHNL 3M 50/125 LC-LC</v>
          </cell>
        </row>
        <row r="835">
          <cell r="A835" t="str">
            <v>FC3M-50MSLC</v>
          </cell>
          <cell r="B835" t="str">
            <v>FCHNL 3M 50/125 SC-LC</v>
          </cell>
        </row>
        <row r="836">
          <cell r="A836" t="str">
            <v>FC3M-9MSLC</v>
          </cell>
          <cell r="B836" t="str">
            <v>FCHNL 3M 9/125 SC-LC</v>
          </cell>
        </row>
        <row r="837">
          <cell r="A837" t="str">
            <v>FC4500</v>
          </cell>
          <cell r="B837" t="str">
            <v>FC4500 DPE (FACTORY INSTALL)</v>
          </cell>
        </row>
        <row r="838">
          <cell r="A838" t="str">
            <v>FC4500-D18</v>
          </cell>
          <cell r="B838" t="str">
            <v>FC4500 Field install with (10) 18Gb Drives</v>
          </cell>
        </row>
        <row r="839">
          <cell r="A839" t="str">
            <v>FC4500-D36</v>
          </cell>
          <cell r="B839" t="str">
            <v>FC4500 Field Install with (10) 36GB drives</v>
          </cell>
        </row>
        <row r="840">
          <cell r="A840" t="str">
            <v>FC4500-D73</v>
          </cell>
          <cell r="B840" t="str">
            <v>FC4500 Field Install with (10) 36GB drives</v>
          </cell>
        </row>
        <row r="841">
          <cell r="A841" t="str">
            <v>FC4500-DE</v>
          </cell>
          <cell r="B841" t="str">
            <v>FC4500 DPE FIELD INSTALL</v>
          </cell>
        </row>
        <row r="842">
          <cell r="A842" t="str">
            <v>FC4500-FLD</v>
          </cell>
          <cell r="B842" t="str">
            <v>FC4500 DPE (FIELD INSTALL)</v>
          </cell>
        </row>
        <row r="843">
          <cell r="A843" t="str">
            <v>FC4500-I</v>
          </cell>
          <cell r="B843" t="str">
            <v>ALPINE HA DEP FOR ICL</v>
          </cell>
        </row>
        <row r="844">
          <cell r="A844" t="str">
            <v>FC4502</v>
          </cell>
          <cell r="B844" t="str">
            <v>FC4500 DESKSIDE W/ 20 SLOTS</v>
          </cell>
        </row>
        <row r="845">
          <cell r="A845" t="str">
            <v>FC45R-18H</v>
          </cell>
          <cell r="B845" t="str">
            <v>FC RACK DPE 10 18GB</v>
          </cell>
        </row>
        <row r="846">
          <cell r="A846" t="str">
            <v>FC45R-36H</v>
          </cell>
          <cell r="B846" t="str">
            <v>FC RACK DPE 10 36GB</v>
          </cell>
        </row>
        <row r="847">
          <cell r="A847" t="str">
            <v>FC45R-73H</v>
          </cell>
          <cell r="B847" t="str">
            <v>FSC DPE 10X73GB 1GB CACHE</v>
          </cell>
        </row>
        <row r="848">
          <cell r="A848" t="str">
            <v>FC45R-C1GB</v>
          </cell>
          <cell r="B848" t="str">
            <v>1GB CACHE UPGRADE FC4500</v>
          </cell>
        </row>
        <row r="849">
          <cell r="A849" t="str">
            <v>FC4700</v>
          </cell>
          <cell r="B849" t="str">
            <v>FC4700 DPE (FACTORY INSTALL)</v>
          </cell>
        </row>
        <row r="850">
          <cell r="A850" t="str">
            <v>FC4700-2</v>
          </cell>
          <cell r="B850" t="str">
            <v>FC4700 2Gb DPE (FACTORY INSTALL)</v>
          </cell>
        </row>
        <row r="851">
          <cell r="A851" t="str">
            <v>FC4700-2B</v>
          </cell>
          <cell r="B851" t="str">
            <v>Bull FC4700-2 HA with accessory kit and SPS</v>
          </cell>
        </row>
        <row r="852">
          <cell r="A852" t="str">
            <v>FC4700-DE</v>
          </cell>
          <cell r="B852" t="str">
            <v>FC4700 DPE FIELD INSTALL</v>
          </cell>
        </row>
        <row r="853">
          <cell r="A853" t="str">
            <v>FC4700-DE2</v>
          </cell>
          <cell r="B853" t="str">
            <v>FC4700 DPE Field Install 2GB for Dell</v>
          </cell>
        </row>
        <row r="854">
          <cell r="A854" t="str">
            <v>FC4700-DG</v>
          </cell>
          <cell r="B854" t="str">
            <v>FC4700 DPE FOR DG</v>
          </cell>
        </row>
        <row r="855">
          <cell r="A855" t="str">
            <v>FC4700-FD2</v>
          </cell>
          <cell r="B855" t="str">
            <v>FC4700 2Gb DPE (FIELD INSTALL</v>
          </cell>
        </row>
        <row r="856">
          <cell r="A856" t="str">
            <v>FC4700-FLD</v>
          </cell>
          <cell r="B856" t="str">
            <v>FC4700 DPE (FIELD INSTALL)</v>
          </cell>
        </row>
        <row r="857">
          <cell r="A857" t="str">
            <v>FC4700-I</v>
          </cell>
          <cell r="B857" t="str">
            <v>FC 4700 ICL</v>
          </cell>
        </row>
        <row r="858">
          <cell r="A858" t="str">
            <v>FC4700R-B</v>
          </cell>
          <cell r="B858" t="str">
            <v>BULL FC4700-FLD HA</v>
          </cell>
        </row>
        <row r="859">
          <cell r="A859" t="str">
            <v>FC472R-18H</v>
          </cell>
          <cell r="B859" t="str">
            <v>FC4702 with 18GB 15K Drive FSC</v>
          </cell>
        </row>
        <row r="860">
          <cell r="A860" t="str">
            <v>FC472R-36H</v>
          </cell>
          <cell r="B860" t="str">
            <v>FC4702 with 10 36GB Drives FSC</v>
          </cell>
        </row>
        <row r="861">
          <cell r="A861" t="str">
            <v>FC472R-73H</v>
          </cell>
          <cell r="B861" t="str">
            <v>FC4702 with 10 73GB Drives FSC</v>
          </cell>
        </row>
        <row r="862">
          <cell r="A862" t="str">
            <v>FC47-IP47F</v>
          </cell>
          <cell r="B862" t="str">
            <v>FC47-10/100 IP47 CNVN KIT</v>
          </cell>
        </row>
        <row r="863">
          <cell r="A863" t="str">
            <v>FC47-IP47G</v>
          </cell>
          <cell r="B863" t="str">
            <v>FC47 TO GIG IP47 CNVN KIT</v>
          </cell>
        </row>
        <row r="864">
          <cell r="A864" t="str">
            <v>FC47R-18FH</v>
          </cell>
          <cell r="B864" t="str">
            <v>FC47 W 18GB 15KDR FSC</v>
          </cell>
        </row>
        <row r="865">
          <cell r="A865" t="str">
            <v>FC47R-36H</v>
          </cell>
          <cell r="B865" t="str">
            <v>FC4700 W (10 10) 36GB DR</v>
          </cell>
        </row>
        <row r="866">
          <cell r="A866" t="str">
            <v>FC47R-73H</v>
          </cell>
          <cell r="B866" t="str">
            <v>FC4700 W (10) 73GB DRIVES</v>
          </cell>
        </row>
        <row r="867">
          <cell r="A867" t="str">
            <v>FC50M-50M</v>
          </cell>
          <cell r="B867" t="str">
            <v>FIBRE 50M 50/125 CBL</v>
          </cell>
        </row>
        <row r="868">
          <cell r="A868" t="str">
            <v>FC50M-50MLC</v>
          </cell>
          <cell r="B868" t="str">
            <v>FCHNL 50M 50/125 LC-LC</v>
          </cell>
        </row>
        <row r="869">
          <cell r="A869" t="str">
            <v>FC50M-50MSLC</v>
          </cell>
          <cell r="B869" t="str">
            <v>FCHNL 50M 50/125 SC-LC</v>
          </cell>
        </row>
        <row r="870">
          <cell r="A870" t="str">
            <v>FC50M-9M</v>
          </cell>
          <cell r="B870" t="str">
            <v>FCHNL 50M 9/125 SC-SC</v>
          </cell>
        </row>
        <row r="871">
          <cell r="A871" t="str">
            <v>FC50M-9MLC</v>
          </cell>
          <cell r="B871" t="str">
            <v>FCHNL 50M 9/125 LC-LC</v>
          </cell>
        </row>
        <row r="872">
          <cell r="A872" t="str">
            <v>FC50M-9MSLC</v>
          </cell>
          <cell r="B872" t="str">
            <v>FCHNL 50M 9/125 SC-LC</v>
          </cell>
        </row>
        <row r="873">
          <cell r="A873" t="str">
            <v>FC5300</v>
          </cell>
          <cell r="B873" t="str">
            <v>FC5300 30 SLOT DESKSIDE</v>
          </cell>
        </row>
        <row r="874">
          <cell r="A874" t="str">
            <v>FC5301</v>
          </cell>
          <cell r="B874" t="str">
            <v>FC5301 10 SLOT DESKSIDE</v>
          </cell>
        </row>
        <row r="875">
          <cell r="A875" t="str">
            <v>FC53D-18H</v>
          </cell>
          <cell r="B875" t="str">
            <v>FC5300 DESK TO 18GB</v>
          </cell>
        </row>
        <row r="876">
          <cell r="A876" t="str">
            <v>FC53D-36H</v>
          </cell>
          <cell r="B876" t="str">
            <v>FC5300 DESK 10 36GB</v>
          </cell>
        </row>
        <row r="877">
          <cell r="A877" t="str">
            <v>FC53DDA360</v>
          </cell>
          <cell r="B877" t="str">
            <v>DE FC5310, 10 36GB DISKS, DIRECT ATTACH</v>
          </cell>
        </row>
        <row r="878">
          <cell r="A878" t="str">
            <v>FC53P-18</v>
          </cell>
          <cell r="B878" t="str">
            <v>FC5300 BASE PED 518GB</v>
          </cell>
        </row>
        <row r="879">
          <cell r="A879" t="str">
            <v>FC53P-18D</v>
          </cell>
          <cell r="B879" t="str">
            <v>FC HA 10 SLOT DAE 10 18GB</v>
          </cell>
        </row>
        <row r="880">
          <cell r="A880" t="str">
            <v>FC53P-18H</v>
          </cell>
          <cell r="B880" t="str">
            <v>FC5300 HA PED 10 18GB</v>
          </cell>
        </row>
        <row r="881">
          <cell r="A881" t="str">
            <v>FC53P-36</v>
          </cell>
          <cell r="B881" t="str">
            <v>FC5300 BASE PED 5 36GB</v>
          </cell>
        </row>
        <row r="882">
          <cell r="A882" t="str">
            <v>FC53P-36D</v>
          </cell>
          <cell r="B882" t="str">
            <v>FC HA 10 SLOT DAE 10 36GB</v>
          </cell>
        </row>
        <row r="883">
          <cell r="A883" t="str">
            <v>FC53P-36H</v>
          </cell>
          <cell r="B883" t="str">
            <v>FC5300 HA PED 10 36GB</v>
          </cell>
        </row>
        <row r="884">
          <cell r="A884" t="str">
            <v>FC53P-UH</v>
          </cell>
          <cell r="B884" t="str">
            <v>FC5300 PED HA UPG KIT</v>
          </cell>
        </row>
        <row r="885">
          <cell r="A885" t="str">
            <v>FC53R-18H</v>
          </cell>
          <cell r="B885" t="str">
            <v>FC5300 HA RACK 10 18GB</v>
          </cell>
        </row>
        <row r="886">
          <cell r="A886" t="str">
            <v>FC53R-18HH</v>
          </cell>
          <cell r="B886" t="str">
            <v>FBRCAT 5300 HA RCK5 18GB</v>
          </cell>
        </row>
        <row r="887">
          <cell r="A887" t="str">
            <v>FC53R-36H</v>
          </cell>
          <cell r="B887" t="str">
            <v>FC5300 HA RACK 10 36GB</v>
          </cell>
        </row>
        <row r="888">
          <cell r="A888" t="str">
            <v>FC53R-73H</v>
          </cell>
          <cell r="B888" t="str">
            <v>FSC IDAE 10X73GB 2X128MB</v>
          </cell>
        </row>
        <row r="889">
          <cell r="A889" t="str">
            <v>FC5M-50M</v>
          </cell>
          <cell r="B889" t="str">
            <v>FIBRE 5M 50/125 CBL</v>
          </cell>
        </row>
        <row r="890">
          <cell r="A890" t="str">
            <v>FC5M-50MLC</v>
          </cell>
          <cell r="B890" t="str">
            <v>FCHNL 5M 50/125 LC-LC</v>
          </cell>
        </row>
        <row r="891">
          <cell r="A891" t="str">
            <v>FC5M-50MSLC</v>
          </cell>
          <cell r="B891" t="str">
            <v>FCHNL 5M 50/125 SC-LC</v>
          </cell>
        </row>
        <row r="892">
          <cell r="A892" t="str">
            <v>FC5M-9M</v>
          </cell>
          <cell r="B892" t="str">
            <v>FCHNL 5M 9/125 SC-SC</v>
          </cell>
        </row>
        <row r="893">
          <cell r="A893" t="str">
            <v>FC5M-9MLC</v>
          </cell>
          <cell r="B893" t="str">
            <v>FCHNL 5M 9/125 LC-LC</v>
          </cell>
        </row>
        <row r="894">
          <cell r="A894" t="str">
            <v>FC5M-9MSLC</v>
          </cell>
          <cell r="B894" t="str">
            <v>FCHNL 5M 9/125 SC-LC</v>
          </cell>
        </row>
        <row r="895">
          <cell r="A895" t="str">
            <v>FC5X00-UPG</v>
          </cell>
          <cell r="B895" t="str">
            <v>FC5700 TO FC4500 UPGRADE</v>
          </cell>
        </row>
        <row r="896">
          <cell r="A896" t="str">
            <v>FC5XSPSUPG</v>
          </cell>
          <cell r="B896" t="str">
            <v>FC55/57 800W Upgrade</v>
          </cell>
        </row>
        <row r="897">
          <cell r="A897" t="str">
            <v>FC64-1063-EMC</v>
          </cell>
          <cell r="B897" t="str">
            <v>64 BIT JAYCOR ADAPTER</v>
          </cell>
        </row>
        <row r="898">
          <cell r="A898" t="str">
            <v>FC-ALHUB</v>
          </cell>
          <cell r="B898" t="str">
            <v>RAPPAPORT 1000-7 PORT HUB</v>
          </cell>
        </row>
        <row r="899">
          <cell r="A899" t="str">
            <v>FCCABLE10M</v>
          </cell>
          <cell r="B899" t="str">
            <v>10M CABLE</v>
          </cell>
        </row>
        <row r="900">
          <cell r="A900" t="str">
            <v>FCCABLE2M</v>
          </cell>
          <cell r="B900" t="str">
            <v>2M CABLE</v>
          </cell>
        </row>
        <row r="901">
          <cell r="A901" t="str">
            <v>FCD1-1810D</v>
          </cell>
          <cell r="B901" t="str">
            <v>18GBCH410KRPM520</v>
          </cell>
        </row>
        <row r="902">
          <cell r="A902" t="str">
            <v>FCD1-1815D</v>
          </cell>
          <cell r="B902" t="str">
            <v>18GB 15K 520</v>
          </cell>
        </row>
        <row r="903">
          <cell r="A903" t="str">
            <v>FCD1-3610D</v>
          </cell>
          <cell r="B903" t="str">
            <v>36GBCH410KRPM520</v>
          </cell>
        </row>
        <row r="904">
          <cell r="A904" t="str">
            <v>FCD1-7310D</v>
          </cell>
          <cell r="B904" t="str">
            <v>73GBCH410KRPM520</v>
          </cell>
        </row>
        <row r="905">
          <cell r="A905" t="str">
            <v>FC-DB9-10M</v>
          </cell>
          <cell r="B905" t="str">
            <v>10M CABLE</v>
          </cell>
        </row>
        <row r="906">
          <cell r="A906" t="str">
            <v>FC-DB9-1M</v>
          </cell>
          <cell r="B906" t="str">
            <v>1M CABLE</v>
          </cell>
        </row>
        <row r="907">
          <cell r="A907" t="str">
            <v>FC-DB9-30M</v>
          </cell>
          <cell r="B907" t="str">
            <v>30M CABLE</v>
          </cell>
        </row>
        <row r="908">
          <cell r="A908" t="str">
            <v>FC-DB9-3CM</v>
          </cell>
          <cell r="B908" t="str">
            <v>0.3M CABLE</v>
          </cell>
        </row>
        <row r="909">
          <cell r="A909" t="str">
            <v>FC-DB9-3M</v>
          </cell>
          <cell r="B909" t="str">
            <v>3M CABLE</v>
          </cell>
        </row>
        <row r="910">
          <cell r="A910" t="str">
            <v>FC-DB9-5CM</v>
          </cell>
          <cell r="B910" t="str">
            <v>0.5M CABLE</v>
          </cell>
        </row>
        <row r="911">
          <cell r="A911" t="str">
            <v>FC-DB9-5M</v>
          </cell>
          <cell r="B911" t="str">
            <v>5M CABLE</v>
          </cell>
        </row>
        <row r="912">
          <cell r="A912" t="str">
            <v>FCDR-00D</v>
          </cell>
          <cell r="B912" t="str">
            <v>DISKLESS DAE</v>
          </cell>
        </row>
        <row r="913">
          <cell r="A913" t="str">
            <v>FCDR-18D</v>
          </cell>
          <cell r="B913" t="str">
            <v>FIBERCAT RACK DAE HA 10 18GB 10K</v>
          </cell>
        </row>
        <row r="914">
          <cell r="A914" t="str">
            <v>FCDR-36D</v>
          </cell>
          <cell r="B914" t="str">
            <v>FIBRECAT RACK DAE HA 10 36GB 10K</v>
          </cell>
        </row>
        <row r="915">
          <cell r="A915" t="str">
            <v>FCDR-73D</v>
          </cell>
          <cell r="B915" t="str">
            <v>FSC 5300 DAE 10X73GB DR</v>
          </cell>
        </row>
        <row r="916">
          <cell r="A916" t="str">
            <v>FCE-1063-E</v>
          </cell>
          <cell r="B916" t="str">
            <v>SINGLE PORT JNI SBUS</v>
          </cell>
        </row>
        <row r="917">
          <cell r="A917" t="str">
            <v>FCE2-1063-EMC</v>
          </cell>
          <cell r="B917" t="str">
            <v>DUAL PORT SBUS JAYCOR</v>
          </cell>
        </row>
        <row r="918">
          <cell r="A918" t="str">
            <v>FCE2-1473-E</v>
          </cell>
          <cell r="B918" t="str">
            <v>2GB SBUS JNI HBA</v>
          </cell>
        </row>
        <row r="919">
          <cell r="A919" t="str">
            <v>FCE2-6410-N</v>
          </cell>
          <cell r="B919" t="str">
            <v>64 BIT DUAL PORT PCI</v>
          </cell>
        </row>
        <row r="920">
          <cell r="A920" t="str">
            <v>FCE2-6412-EMC</v>
          </cell>
          <cell r="B920" t="str">
            <v>DUAL PORT PCI JAYCOR</v>
          </cell>
        </row>
        <row r="921">
          <cell r="A921" t="str">
            <v>FC-HSS-10M</v>
          </cell>
          <cell r="B921" t="str">
            <v>DB9-HSSDC 10M CABLE</v>
          </cell>
        </row>
        <row r="922">
          <cell r="A922" t="str">
            <v>FC-HSS-20M</v>
          </cell>
          <cell r="B922" t="str">
            <v>DB9-HSSDC 20M CABLE</v>
          </cell>
        </row>
        <row r="923">
          <cell r="A923" t="str">
            <v>FC-HSS-5M</v>
          </cell>
          <cell r="B923" t="str">
            <v>DB9-HSSDC 5M CABLE</v>
          </cell>
        </row>
        <row r="924">
          <cell r="A924" t="str">
            <v>FCI-1063-EMCS</v>
          </cell>
          <cell r="B924" t="str">
            <v>JAYCOR INTERPHASE CARD</v>
          </cell>
        </row>
        <row r="925">
          <cell r="A925" t="str">
            <v>FCIF-GBICS</v>
          </cell>
          <cell r="B925" t="str">
            <v>SW OPTICAL GBIC</v>
          </cell>
        </row>
        <row r="926">
          <cell r="A926" t="str">
            <v>FCIF-MIA</v>
          </cell>
          <cell r="B926" t="str">
            <v>COPPER TO OPTICAL MIA</v>
          </cell>
        </row>
        <row r="927">
          <cell r="A927" t="str">
            <v>FCIPGR-18F</v>
          </cell>
          <cell r="B927" t="str">
            <v>IP47WGBITW(10)18GB15KDR</v>
          </cell>
        </row>
        <row r="928">
          <cell r="A928" t="str">
            <v>FCIPGR-36H</v>
          </cell>
          <cell r="B928" t="str">
            <v>IP47WGBITW (10)36GB</v>
          </cell>
        </row>
        <row r="929">
          <cell r="A929" t="str">
            <v>FCIPGR-73H</v>
          </cell>
          <cell r="B929" t="str">
            <v>OIP47GBIT 10 73GB 10K DR</v>
          </cell>
        </row>
        <row r="930">
          <cell r="A930" t="str">
            <v>FCIPR-18H</v>
          </cell>
          <cell r="B930" t="str">
            <v>FSC IP4700 DPE W18GB DR</v>
          </cell>
        </row>
        <row r="931">
          <cell r="A931" t="str">
            <v>FCIPR-36H</v>
          </cell>
          <cell r="B931" t="str">
            <v>FSCIP4700 W 36GB DRIVES</v>
          </cell>
        </row>
        <row r="932">
          <cell r="A932" t="str">
            <v>FCIPR-73H</v>
          </cell>
          <cell r="B932" t="str">
            <v>FSC IP4700 W 73GB DRIVES</v>
          </cell>
        </row>
        <row r="933">
          <cell r="A933" t="str">
            <v>FCM10636PORT</v>
          </cell>
          <cell r="B933" t="str">
            <v>6 PORT GADZOOK HUB</v>
          </cell>
        </row>
        <row r="934">
          <cell r="A934" t="str">
            <v>FCM1063GSS</v>
          </cell>
          <cell r="B934" t="str">
            <v>12 PORT REV B HUB</v>
          </cell>
        </row>
        <row r="935">
          <cell r="A935" t="str">
            <v>FC-OPT100M</v>
          </cell>
          <cell r="B935" t="str">
            <v>100M OPTICAL CABLES</v>
          </cell>
        </row>
        <row r="936">
          <cell r="A936" t="str">
            <v>FC-OPT10M</v>
          </cell>
          <cell r="B936" t="str">
            <v>10M OPTICAL CABLES</v>
          </cell>
        </row>
        <row r="937">
          <cell r="A937" t="str">
            <v>FC-OPT250M</v>
          </cell>
          <cell r="B937" t="str">
            <v>250M OPTICAL CABLES</v>
          </cell>
        </row>
        <row r="938">
          <cell r="A938" t="str">
            <v>FC-OPT500M</v>
          </cell>
          <cell r="B938" t="str">
            <v>500M OPTICAL CABLES</v>
          </cell>
        </row>
        <row r="939">
          <cell r="A939" t="str">
            <v>FC-OPT50M</v>
          </cell>
          <cell r="B939" t="str">
            <v>50M OPTICAL CABLES</v>
          </cell>
        </row>
        <row r="940">
          <cell r="A940" t="str">
            <v>FC-OPT5M</v>
          </cell>
          <cell r="B940" t="str">
            <v>5M OPTICAL CABLES</v>
          </cell>
        </row>
        <row r="941">
          <cell r="A941" t="str">
            <v>FCXR-SPS</v>
          </cell>
          <cell r="B941" t="str">
            <v>DUAL SPS</v>
          </cell>
        </row>
        <row r="942">
          <cell r="A942" t="str">
            <v>FCXX-FC47</v>
          </cell>
          <cell r="B942" t="str">
            <v>FC-FC4700 H/W CONVSN KIT</v>
          </cell>
        </row>
        <row r="943">
          <cell r="A943" t="str">
            <v>FCXX-FC472</v>
          </cell>
          <cell r="B943" t="str">
            <v>FCXX TO FC4700-2 CONVSN KIT</v>
          </cell>
        </row>
        <row r="944">
          <cell r="A944" t="str">
            <v>FE950</v>
          </cell>
          <cell r="B944" t="str">
            <v>MONITOR</v>
          </cell>
        </row>
        <row r="945">
          <cell r="A945" t="str">
            <v>FIBER-107M</v>
          </cell>
          <cell r="B945" t="str">
            <v>FBR CBL ESCON 107 METERS</v>
          </cell>
        </row>
        <row r="946">
          <cell r="A946" t="str">
            <v>FIBER-107M-PL</v>
          </cell>
          <cell r="B946" t="str">
            <v>FCBL ESCN PLENUM 107 METER</v>
          </cell>
        </row>
        <row r="947">
          <cell r="A947" t="str">
            <v>FIBER-122M</v>
          </cell>
          <cell r="B947" t="str">
            <v>FBR CBL ESCON 122 METERS</v>
          </cell>
        </row>
        <row r="948">
          <cell r="A948" t="str">
            <v>FIBER-13M</v>
          </cell>
          <cell r="B948" t="str">
            <v>FBR CBL ESCON 13 METERS</v>
          </cell>
        </row>
        <row r="949">
          <cell r="A949" t="str">
            <v>FIBER-13M-PL</v>
          </cell>
          <cell r="B949" t="str">
            <v>FCBL ESCN PLENUM 13METER</v>
          </cell>
        </row>
        <row r="950">
          <cell r="A950" t="str">
            <v>FIBER-22M</v>
          </cell>
          <cell r="B950" t="str">
            <v>FBR CBL ESCON 22 METERS</v>
          </cell>
        </row>
        <row r="951">
          <cell r="A951" t="str">
            <v>FIBER-22M-PL</v>
          </cell>
          <cell r="B951" t="str">
            <v>FCBL ESCN PLENUM 22 METER</v>
          </cell>
        </row>
        <row r="952">
          <cell r="A952" t="str">
            <v>FIBER-31M</v>
          </cell>
          <cell r="B952" t="str">
            <v>FBR CBL ESCON 31 METERS</v>
          </cell>
        </row>
        <row r="953">
          <cell r="A953" t="str">
            <v>FIBER-31M-PL</v>
          </cell>
          <cell r="B953" t="str">
            <v>FCBL ESCN PLENUM 31 METER</v>
          </cell>
        </row>
        <row r="954">
          <cell r="A954" t="str">
            <v>FIBER-46M</v>
          </cell>
          <cell r="B954" t="str">
            <v>FBR CBL ESCON 46 METERS</v>
          </cell>
        </row>
        <row r="955">
          <cell r="A955" t="str">
            <v>FIBER-4M</v>
          </cell>
          <cell r="B955" t="str">
            <v>FBR CBL ESCON 4 METERS</v>
          </cell>
        </row>
        <row r="956">
          <cell r="A956" t="str">
            <v>FIBER-61M</v>
          </cell>
          <cell r="B956" t="str">
            <v>FBR CBL ESCON 61 METERS</v>
          </cell>
        </row>
        <row r="957">
          <cell r="A957" t="str">
            <v>FIBER-61M-PL</v>
          </cell>
          <cell r="B957" t="str">
            <v>FCBL ESCN PLENUM 61 METER</v>
          </cell>
        </row>
        <row r="958">
          <cell r="A958" t="str">
            <v>FIBER-77M</v>
          </cell>
          <cell r="B958" t="str">
            <v>FBR CBL ESCON 77 METERS</v>
          </cell>
        </row>
        <row r="959">
          <cell r="A959" t="str">
            <v>FIBER-7M</v>
          </cell>
          <cell r="B959" t="str">
            <v>FBR CBL ESCON 7 METERS</v>
          </cell>
        </row>
        <row r="960">
          <cell r="A960" t="str">
            <v>FIBER-7M-PL</v>
          </cell>
          <cell r="B960" t="str">
            <v>FCBL ESCN PLENUM 7 METER</v>
          </cell>
        </row>
        <row r="961">
          <cell r="A961" t="str">
            <v>FIBER-92M</v>
          </cell>
          <cell r="B961" t="str">
            <v>FBR CBL ESCON 92 METERS</v>
          </cell>
        </row>
        <row r="962">
          <cell r="A962" t="str">
            <v>FM-LL100MD</v>
          </cell>
          <cell r="B962" t="str">
            <v>100M MM FIBRE CABLE LC-LC</v>
          </cell>
        </row>
        <row r="963">
          <cell r="A963" t="str">
            <v>FM-LL10MD</v>
          </cell>
          <cell r="B963" t="str">
            <v>10M MM FIBRE CABLE LC-LC</v>
          </cell>
        </row>
        <row r="964">
          <cell r="A964" t="str">
            <v>FM-LL1MD</v>
          </cell>
          <cell r="B964" t="str">
            <v>1M MM FIBRE CABLE LC-LC</v>
          </cell>
        </row>
        <row r="965">
          <cell r="A965" t="str">
            <v>FM-LL30MD</v>
          </cell>
          <cell r="B965" t="str">
            <v>30M MM FIBRE CABLE LC-LC</v>
          </cell>
        </row>
        <row r="966">
          <cell r="A966" t="str">
            <v>FM-LL3MD</v>
          </cell>
          <cell r="B966" t="str">
            <v>3M MM FIBRE CABLE LC-LC</v>
          </cell>
        </row>
        <row r="967">
          <cell r="A967" t="str">
            <v>FM-LL50MD</v>
          </cell>
          <cell r="B967" t="str">
            <v>50M MM FIBRE CABLE LC-LC</v>
          </cell>
        </row>
        <row r="968">
          <cell r="A968" t="str">
            <v>FM-LL5MD</v>
          </cell>
          <cell r="B968" t="str">
            <v>5M MM FIBRE CABLE LC-LC</v>
          </cell>
        </row>
        <row r="969">
          <cell r="A969" t="str">
            <v>FM-LS100MD</v>
          </cell>
          <cell r="B969" t="str">
            <v>100M MM FIBRE CABLE LC-SC</v>
          </cell>
        </row>
        <row r="970">
          <cell r="A970" t="str">
            <v>FM-LS10MD</v>
          </cell>
          <cell r="B970" t="str">
            <v>10M MM FIBRE CABLE LC-SC</v>
          </cell>
        </row>
        <row r="971">
          <cell r="A971" t="str">
            <v>FM-LS1MD</v>
          </cell>
          <cell r="B971" t="str">
            <v>1M MM FIBRE CABLE LC-SC</v>
          </cell>
        </row>
        <row r="972">
          <cell r="A972" t="str">
            <v>FM-LS30MD</v>
          </cell>
          <cell r="B972" t="str">
            <v>30M MM FIBRE CABLE LC-SC</v>
          </cell>
        </row>
        <row r="973">
          <cell r="A973" t="str">
            <v>FM-LS3MD</v>
          </cell>
          <cell r="B973" t="str">
            <v>3M MM FIBRE CABLE LC-SC</v>
          </cell>
        </row>
        <row r="974">
          <cell r="A974" t="str">
            <v>FM-LS50MD</v>
          </cell>
          <cell r="B974" t="str">
            <v>50M MM FIBRE CABLE LC-SC</v>
          </cell>
        </row>
        <row r="975">
          <cell r="A975" t="str">
            <v>FM-LS5MD</v>
          </cell>
          <cell r="B975" t="str">
            <v>5M MM FIBRE CABLE CL-SC</v>
          </cell>
        </row>
        <row r="976">
          <cell r="A976" t="str">
            <v>FORSYTHE</v>
          </cell>
          <cell r="B976" t="str">
            <v>FORSYTHE/COMPAQ PROLIANT</v>
          </cell>
        </row>
        <row r="977">
          <cell r="A977" t="str">
            <v>FRAME-ADJ</v>
          </cell>
          <cell r="B977" t="str">
            <v>ADJ RACK RAIL KIT-DAE/DPE</v>
          </cell>
        </row>
        <row r="978">
          <cell r="A978" t="str">
            <v>FRAME-T</v>
          </cell>
          <cell r="B978" t="str">
            <v>TELCO RAIL KIT FOR DPE/DAE</v>
          </cell>
        </row>
        <row r="979">
          <cell r="A979" t="str">
            <v>FS-LL100MD</v>
          </cell>
          <cell r="B979" t="str">
            <v>100M SM FIBRE CABLE LC-LC</v>
          </cell>
        </row>
        <row r="980">
          <cell r="A980" t="str">
            <v>FS-LL10MD</v>
          </cell>
          <cell r="B980" t="str">
            <v>10M SM FIBRE CABLE LC-LC</v>
          </cell>
        </row>
        <row r="981">
          <cell r="A981" t="str">
            <v>FS-LL30MD</v>
          </cell>
          <cell r="B981" t="str">
            <v>30M SM FIBRE OPTIC LC-LC</v>
          </cell>
        </row>
        <row r="982">
          <cell r="A982" t="str">
            <v>FS-LL50MD</v>
          </cell>
          <cell r="B982" t="str">
            <v>50M SM FIBRE CABLE LC-LC</v>
          </cell>
        </row>
        <row r="983">
          <cell r="A983" t="str">
            <v>FS-LL5MD</v>
          </cell>
          <cell r="B983" t="str">
            <v>5M SM FIBRE CABLE LC-LC</v>
          </cell>
        </row>
        <row r="984">
          <cell r="A984" t="str">
            <v>FS-LS100MD</v>
          </cell>
          <cell r="B984" t="str">
            <v>BULL MEM2-4096UPG</v>
          </cell>
        </row>
        <row r="985">
          <cell r="A985" t="str">
            <v>FS-LS10MD</v>
          </cell>
          <cell r="B985" t="str">
            <v>10M SM FIBRE CABLE LC-SC</v>
          </cell>
        </row>
        <row r="986">
          <cell r="A986" t="str">
            <v>FS-LS1MD</v>
          </cell>
          <cell r="B986" t="str">
            <v>1M SM FIBRE CABLE LC-SC</v>
          </cell>
        </row>
        <row r="987">
          <cell r="A987" t="str">
            <v>FS-LS30MD</v>
          </cell>
          <cell r="B987" t="str">
            <v>30M SM FIBRE CABLE LC-SC</v>
          </cell>
        </row>
        <row r="988">
          <cell r="A988" t="str">
            <v>FS-LS3MD</v>
          </cell>
          <cell r="B988" t="str">
            <v>3M SM FIBRE CABLE LC-SC</v>
          </cell>
        </row>
        <row r="989">
          <cell r="A989" t="str">
            <v>FS-LS50MD</v>
          </cell>
          <cell r="B989" t="str">
            <v>50M SM FIBRE CABLE LC-SC</v>
          </cell>
        </row>
        <row r="990">
          <cell r="A990" t="str">
            <v>FS-LS5MD</v>
          </cell>
          <cell r="B990" t="str">
            <v>5M SM FIBRE CABLE LC-SC</v>
          </cell>
        </row>
        <row r="991">
          <cell r="A991" t="str">
            <v>FT-100M-CBL</v>
          </cell>
          <cell r="B991" t="str">
            <v>FASTRAX 100M FIBRE CABLE</v>
          </cell>
        </row>
        <row r="992">
          <cell r="A992" t="str">
            <v>FT-10M-CBL</v>
          </cell>
          <cell r="B992" t="str">
            <v>FASTRAX 10M FIBRE CABLE</v>
          </cell>
        </row>
        <row r="993">
          <cell r="A993" t="str">
            <v>FT-12M-SCSI</v>
          </cell>
          <cell r="B993" t="str">
            <v>FASTAX 12M SCSI CABLE</v>
          </cell>
        </row>
        <row r="994">
          <cell r="A994" t="str">
            <v>FT-2DM-FC</v>
          </cell>
          <cell r="B994" t="str">
            <v>FASTRAX WITH 2 DATAMOVERS</v>
          </cell>
        </row>
        <row r="995">
          <cell r="A995" t="str">
            <v>FT-30M-CBL</v>
          </cell>
          <cell r="B995" t="str">
            <v>FASTRAX 30M FIBRE CABLE</v>
          </cell>
        </row>
        <row r="996">
          <cell r="A996" t="str">
            <v>FT-4DM-FC</v>
          </cell>
          <cell r="B996" t="str">
            <v>FASTRAX WITH 4 DATAMOVERS</v>
          </cell>
        </row>
        <row r="997">
          <cell r="A997" t="str">
            <v>FT-50M-CBL</v>
          </cell>
          <cell r="B997" t="str">
            <v>FASTRAX 50M FIBRE CABLE</v>
          </cell>
        </row>
        <row r="998">
          <cell r="A998" t="str">
            <v>FT-5M-CBL</v>
          </cell>
          <cell r="B998" t="str">
            <v>FASTRAX 5M FIBRE CABLE</v>
          </cell>
        </row>
        <row r="999">
          <cell r="A999" t="str">
            <v>FT-6M-SCSI</v>
          </cell>
          <cell r="B999" t="str">
            <v>FASTRAX 6M SCSI CABLE</v>
          </cell>
        </row>
        <row r="1000">
          <cell r="A1000" t="str">
            <v>FT-DM7-1</v>
          </cell>
          <cell r="B1000" t="str">
            <v>507 DATAMVR W/1 FIBRE CRD</v>
          </cell>
        </row>
        <row r="1001">
          <cell r="A1001" t="str">
            <v>FT-DM7-1U</v>
          </cell>
          <cell r="B1001" t="str">
            <v>507 DM W/1 FIBRE CRD UP</v>
          </cell>
        </row>
        <row r="1002">
          <cell r="A1002" t="str">
            <v>FT-DM7-2</v>
          </cell>
          <cell r="B1002" t="str">
            <v>507 DM W/2 CARDS</v>
          </cell>
        </row>
        <row r="1003">
          <cell r="A1003" t="str">
            <v>FT-DM7-2U</v>
          </cell>
          <cell r="B1003" t="str">
            <v>507 DM W/2 CARDS UPGRADE</v>
          </cell>
        </row>
        <row r="1004">
          <cell r="A1004" t="str">
            <v>FT-DRVB</v>
          </cell>
          <cell r="B1004" t="str">
            <v>BULL MEM2-5120</v>
          </cell>
        </row>
        <row r="1005">
          <cell r="A1005" t="str">
            <v>FT-GBDRV</v>
          </cell>
          <cell r="B1005" t="str">
            <v>BULL MEM2-512UPG</v>
          </cell>
        </row>
        <row r="1006">
          <cell r="A1006" t="str">
            <v>FT-SCSI-AD</v>
          </cell>
          <cell r="B1006" t="str">
            <v>SA SCSI ADAPTER</v>
          </cell>
        </row>
        <row r="1007">
          <cell r="A1007" t="str">
            <v>FT-SCSI-ADU</v>
          </cell>
          <cell r="B1007" t="str">
            <v>SA SCSI ADAPTER UPGRADE</v>
          </cell>
        </row>
        <row r="1008">
          <cell r="A1008" t="str">
            <v>FT-SCSI-DR</v>
          </cell>
          <cell r="B1008" t="str">
            <v>SA SCSI DIRECTOR</v>
          </cell>
        </row>
        <row r="1009">
          <cell r="A1009" t="str">
            <v>FT-SCSI-DRU</v>
          </cell>
          <cell r="B1009" t="str">
            <v>SA SCSI DIRECTOR UPGRADE</v>
          </cell>
        </row>
        <row r="1010">
          <cell r="A1010" t="str">
            <v>FT-SHPKT-DOM</v>
          </cell>
          <cell r="B1010" t="str">
            <v>FASTRAX DOMESTIC SHIPKIT</v>
          </cell>
        </row>
        <row r="1011">
          <cell r="A1011" t="str">
            <v>FT-SHPKT-INT</v>
          </cell>
          <cell r="B1011" t="str">
            <v>FASTRAX INTERNATIONAL SHIPKIT</v>
          </cell>
        </row>
        <row r="1012">
          <cell r="A1012" t="str">
            <v>FT-SPEC-FC</v>
          </cell>
          <cell r="B1012" t="str">
            <v>FASTRAX CUSTOM VERSION</v>
          </cell>
        </row>
        <row r="1013">
          <cell r="A1013" t="str">
            <v>H77E18180</v>
          </cell>
          <cell r="B1013" t="str">
            <v>HDS 180GB 18E ARRAY</v>
          </cell>
        </row>
        <row r="1014">
          <cell r="A1014" t="str">
            <v>H77E18360</v>
          </cell>
          <cell r="B1014" t="str">
            <v>HDS 360GB 18E ARRAY</v>
          </cell>
        </row>
        <row r="1015">
          <cell r="A1015" t="str">
            <v>H77E1845</v>
          </cell>
          <cell r="B1015" t="str">
            <v>HDS 45GB 18E ARRAY</v>
          </cell>
        </row>
        <row r="1016">
          <cell r="A1016" t="str">
            <v>H77E18720</v>
          </cell>
          <cell r="B1016" t="str">
            <v>HDS 720GB 18E ARRAY</v>
          </cell>
        </row>
        <row r="1017">
          <cell r="A1017" t="str">
            <v>H77E1890</v>
          </cell>
          <cell r="B1017" t="str">
            <v>HDS 90GB 18E ARRAY</v>
          </cell>
        </row>
        <row r="1018">
          <cell r="A1018" t="str">
            <v>H77E6360</v>
          </cell>
          <cell r="B1018" t="str">
            <v>HDS 360GB 6E ARRAY</v>
          </cell>
        </row>
        <row r="1019">
          <cell r="A1019" t="str">
            <v>H77E645</v>
          </cell>
          <cell r="B1019" t="str">
            <v>HDS 45GB 6E ARRAY</v>
          </cell>
        </row>
        <row r="1020">
          <cell r="A1020" t="str">
            <v>H77E6720</v>
          </cell>
          <cell r="B1020" t="str">
            <v>HDS 720GB 6E ARRAY</v>
          </cell>
        </row>
        <row r="1021">
          <cell r="A1021" t="str">
            <v>H77E690</v>
          </cell>
          <cell r="B1021" t="str">
            <v>HDS 90GB 6E ARRAY</v>
          </cell>
        </row>
        <row r="1022">
          <cell r="A1022" t="str">
            <v>H77E9.2180</v>
          </cell>
          <cell r="B1022" t="str">
            <v>HDS 180GB 9.2E ARRAY</v>
          </cell>
        </row>
        <row r="1023">
          <cell r="A1023" t="str">
            <v>H77E9.2360</v>
          </cell>
          <cell r="B1023" t="str">
            <v>HDS 360GB 9.2E ARRAY</v>
          </cell>
        </row>
        <row r="1024">
          <cell r="A1024" t="str">
            <v>H77E9.245</v>
          </cell>
          <cell r="B1024" t="str">
            <v>HDS 45GB 9.2E ARRAY</v>
          </cell>
        </row>
        <row r="1025">
          <cell r="A1025" t="str">
            <v>H77E9.2720</v>
          </cell>
          <cell r="B1025" t="str">
            <v>HDS 720GB 9.2E ARRAY</v>
          </cell>
        </row>
        <row r="1026">
          <cell r="A1026" t="str">
            <v>H77E9.290</v>
          </cell>
          <cell r="B1026" t="str">
            <v>HDS 90GB 9.2E ARRAY</v>
          </cell>
        </row>
        <row r="1027">
          <cell r="A1027" t="str">
            <v>HBACP-AIX</v>
          </cell>
          <cell r="B1027" t="str">
            <v>BULL MEM2-6144</v>
          </cell>
        </row>
        <row r="1028">
          <cell r="A1028" t="str">
            <v>HBACP-LNX</v>
          </cell>
          <cell r="B1028" t="str">
            <v>COPPER HBA/DRIVER - LINUX ATTACH</v>
          </cell>
        </row>
        <row r="1029">
          <cell r="A1029" t="str">
            <v>HBACP-NW</v>
          </cell>
          <cell r="B1029" t="str">
            <v>COPPER HBA/DRIVER - NETWARE ATTACH</v>
          </cell>
        </row>
        <row r="1030">
          <cell r="A1030" t="str">
            <v>HBACP-SUNS</v>
          </cell>
          <cell r="B1030" t="str">
            <v>COPPER HBA/DRIVER - SUN SBUS ATTACH</v>
          </cell>
        </row>
        <row r="1031">
          <cell r="A1031" t="str">
            <v>HBAE2-AIX</v>
          </cell>
          <cell r="B1031" t="str">
            <v>2Gb OPTICAL HBA FOR IBM AIX</v>
          </cell>
        </row>
        <row r="1032">
          <cell r="A1032" t="str">
            <v>HBAE2-NT</v>
          </cell>
          <cell r="B1032" t="str">
            <v>2Gb OPTICAL HBA FOR NT</v>
          </cell>
        </row>
        <row r="1033">
          <cell r="A1033" t="str">
            <v>HBAE2-SUNP</v>
          </cell>
          <cell r="B1033" t="str">
            <v>2Gb OPTICAL HBA FOR SUN PCI</v>
          </cell>
        </row>
        <row r="1034">
          <cell r="A1034" t="str">
            <v>HBAE2-SUNS</v>
          </cell>
          <cell r="B1034" t="str">
            <v>2Gb OPTICAL HBA FOR SUN SBUS</v>
          </cell>
        </row>
        <row r="1035">
          <cell r="A1035" t="str">
            <v>HBAE2-W2K</v>
          </cell>
          <cell r="B1035" t="str">
            <v>2Gb OPTICAL HBA FOR W2K</v>
          </cell>
        </row>
        <row r="1036">
          <cell r="A1036" t="str">
            <v>HBAGL-DGUX</v>
          </cell>
          <cell r="B1036" t="str">
            <v>DGUX ATTACH FC4700</v>
          </cell>
        </row>
        <row r="1037">
          <cell r="A1037" t="str">
            <v>HBAGL-SP2</v>
          </cell>
          <cell r="B1037" t="str">
            <v>OPTICAL HBA/DRIVER IBM SP2</v>
          </cell>
        </row>
        <row r="1038">
          <cell r="A1038" t="str">
            <v>HBAQ2-LNX</v>
          </cell>
          <cell r="B1038" t="str">
            <v>2Gb PCI HBA FOR LINUX</v>
          </cell>
        </row>
        <row r="1039">
          <cell r="A1039" t="str">
            <v>HBAQ2-NW</v>
          </cell>
          <cell r="B1039" t="str">
            <v>2Gb PCI HBA FOR NETWARE</v>
          </cell>
        </row>
        <row r="1040">
          <cell r="A1040" t="str">
            <v>HP18GB</v>
          </cell>
          <cell r="B1040" t="str">
            <v>18GB HP DRIVE</v>
          </cell>
        </row>
        <row r="1041">
          <cell r="A1041" t="str">
            <v>HP36GB</v>
          </cell>
          <cell r="B1041" t="str">
            <v>36GB HP DRIVE</v>
          </cell>
        </row>
        <row r="1042">
          <cell r="A1042" t="str">
            <v>HPA3404A</v>
          </cell>
          <cell r="B1042" t="str">
            <v>HOST BUS ADAPTER K CLASS</v>
          </cell>
        </row>
        <row r="1043">
          <cell r="A1043" t="str">
            <v>HPA-3591B</v>
          </cell>
          <cell r="B1043" t="str">
            <v>HP CARD</v>
          </cell>
        </row>
        <row r="1044">
          <cell r="A1044" t="str">
            <v>HPA3636A</v>
          </cell>
          <cell r="B1044" t="str">
            <v>HOST BUS ADAPTER T CLASS</v>
          </cell>
        </row>
        <row r="1045">
          <cell r="A1045" t="str">
            <v>HPA3724A</v>
          </cell>
          <cell r="B1045" t="str">
            <v>HP HUB</v>
          </cell>
        </row>
        <row r="1046">
          <cell r="A1046" t="str">
            <v>HPA3740A</v>
          </cell>
          <cell r="B1046" t="str">
            <v>HP PCI FIBRE CARD</v>
          </cell>
        </row>
        <row r="1047">
          <cell r="A1047" t="str">
            <v>HPA5158A</v>
          </cell>
          <cell r="B1047" t="str">
            <v>HP CARD</v>
          </cell>
        </row>
        <row r="1048">
          <cell r="A1048" t="str">
            <v>HPA6684A</v>
          </cell>
          <cell r="B1048" t="str">
            <v>HP CARD</v>
          </cell>
        </row>
        <row r="1049">
          <cell r="A1049" t="str">
            <v>HPA6685A</v>
          </cell>
          <cell r="B1049" t="str">
            <v>HP K-CLASS CARD</v>
          </cell>
        </row>
        <row r="1050">
          <cell r="A1050" t="str">
            <v>HPD8602A</v>
          </cell>
          <cell r="B1050" t="str">
            <v>HP CARD</v>
          </cell>
        </row>
        <row r="1051">
          <cell r="A1051" t="str">
            <v>HSG80</v>
          </cell>
          <cell r="B1051" t="str">
            <v>STORAGEWORKS CONTROLLER</v>
          </cell>
        </row>
        <row r="1052">
          <cell r="A1052" t="str">
            <v>HSJ80</v>
          </cell>
          <cell r="B1052" t="str">
            <v>STORAGEWORKS CONTROLLER</v>
          </cell>
        </row>
        <row r="1053">
          <cell r="A1053" t="str">
            <v>HSZ80</v>
          </cell>
          <cell r="B1053" t="str">
            <v>STORAGEWORKS CONTROLLER</v>
          </cell>
        </row>
        <row r="1054">
          <cell r="A1054" t="str">
            <v>HUBRACK</v>
          </cell>
          <cell r="B1054" t="str">
            <v>HUB COPPER 9PT RACK</v>
          </cell>
        </row>
        <row r="1055">
          <cell r="A1055" t="str">
            <v>HUBTABLE</v>
          </cell>
          <cell r="B1055" t="str">
            <v>HUB COPPER 9PT TABLE</v>
          </cell>
        </row>
        <row r="1056">
          <cell r="A1056" t="str">
            <v>HUB-UPG-CTX1</v>
          </cell>
          <cell r="B1056" t="str">
            <v>C-SC HUB UPG TRIPLE BAY</v>
          </cell>
        </row>
        <row r="1057">
          <cell r="A1057" t="str">
            <v>HUB-UPG-CTX2</v>
          </cell>
          <cell r="B1057" t="str">
            <v>C-SC HUB UPG SINGLE BAY</v>
          </cell>
        </row>
        <row r="1058">
          <cell r="A1058" t="str">
            <v>IBMESS18</v>
          </cell>
          <cell r="B1058" t="str">
            <v>IBM SHARK 500GB</v>
          </cell>
        </row>
        <row r="1059">
          <cell r="A1059" t="str">
            <v>IBMESS36</v>
          </cell>
          <cell r="B1059" t="str">
            <v>IBM SHARK 500GB</v>
          </cell>
        </row>
        <row r="1060">
          <cell r="A1060" t="str">
            <v>INRANGE</v>
          </cell>
          <cell r="B1060" t="str">
            <v>INRANGE CHANNEL EXTENDERS</v>
          </cell>
        </row>
        <row r="1061">
          <cell r="A1061" t="str">
            <v>INTERPOINT</v>
          </cell>
          <cell r="B1061" t="str">
            <v>GLOBAL SERVER</v>
          </cell>
        </row>
        <row r="1062">
          <cell r="A1062" t="str">
            <v>IP4700F</v>
          </cell>
          <cell r="B1062" t="str">
            <v>IP4700 FAST QUAD DPE (FACTORY INSTALL)</v>
          </cell>
        </row>
        <row r="1063">
          <cell r="A1063" t="str">
            <v>IP4700F-DE</v>
          </cell>
          <cell r="B1063" t="str">
            <v>IP4700F DPE FIELD INSTALL</v>
          </cell>
        </row>
        <row r="1064">
          <cell r="A1064" t="str">
            <v>IP4700F-FD</v>
          </cell>
          <cell r="B1064" t="str">
            <v>IP4700 FAST QUAD DPE (FIELD INSTALL)</v>
          </cell>
        </row>
        <row r="1065">
          <cell r="A1065" t="str">
            <v>IP4700G</v>
          </cell>
          <cell r="B1065" t="str">
            <v>IP4700 GIGE DPE (FACTORY INSTALL)</v>
          </cell>
        </row>
        <row r="1066">
          <cell r="A1066" t="str">
            <v>IP4700G-DE</v>
          </cell>
          <cell r="B1066" t="str">
            <v>IP4700G DPE FIELD INSTALL</v>
          </cell>
        </row>
        <row r="1067">
          <cell r="A1067" t="str">
            <v>IP4700G-FD</v>
          </cell>
          <cell r="B1067" t="str">
            <v>IP4700 GIGE DPE (FIELD INSTALL)</v>
          </cell>
        </row>
        <row r="1068">
          <cell r="A1068" t="str">
            <v>IP4700RF-B</v>
          </cell>
          <cell r="B1068" t="str">
            <v>BULL IP4700-FLD HA 10/100</v>
          </cell>
        </row>
        <row r="1069">
          <cell r="A1069" t="str">
            <v>IP4700RG-B</v>
          </cell>
          <cell r="B1069" t="str">
            <v>BULL IP4700-FLD HA 1GB</v>
          </cell>
        </row>
        <row r="1070">
          <cell r="A1070" t="str">
            <v>IP47-FC47</v>
          </cell>
          <cell r="B1070" t="str">
            <v>IP47 TO FC47 CONVSN KIT</v>
          </cell>
        </row>
        <row r="1071">
          <cell r="A1071" t="str">
            <v>IP47-FC472</v>
          </cell>
          <cell r="B1071" t="str">
            <v>IP47 TO FC4700-2 CONVSN KIT</v>
          </cell>
        </row>
        <row r="1072">
          <cell r="A1072" t="str">
            <v>IP47GNT-UP</v>
          </cell>
          <cell r="B1072" t="str">
            <v>GBIT LAN FIELD UPGRADE</v>
          </cell>
        </row>
        <row r="1073">
          <cell r="A1073" t="str">
            <v>IP47RD1</v>
          </cell>
          <cell r="B1073" t="str">
            <v>RAID 1/0, IP4700 DPE</v>
          </cell>
        </row>
        <row r="1074">
          <cell r="A1074" t="str">
            <v>IP47RD5</v>
          </cell>
          <cell r="B1074" t="str">
            <v>RAID 5, IP4700 DPE</v>
          </cell>
        </row>
        <row r="1075">
          <cell r="A1075" t="str">
            <v>JBOD</v>
          </cell>
          <cell r="B1075" t="str">
            <v>DISK DRIVES</v>
          </cell>
        </row>
        <row r="1076">
          <cell r="A1076" t="str">
            <v>JBOD-31-18</v>
          </cell>
          <cell r="B1076" t="str">
            <v>FC 18GB 10K 512BYTE</v>
          </cell>
        </row>
        <row r="1077">
          <cell r="A1077" t="str">
            <v>JBOD-31-36</v>
          </cell>
          <cell r="B1077" t="str">
            <v>FC 36GB 10K 512BYTE</v>
          </cell>
        </row>
        <row r="1078">
          <cell r="A1078" t="str">
            <v>JBOD-31-73</v>
          </cell>
          <cell r="B1078" t="str">
            <v>FC 73GB DRIVE 10K - JBOD</v>
          </cell>
        </row>
        <row r="1079">
          <cell r="A1079" t="str">
            <v>JBODCPQ</v>
          </cell>
          <cell r="B1079" t="str">
            <v>DISK DRIVES</v>
          </cell>
        </row>
        <row r="1080">
          <cell r="A1080" t="str">
            <v>JBODHDS</v>
          </cell>
          <cell r="B1080" t="str">
            <v>DISK DRIVES</v>
          </cell>
        </row>
        <row r="1081">
          <cell r="A1081" t="str">
            <v>JBODHP</v>
          </cell>
          <cell r="B1081" t="str">
            <v>DISK DRIVES</v>
          </cell>
        </row>
        <row r="1082">
          <cell r="A1082" t="str">
            <v>JBODIBM</v>
          </cell>
          <cell r="B1082" t="str">
            <v>DISK DRIVES</v>
          </cell>
        </row>
        <row r="1083">
          <cell r="A1083" t="str">
            <v>JBODMTI</v>
          </cell>
          <cell r="B1083" t="str">
            <v>DISK DRIVES</v>
          </cell>
        </row>
        <row r="1084">
          <cell r="A1084" t="str">
            <v>JBODNTAP</v>
          </cell>
          <cell r="B1084" t="str">
            <v>DISK DRIVES</v>
          </cell>
        </row>
        <row r="1085">
          <cell r="A1085" t="str">
            <v>JBODSTK</v>
          </cell>
          <cell r="B1085" t="str">
            <v>DISK DRIVES</v>
          </cell>
        </row>
        <row r="1086">
          <cell r="A1086" t="str">
            <v>JBODSUN</v>
          </cell>
          <cell r="B1086" t="str">
            <v>DISK DRIVES</v>
          </cell>
        </row>
        <row r="1087">
          <cell r="A1087" t="str">
            <v>JNI-FC-PCI2</v>
          </cell>
          <cell r="B1087" t="str">
            <v>JNI FC HBA - 2 PORT PCI</v>
          </cell>
        </row>
        <row r="1088">
          <cell r="A1088" t="str">
            <v>KGPSA-BC</v>
          </cell>
          <cell r="B1088" t="str">
            <v>COMPAQ HBA</v>
          </cell>
        </row>
        <row r="1089">
          <cell r="A1089" t="str">
            <v>KGPSA-CA</v>
          </cell>
          <cell r="B1089" t="str">
            <v>COMPAQ CARD</v>
          </cell>
        </row>
        <row r="1090">
          <cell r="A1090" t="str">
            <v>KODAK-RACK</v>
          </cell>
          <cell r="B1090" t="str">
            <v>KODAK RACKMOUNT CABINET</v>
          </cell>
        </row>
        <row r="1091">
          <cell r="A1091" t="str">
            <v>KZPBA-CB</v>
          </cell>
          <cell r="B1091" t="str">
            <v>SCSI CARD</v>
          </cell>
        </row>
        <row r="1092">
          <cell r="A1092" t="str">
            <v>LP-6502E-N1</v>
          </cell>
          <cell r="B1092" t="str">
            <v>EMULEX PCI FIBRE CHANNEL</v>
          </cell>
        </row>
        <row r="1093">
          <cell r="A1093" t="str">
            <v>LP7000-EMC-NT</v>
          </cell>
          <cell r="B1093" t="str">
            <v>EMULEX NT HOST ADAPTER</v>
          </cell>
        </row>
        <row r="1094">
          <cell r="A1094" t="str">
            <v>LP7000-E-N1</v>
          </cell>
          <cell r="B1094" t="str">
            <v>EMULEX CARD</v>
          </cell>
        </row>
        <row r="1095">
          <cell r="A1095" t="str">
            <v>LP8000-EMC</v>
          </cell>
          <cell r="B1095" t="str">
            <v>EMULEX CARD</v>
          </cell>
        </row>
        <row r="1096">
          <cell r="A1096" t="str">
            <v>LP8000-E-N1</v>
          </cell>
          <cell r="B1096" t="str">
            <v>EMULEX CARD</v>
          </cell>
        </row>
        <row r="1097">
          <cell r="A1097" t="str">
            <v>LP8000-S</v>
          </cell>
          <cell r="B1097" t="str">
            <v>EMULEX CARD</v>
          </cell>
        </row>
        <row r="1098">
          <cell r="A1098" t="str">
            <v>LP850</v>
          </cell>
          <cell r="B1098" t="str">
            <v>EMULEX CARD</v>
          </cell>
        </row>
        <row r="1099">
          <cell r="A1099" t="str">
            <v>LP9002-CE</v>
          </cell>
          <cell r="B1099" t="str">
            <v>EMULEX CARD</v>
          </cell>
        </row>
        <row r="1100">
          <cell r="A1100" t="str">
            <v>LP9002DC-E</v>
          </cell>
          <cell r="B1100" t="str">
            <v>DUAL PORT 2GB EMULEX BOARD</v>
          </cell>
        </row>
        <row r="1101">
          <cell r="A1101" t="str">
            <v>LP9002-E</v>
          </cell>
          <cell r="B1101" t="str">
            <v>EMULEX 2GIG 64BIT PCI 1PT</v>
          </cell>
        </row>
        <row r="1102">
          <cell r="A1102" t="str">
            <v>LP9002-FE</v>
          </cell>
          <cell r="B1102" t="str">
            <v>EMULEX CARD</v>
          </cell>
        </row>
        <row r="1103">
          <cell r="A1103" t="str">
            <v>LP9002-SE</v>
          </cell>
          <cell r="B1103" t="str">
            <v>EMULEX CARD</v>
          </cell>
        </row>
        <row r="1104">
          <cell r="A1104" t="str">
            <v>LSE-8HDA</v>
          </cell>
          <cell r="B1104" t="str">
            <v>SYM AS/400 LOAD SRC 8X</v>
          </cell>
        </row>
        <row r="1105">
          <cell r="A1105" t="str">
            <v>MA12000</v>
          </cell>
          <cell r="B1105" t="str">
            <v>STORAGEWORKS SUBSYSTEM</v>
          </cell>
        </row>
        <row r="1106">
          <cell r="A1106" t="str">
            <v>MA6000</v>
          </cell>
          <cell r="B1106" t="str">
            <v>STORAGEWORKS SUBSYSTEM</v>
          </cell>
        </row>
        <row r="1107">
          <cell r="A1107" t="str">
            <v>MA8000</v>
          </cell>
          <cell r="B1107" t="str">
            <v>STORAGEWORKS SUBSYSTEM</v>
          </cell>
        </row>
        <row r="1108">
          <cell r="A1108" t="str">
            <v>MEM1024</v>
          </cell>
          <cell r="B1108" t="str">
            <v>1024MB CACHE MEM</v>
          </cell>
        </row>
        <row r="1109">
          <cell r="A1109" t="str">
            <v>MEM10240</v>
          </cell>
          <cell r="B1109" t="str">
            <v>10240MB CACHE MEM</v>
          </cell>
        </row>
        <row r="1110">
          <cell r="A1110" t="str">
            <v>MEM1024-UPG</v>
          </cell>
          <cell r="B1110" t="str">
            <v>1024MB CACHE UPGRADE</v>
          </cell>
        </row>
        <row r="1111">
          <cell r="A1111" t="str">
            <v>MEM12288</v>
          </cell>
          <cell r="B1111" t="str">
            <v>12288MB CACHE MEM</v>
          </cell>
        </row>
        <row r="1112">
          <cell r="A1112" t="str">
            <v>MEM14336</v>
          </cell>
          <cell r="B1112" t="str">
            <v>14336MB CACHE MEM</v>
          </cell>
        </row>
        <row r="1113">
          <cell r="A1113" t="str">
            <v>MEM1536</v>
          </cell>
          <cell r="B1113" t="str">
            <v>1536MB CACHE MEM</v>
          </cell>
        </row>
        <row r="1114">
          <cell r="A1114" t="str">
            <v>MEM16384</v>
          </cell>
          <cell r="B1114" t="str">
            <v>16384MB CACHE MEM</v>
          </cell>
        </row>
        <row r="1115">
          <cell r="A1115" t="str">
            <v>MEM2048</v>
          </cell>
          <cell r="B1115" t="str">
            <v>2048MB CACHE MEM</v>
          </cell>
        </row>
        <row r="1116">
          <cell r="A1116" t="str">
            <v>MEM2048-UPG</v>
          </cell>
          <cell r="B1116" t="str">
            <v>2048MB CACHE MEM UPG</v>
          </cell>
        </row>
        <row r="1117">
          <cell r="A1117" t="str">
            <v>MEM2-1024</v>
          </cell>
          <cell r="B1117" t="str">
            <v>1024MB M2E CACHE MEMORY</v>
          </cell>
        </row>
        <row r="1118">
          <cell r="A1118" t="str">
            <v>MEM2-10240</v>
          </cell>
          <cell r="B1118" t="str">
            <v>10240MB M2E CACHE MEMORY</v>
          </cell>
        </row>
        <row r="1119">
          <cell r="A1119" t="str">
            <v>MEM2-1024UPG</v>
          </cell>
          <cell r="B1119" t="str">
            <v>1024MB M2E CACHE UPGRADE</v>
          </cell>
        </row>
        <row r="1120">
          <cell r="A1120" t="str">
            <v>MEM2-12288</v>
          </cell>
          <cell r="B1120" t="str">
            <v>12288MB M2E CACHE MEMORY</v>
          </cell>
        </row>
        <row r="1121">
          <cell r="A1121" t="str">
            <v>MEM2-14336</v>
          </cell>
          <cell r="B1121" t="str">
            <v>14336MB M2E CACHE MEMORY</v>
          </cell>
        </row>
        <row r="1122">
          <cell r="A1122" t="str">
            <v>MEM2-1536</v>
          </cell>
          <cell r="B1122" t="str">
            <v>1536MB M2E CACHE MEMORY</v>
          </cell>
        </row>
        <row r="1123">
          <cell r="A1123" t="str">
            <v>MEM2-16384</v>
          </cell>
          <cell r="B1123" t="str">
            <v>16384MB M2E CACHE MEMORY</v>
          </cell>
        </row>
        <row r="1124">
          <cell r="A1124" t="str">
            <v>MEM2-2048</v>
          </cell>
          <cell r="B1124" t="str">
            <v>2048MB M2E CACHE MEMORY</v>
          </cell>
        </row>
        <row r="1125">
          <cell r="A1125" t="str">
            <v>MEM2-2048UPG</v>
          </cell>
          <cell r="B1125" t="str">
            <v>2048MB M2E CACHE UPGRADE</v>
          </cell>
        </row>
        <row r="1126">
          <cell r="A1126" t="str">
            <v>MEM2-3072</v>
          </cell>
          <cell r="B1126" t="str">
            <v>3072MB M2E CACHE MEMORY</v>
          </cell>
        </row>
        <row r="1127">
          <cell r="A1127" t="str">
            <v>MEM2-4096</v>
          </cell>
          <cell r="B1127" t="str">
            <v>4096MB M2E CACHE MEMORY</v>
          </cell>
        </row>
        <row r="1128">
          <cell r="A1128" t="str">
            <v>MEM2-4096UPG</v>
          </cell>
          <cell r="B1128" t="str">
            <v>4096MB M2E CACHE UPGRADE</v>
          </cell>
        </row>
        <row r="1129">
          <cell r="A1129" t="str">
            <v>MEM2-5120</v>
          </cell>
          <cell r="B1129" t="str">
            <v>5120MB M2E CACHE MEMORY</v>
          </cell>
        </row>
        <row r="1130">
          <cell r="A1130" t="str">
            <v>MEM2-512UPG</v>
          </cell>
          <cell r="B1130" t="str">
            <v>512MB M2E CACHE UPGRADE</v>
          </cell>
        </row>
        <row r="1131">
          <cell r="A1131" t="str">
            <v>MEM2560</v>
          </cell>
          <cell r="B1131" t="str">
            <v>2560MB CACHE MEM</v>
          </cell>
        </row>
        <row r="1132">
          <cell r="A1132" t="str">
            <v>MEM256-UPG</v>
          </cell>
          <cell r="B1132" t="str">
            <v>256MB CACHE UPGRADE</v>
          </cell>
        </row>
        <row r="1133">
          <cell r="A1133" t="str">
            <v>MEM2-6144</v>
          </cell>
          <cell r="B1133" t="str">
            <v>6144MB M2E CACHE MEMORY</v>
          </cell>
        </row>
        <row r="1134">
          <cell r="A1134" t="str">
            <v>MEM2-8192</v>
          </cell>
          <cell r="B1134" t="str">
            <v>8192MB M2E CACHE MEMORY</v>
          </cell>
        </row>
        <row r="1135">
          <cell r="A1135" t="str">
            <v>MEM3072</v>
          </cell>
          <cell r="B1135" t="str">
            <v>3072MB  CACHE MEM</v>
          </cell>
        </row>
        <row r="1136">
          <cell r="A1136" t="str">
            <v>MEM3-1024UPG</v>
          </cell>
          <cell r="B1136" t="str">
            <v>1024MB M3 CACHE UPG</v>
          </cell>
        </row>
        <row r="1137">
          <cell r="A1137" t="str">
            <v>MEM3-16384</v>
          </cell>
          <cell r="B1137" t="str">
            <v>16384MB M3 CACHE MEM</v>
          </cell>
        </row>
        <row r="1138">
          <cell r="A1138" t="str">
            <v>MEM3-16384UPG</v>
          </cell>
          <cell r="B1138" t="str">
            <v>16384MB M2 CACHE UPG</v>
          </cell>
        </row>
        <row r="1139">
          <cell r="A1139" t="str">
            <v>MEM3-2048</v>
          </cell>
          <cell r="B1139" t="str">
            <v>2048MB M3 CACHE MEM</v>
          </cell>
        </row>
        <row r="1140">
          <cell r="A1140" t="str">
            <v>MEM3-2048UPG</v>
          </cell>
          <cell r="B1140" t="str">
            <v>2048MB M3 CACHE UPG</v>
          </cell>
        </row>
        <row r="1141">
          <cell r="A1141" t="str">
            <v>MEM3-24576</v>
          </cell>
          <cell r="B1141" t="str">
            <v>24576MB M3 CACHE MEM</v>
          </cell>
        </row>
        <row r="1142">
          <cell r="A1142" t="str">
            <v>MEM3-32768</v>
          </cell>
          <cell r="B1142" t="str">
            <v>32768MB M3 CACHE MEM</v>
          </cell>
        </row>
        <row r="1143">
          <cell r="A1143" t="str">
            <v>MEM3-4096</v>
          </cell>
          <cell r="B1143" t="str">
            <v>4096MB M3 CACHE MEM</v>
          </cell>
        </row>
        <row r="1144">
          <cell r="A1144" t="str">
            <v>MEM3-4096UPG</v>
          </cell>
          <cell r="B1144" t="str">
            <v>4096MB M3 CACHE UPG</v>
          </cell>
        </row>
        <row r="1145">
          <cell r="A1145" t="str">
            <v>MEM3-49152</v>
          </cell>
          <cell r="B1145" t="str">
            <v>49152MB M3 CACHE MEM</v>
          </cell>
        </row>
        <row r="1146">
          <cell r="A1146" t="str">
            <v>MEM3-65536</v>
          </cell>
          <cell r="B1146" t="str">
            <v>65536MB M3 CACHE MEM</v>
          </cell>
        </row>
        <row r="1147">
          <cell r="A1147" t="str">
            <v>MEM3-8192</v>
          </cell>
          <cell r="B1147" t="str">
            <v>8192MB M3 CACHE MEM</v>
          </cell>
        </row>
        <row r="1148">
          <cell r="A1148" t="str">
            <v>MEM3-8192UPG</v>
          </cell>
          <cell r="B1148" t="str">
            <v>8192MB M3 CACHE UPG</v>
          </cell>
        </row>
        <row r="1149">
          <cell r="A1149" t="str">
            <v>MEM4096</v>
          </cell>
          <cell r="B1149" t="str">
            <v>4096MB CACHE MEM</v>
          </cell>
        </row>
        <row r="1150">
          <cell r="A1150" t="str">
            <v>MEM4096-UPG</v>
          </cell>
          <cell r="B1150" t="str">
            <v>4096MB CACHE MEM UPG</v>
          </cell>
        </row>
        <row r="1151">
          <cell r="A1151" t="str">
            <v>MEM5120</v>
          </cell>
          <cell r="B1151" t="str">
            <v>5120MB CACHE MEM</v>
          </cell>
        </row>
        <row r="1152">
          <cell r="A1152" t="str">
            <v>MEM512-UPG</v>
          </cell>
          <cell r="B1152" t="str">
            <v>512MB CACHE UPGRADE</v>
          </cell>
        </row>
        <row r="1153">
          <cell r="A1153" t="str">
            <v>MEM6144</v>
          </cell>
          <cell r="B1153" t="str">
            <v>6144MB CACHE MEM</v>
          </cell>
        </row>
        <row r="1154">
          <cell r="A1154" t="str">
            <v>MEM8192</v>
          </cell>
          <cell r="B1154" t="str">
            <v>8192MB CACHE MEM</v>
          </cell>
        </row>
        <row r="1155">
          <cell r="A1155" t="str">
            <v>MH16</v>
          </cell>
          <cell r="B1155" t="str">
            <v>CONVERTER</v>
          </cell>
        </row>
        <row r="1156">
          <cell r="A1156" t="str">
            <v>MIAOP-COP</v>
          </cell>
          <cell r="B1156" t="str">
            <v>COPPER MEDIA INTERFACE ADAPT</v>
          </cell>
        </row>
        <row r="1157">
          <cell r="A1157" t="str">
            <v>MISC-I</v>
          </cell>
          <cell r="B1157" t="str">
            <v>MISC INTERNATIONAL HOST EQUIPMENT</v>
          </cell>
        </row>
        <row r="1158">
          <cell r="A1158" t="str">
            <v>MOSAIC</v>
          </cell>
          <cell r="B1158" t="str">
            <v>MOSAIC EQUIPMENT</v>
          </cell>
        </row>
        <row r="1159">
          <cell r="A1159" t="str">
            <v>MSCG023</v>
          </cell>
          <cell r="B1159" t="str">
            <v>BULL SCSI CARD</v>
          </cell>
        </row>
        <row r="1160">
          <cell r="A1160" t="str">
            <v>MSG-PC-A</v>
          </cell>
          <cell r="B1160" t="str">
            <v>COMPAQ A250 PC</v>
          </cell>
        </row>
        <row r="1161">
          <cell r="A1161" t="str">
            <v>MTI3600</v>
          </cell>
          <cell r="B1161" t="str">
            <v>GLADIATOR 3600</v>
          </cell>
        </row>
        <row r="1162">
          <cell r="A1162" t="str">
            <v>NTAP720</v>
          </cell>
          <cell r="B1162" t="str">
            <v>NET APPS 500GB</v>
          </cell>
        </row>
        <row r="1163">
          <cell r="A1163" t="str">
            <v>NTAP740</v>
          </cell>
          <cell r="B1163" t="str">
            <v>NET APPS 500GB</v>
          </cell>
        </row>
        <row r="1164">
          <cell r="A1164" t="str">
            <v>NTAP760</v>
          </cell>
          <cell r="B1164" t="str">
            <v>NET APPS 500GB</v>
          </cell>
        </row>
        <row r="1165">
          <cell r="A1165" t="str">
            <v>OE1063SW</v>
          </cell>
          <cell r="B1165" t="str">
            <v>OPTICAL SHORTWAVE GBIC</v>
          </cell>
        </row>
        <row r="1166">
          <cell r="A1166" t="str">
            <v>OMH180GB</v>
          </cell>
          <cell r="B1166" t="str">
            <v>HITACHI 7700 180GB ARRAY</v>
          </cell>
        </row>
        <row r="1167">
          <cell r="A1167" t="str">
            <v>OMH180GB9</v>
          </cell>
          <cell r="B1167" t="str">
            <v>HITACHI 180GB9</v>
          </cell>
        </row>
        <row r="1168">
          <cell r="A1168" t="str">
            <v>OMH220GB</v>
          </cell>
          <cell r="B1168" t="str">
            <v>HITACHI 220GB STORAGE</v>
          </cell>
        </row>
        <row r="1169">
          <cell r="A1169" t="str">
            <v>OMH220GB9</v>
          </cell>
          <cell r="B1169" t="str">
            <v>HDS7700/220GB ARRARY 9.2</v>
          </cell>
        </row>
        <row r="1170">
          <cell r="A1170" t="str">
            <v>OMH360GB</v>
          </cell>
          <cell r="B1170" t="str">
            <v>HITACHI 360GB STORAGE</v>
          </cell>
        </row>
        <row r="1171">
          <cell r="A1171" t="str">
            <v>OMH360GB9</v>
          </cell>
          <cell r="B1171" t="str">
            <v>HDS7700/360GB ARRARY 9.2</v>
          </cell>
        </row>
        <row r="1172">
          <cell r="A1172" t="str">
            <v>OMH45GB</v>
          </cell>
          <cell r="B1172" t="str">
            <v>HITACHI 7700 45 GB ARRAY</v>
          </cell>
        </row>
        <row r="1173">
          <cell r="A1173" t="str">
            <v>OMH45GB9</v>
          </cell>
          <cell r="B1173" t="str">
            <v>HITACHI 45GB9 STORAGE</v>
          </cell>
        </row>
        <row r="1174">
          <cell r="A1174" t="str">
            <v>OMH7700</v>
          </cell>
          <cell r="B1174" t="str">
            <v>HITACHI MODEL 7700 BASIC</v>
          </cell>
        </row>
        <row r="1175">
          <cell r="A1175" t="str">
            <v>OMH90GB</v>
          </cell>
          <cell r="B1175" t="str">
            <v>HITACHI 7700 90GB ARRRAY</v>
          </cell>
        </row>
        <row r="1176">
          <cell r="A1176" t="str">
            <v>OMH90GB9</v>
          </cell>
          <cell r="B1176" t="str">
            <v>HITACHI 90GB9 STORAGE</v>
          </cell>
        </row>
        <row r="1177">
          <cell r="A1177" t="str">
            <v>OMID1062A</v>
          </cell>
          <cell r="B1177" t="str">
            <v>SUN MFG SCSI HOST BUS ADP</v>
          </cell>
        </row>
        <row r="1178">
          <cell r="A1178" t="str">
            <v>OMID1065A</v>
          </cell>
          <cell r="B1178" t="str">
            <v>SUN 1065A ULTRA SCSI</v>
          </cell>
        </row>
        <row r="1179">
          <cell r="A1179" t="str">
            <v>OMID2412</v>
          </cell>
          <cell r="B1179" t="str">
            <v>IBM MFD DISK FEATURE CARD</v>
          </cell>
        </row>
        <row r="1180">
          <cell r="A1180" t="str">
            <v>OMID2944W</v>
          </cell>
          <cell r="B1180" t="str">
            <v>ADAPTEC MFD SCSI ADPT CRD</v>
          </cell>
        </row>
        <row r="1181">
          <cell r="A1181" t="str">
            <v>OMID2969A</v>
          </cell>
          <cell r="B1181" t="str">
            <v>I2969A HP SCSI ADAPTER</v>
          </cell>
        </row>
        <row r="1182">
          <cell r="A1182" t="str">
            <v>OMID6501</v>
          </cell>
          <cell r="B1182" t="str">
            <v>IBM IOP CARD</v>
          </cell>
        </row>
        <row r="1183">
          <cell r="A1183" t="str">
            <v>OPTERA</v>
          </cell>
          <cell r="B1183" t="str">
            <v>OPTERA EQUIPMENT</v>
          </cell>
        </row>
        <row r="1184">
          <cell r="A1184" t="str">
            <v>P3000-MC100</v>
          </cell>
          <cell r="B1184" t="str">
            <v>MC100 PRISM MGMT KIT</v>
          </cell>
        </row>
        <row r="1185">
          <cell r="A1185" t="str">
            <v>PARTAN-100</v>
          </cell>
          <cell r="B1185" t="str">
            <v>100' HALOGEN FREE CBL B&amp;T</v>
          </cell>
        </row>
        <row r="1186">
          <cell r="A1186" t="str">
            <v>PARTAN-125</v>
          </cell>
          <cell r="B1186" t="str">
            <v>125' HALOGEN FREE CBL B&amp;T</v>
          </cell>
        </row>
        <row r="1187">
          <cell r="A1187" t="str">
            <v>PARTAN-15</v>
          </cell>
          <cell r="B1187" t="str">
            <v>15' HALOGEN FREE CBL B&amp;T</v>
          </cell>
        </row>
        <row r="1188">
          <cell r="A1188" t="str">
            <v>PARTAN-150</v>
          </cell>
          <cell r="B1188" t="str">
            <v>150' HALOGEN FREE CBL B&amp;T</v>
          </cell>
        </row>
        <row r="1189">
          <cell r="A1189" t="str">
            <v>PARTAN-175</v>
          </cell>
          <cell r="B1189" t="str">
            <v>175' HALOGEN FREE CBL B&amp;T</v>
          </cell>
        </row>
        <row r="1190">
          <cell r="A1190" t="str">
            <v>PARTAN-200</v>
          </cell>
          <cell r="B1190" t="str">
            <v>200' HALOGEN FREE CBL B&amp;T</v>
          </cell>
        </row>
        <row r="1191">
          <cell r="A1191" t="str">
            <v>PARTAN-25</v>
          </cell>
          <cell r="B1191" t="str">
            <v>25' HALOGEN FREE CBL B&amp;T</v>
          </cell>
        </row>
        <row r="1192">
          <cell r="A1192" t="str">
            <v>PARTAN-50</v>
          </cell>
          <cell r="B1192" t="str">
            <v>50' HALOGEN FREE CBL B&amp;T</v>
          </cell>
        </row>
        <row r="1193">
          <cell r="A1193" t="str">
            <v>PARTAN-75</v>
          </cell>
          <cell r="B1193" t="str">
            <v>75' HALOGEN FREE CBL B&amp;T</v>
          </cell>
        </row>
        <row r="1194">
          <cell r="A1194" t="str">
            <v>PC-1032-GL31</v>
          </cell>
          <cell r="B1194" t="str">
            <v>ED-1032 LONG WAVE PORT CARD</v>
          </cell>
        </row>
        <row r="1195">
          <cell r="A1195" t="str">
            <v>PC-1032-GS40</v>
          </cell>
          <cell r="B1195" t="str">
            <v>ED-1032 SHORT WAVE PORT CARD</v>
          </cell>
        </row>
        <row r="1196">
          <cell r="A1196" t="str">
            <v>PC-GL31-UPG</v>
          </cell>
          <cell r="B1196" t="str">
            <v>ED-1032 UPGRADE LONG WAVE PORT CARD</v>
          </cell>
        </row>
        <row r="1197">
          <cell r="A1197" t="str">
            <v>PC-GS40-UPG</v>
          </cell>
          <cell r="B1197" t="str">
            <v>ED-1032 UPGRADE SHORT WAVE PORT CARD</v>
          </cell>
        </row>
        <row r="1198">
          <cell r="A1198" t="str">
            <v>PC-UPG-CTXSC1</v>
          </cell>
          <cell r="B1198" t="str">
            <v>C-SC PC UPG TRIPLE BAY</v>
          </cell>
        </row>
        <row r="1199">
          <cell r="A1199" t="str">
            <v>PC-UPG-CTXSC2</v>
          </cell>
          <cell r="B1199" t="str">
            <v>C-SC PC UPG SINGLE BAY</v>
          </cell>
        </row>
        <row r="1200">
          <cell r="A1200" t="str">
            <v>PC-UPG-NT1</v>
          </cell>
          <cell r="B1200" t="str">
            <v>SYMM 4 UPGRADE KIT FOR V5266</v>
          </cell>
        </row>
        <row r="1201">
          <cell r="A1201" t="str">
            <v>PC-UPG-NT1-D</v>
          </cell>
          <cell r="B1201" t="str">
            <v>NT SVC PROC UPG DOM</v>
          </cell>
        </row>
        <row r="1202">
          <cell r="A1202" t="str">
            <v>PC-UPG-NT1-I</v>
          </cell>
          <cell r="B1202" t="str">
            <v>NT SVC PROC UPG INTL</v>
          </cell>
        </row>
        <row r="1203">
          <cell r="A1203" t="str">
            <v>PC-UPG-NT2</v>
          </cell>
          <cell r="B1203" t="str">
            <v>SYMM 4 UPGRADE KIT FOR  V5266</v>
          </cell>
        </row>
        <row r="1204">
          <cell r="A1204" t="str">
            <v>PC-UPG-NT2-D</v>
          </cell>
          <cell r="B1204" t="str">
            <v>NT SVC PROC UPG DOM</v>
          </cell>
        </row>
        <row r="1205">
          <cell r="A1205" t="str">
            <v>PC-UPG-NT2-I</v>
          </cell>
          <cell r="B1205" t="str">
            <v>NT SVC PROC UPG INTL</v>
          </cell>
        </row>
        <row r="1206">
          <cell r="A1206" t="str">
            <v>PC-UPG-NT3</v>
          </cell>
          <cell r="B1206" t="str">
            <v>055 NTSP UPG DOM/INT</v>
          </cell>
        </row>
        <row r="1207">
          <cell r="A1207" t="str">
            <v>PC-UPG-NT4</v>
          </cell>
          <cell r="B1207" t="str">
            <v>P62/P79 BOBCAT NT PC UPG</v>
          </cell>
        </row>
        <row r="1208">
          <cell r="A1208" t="str">
            <v>PC-UPG-NT5</v>
          </cell>
          <cell r="B1208" t="str">
            <v>P62/P79 4.X NT PC UPG</v>
          </cell>
        </row>
        <row r="1209">
          <cell r="A1209" t="str">
            <v>PC-UPG-NT6</v>
          </cell>
          <cell r="B1209" t="str">
            <v>P62/P79 3/5700 NT PC UPG</v>
          </cell>
        </row>
        <row r="1210">
          <cell r="A1210" t="str">
            <v>PC-UPG-NT7</v>
          </cell>
          <cell r="B1210" t="str">
            <v>P88 NT PC UPG</v>
          </cell>
        </row>
        <row r="1211">
          <cell r="A1211" t="str">
            <v>PC-UPG-NT8</v>
          </cell>
          <cell r="B1211" t="str">
            <v>A5K NT PC UPG</v>
          </cell>
        </row>
        <row r="1212">
          <cell r="A1212" t="str">
            <v>PHONEMUX13</v>
          </cell>
          <cell r="B1212" t="str">
            <v>MULTIPLEXOR UP TO 13 SYMM</v>
          </cell>
        </row>
        <row r="1213">
          <cell r="A1213" t="str">
            <v>PHONEMUX29</v>
          </cell>
          <cell r="B1213" t="str">
            <v>MULTIPLEXOR UP TO 29 SYMM</v>
          </cell>
        </row>
        <row r="1214">
          <cell r="A1214" t="str">
            <v>PM-EW3247</v>
          </cell>
          <cell r="B1214" t="str">
            <v>EXTENDED WARRANTY</v>
          </cell>
        </row>
        <row r="1215">
          <cell r="A1215" t="str">
            <v>PW40U-ASTL</v>
          </cell>
          <cell r="B1215" t="str">
            <v>Dual 40U Rack Power Cords for Australia</v>
          </cell>
        </row>
        <row r="1216">
          <cell r="A1216" t="str">
            <v>PW40U-IEC3</v>
          </cell>
          <cell r="B1216" t="str">
            <v>Dual 40U Rack Power Cords for International use (e</v>
          </cell>
        </row>
        <row r="1217">
          <cell r="A1217" t="str">
            <v>PW40U-US</v>
          </cell>
          <cell r="B1217" t="str">
            <v>Dual 40U Rack Power Cord US</v>
          </cell>
        </row>
        <row r="1218">
          <cell r="A1218" t="str">
            <v>PWCAB-ASTL</v>
          </cell>
          <cell r="B1218" t="str">
            <v>DUAL CAB POWER CORD AUSTRALIA 1P56</v>
          </cell>
        </row>
        <row r="1219">
          <cell r="A1219" t="str">
            <v>PWCAB-IEC3</v>
          </cell>
          <cell r="B1219" t="str">
            <v>DUAL CAB POWER CORD IEC309</v>
          </cell>
        </row>
        <row r="1220">
          <cell r="A1220" t="str">
            <v>PWCAB-INTL</v>
          </cell>
          <cell r="B1220" t="str">
            <v>DUAL CAB POWER CORD INTL TWISTLOCK</v>
          </cell>
        </row>
        <row r="1221">
          <cell r="A1221" t="str">
            <v>PWCAB-USL</v>
          </cell>
          <cell r="B1221" t="str">
            <v>DUAL CAB POWER CORD US TWISTLOCK</v>
          </cell>
        </row>
        <row r="1222">
          <cell r="A1222" t="str">
            <v>PWDSK-ASTL</v>
          </cell>
          <cell r="B1222" t="str">
            <v>DUAL DESKSIDE POWER CORD AUSTRALIA</v>
          </cell>
        </row>
        <row r="1223">
          <cell r="A1223" t="str">
            <v>PWDSK-DEN</v>
          </cell>
          <cell r="B1223" t="str">
            <v>DUAL DESKSIDE POWER CORD DENMARK</v>
          </cell>
        </row>
        <row r="1224">
          <cell r="A1224" t="str">
            <v>PWDSK-EUR</v>
          </cell>
          <cell r="B1224" t="str">
            <v>DUAL DESKSIDE POWER CORD EUROPE</v>
          </cell>
        </row>
        <row r="1225">
          <cell r="A1225" t="str">
            <v>PWDSK-IT</v>
          </cell>
          <cell r="B1225" t="str">
            <v>DUAL DESKSIDE POWER CORD ITALY</v>
          </cell>
        </row>
        <row r="1226">
          <cell r="A1226" t="str">
            <v>PWDSK-JPN</v>
          </cell>
          <cell r="B1226" t="str">
            <v>DUAL DESKSIDE POWER CORD JAPAN</v>
          </cell>
        </row>
        <row r="1227">
          <cell r="A1227" t="str">
            <v>PWDSK-SWT</v>
          </cell>
          <cell r="B1227" t="str">
            <v>DUAL DESKSIDE POWER CORD SWITZ</v>
          </cell>
        </row>
        <row r="1228">
          <cell r="A1228" t="str">
            <v>PWDSK-UK</v>
          </cell>
          <cell r="B1228" t="str">
            <v>DUAL DESKSIDE POWER CORD UK</v>
          </cell>
        </row>
        <row r="1229">
          <cell r="A1229" t="str">
            <v>PWDSK-US</v>
          </cell>
          <cell r="B1229" t="str">
            <v>DUAL DESKSIDE POWER CORD US</v>
          </cell>
        </row>
        <row r="1230">
          <cell r="A1230" t="str">
            <v>QCP-2202F-ESP</v>
          </cell>
          <cell r="B1230" t="str">
            <v>QLOGIC SUNFIRE CARD</v>
          </cell>
        </row>
        <row r="1231">
          <cell r="A1231" t="str">
            <v>QLA1041</v>
          </cell>
          <cell r="B1231" t="str">
            <v>QLOGIC ADAPTER CARD</v>
          </cell>
        </row>
        <row r="1232">
          <cell r="A1232" t="str">
            <v>QLA-1240</v>
          </cell>
          <cell r="B1232" t="str">
            <v>QLOGIC CARD</v>
          </cell>
        </row>
        <row r="1233">
          <cell r="A1233" t="str">
            <v>QLA-2100-F</v>
          </cell>
          <cell r="B1233" t="str">
            <v>QLOGIC ADAPTER CARD</v>
          </cell>
        </row>
        <row r="1234">
          <cell r="A1234" t="str">
            <v>QLA-2200F-EMC</v>
          </cell>
          <cell r="B1234" t="str">
            <v>QLOGIC ADAPTER CARD</v>
          </cell>
        </row>
        <row r="1235">
          <cell r="A1235" t="str">
            <v>QLA-2202F-EMC</v>
          </cell>
          <cell r="B1235" t="str">
            <v>QLOGIC CARD</v>
          </cell>
        </row>
        <row r="1236">
          <cell r="A1236" t="str">
            <v>QLA-2300F-ESP</v>
          </cell>
          <cell r="B1236" t="str">
            <v>QLOGIC CARD</v>
          </cell>
        </row>
        <row r="1237">
          <cell r="A1237" t="str">
            <v>QLA-2302F-BK</v>
          </cell>
          <cell r="B1237" t="str">
            <v>2GB PCI QLOGIC CARD</v>
          </cell>
        </row>
        <row r="1238">
          <cell r="A1238" t="str">
            <v>QLA-2310F-ESP</v>
          </cell>
          <cell r="B1238" t="str">
            <v>2GB PCI-X 133MHZ QLOGIC HBA</v>
          </cell>
        </row>
        <row r="1239">
          <cell r="A1239" t="str">
            <v>RA8000</v>
          </cell>
          <cell r="B1239" t="str">
            <v>STORAGEWORKS SUBSYTEM</v>
          </cell>
        </row>
        <row r="1240">
          <cell r="A1240" t="str">
            <v>RD7133010</v>
          </cell>
          <cell r="B1240" t="str">
            <v>7133-010 SHELL ONLY-RACK</v>
          </cell>
        </row>
        <row r="1241">
          <cell r="A1241" t="str">
            <v>RD71333401</v>
          </cell>
          <cell r="B1241" t="str">
            <v>7133-3401 4.5 GB HDA</v>
          </cell>
        </row>
        <row r="1242">
          <cell r="A1242" t="str">
            <v>RJ-11CABLE</v>
          </cell>
          <cell r="B1242" t="str">
            <v>FOUR RJ-11 CBL FOR PHONE MUX SYS</v>
          </cell>
        </row>
        <row r="1243">
          <cell r="A1243" t="str">
            <v>RMK</v>
          </cell>
          <cell r="B1243" t="str">
            <v>RACKMOUNT/PATHLIGHT</v>
          </cell>
        </row>
        <row r="1244">
          <cell r="A1244" t="str">
            <v>RPQ16PCH53</v>
          </cell>
          <cell r="B1244" t="str">
            <v>RPQ 5300 16 PARALLEL</v>
          </cell>
        </row>
        <row r="1245">
          <cell r="A1245" t="str">
            <v>RPQ32PCH57</v>
          </cell>
          <cell r="B1245" t="str">
            <v>RPQ 5700 32 PARALLEL CHNL</v>
          </cell>
        </row>
        <row r="1246">
          <cell r="A1246" t="str">
            <v>RPQ34-CHN</v>
          </cell>
          <cell r="B1246" t="str">
            <v>RPL 1OR2 CACHE BD W/CHNDR</v>
          </cell>
        </row>
        <row r="1247">
          <cell r="A1247" t="str">
            <v>RPQ54-CHN</v>
          </cell>
          <cell r="B1247" t="str">
            <v>RPL 1OR2 CACHE BD W/</v>
          </cell>
        </row>
        <row r="1248">
          <cell r="A1248" t="str">
            <v>SAVANT</v>
          </cell>
          <cell r="B1248" t="str">
            <v>GLOBAL SERVER</v>
          </cell>
        </row>
        <row r="1249">
          <cell r="A1249" t="str">
            <v>SCB-DOC</v>
          </cell>
          <cell r="B1249" t="str">
            <v>SYMMETRIX-SCB DOC KIT</v>
          </cell>
        </row>
        <row r="1250">
          <cell r="A1250" t="str">
            <v>SCQ-DOC</v>
          </cell>
          <cell r="B1250" t="str">
            <v>SYMMETRIX-SCQ DOC KIT</v>
          </cell>
        </row>
        <row r="1251">
          <cell r="A1251" t="str">
            <v>SDAE10-I</v>
          </cell>
          <cell r="B1251" t="str">
            <v>SONY DAE MADE IN IRELAND</v>
          </cell>
        </row>
        <row r="1252">
          <cell r="A1252" t="str">
            <v>SDAE10-U</v>
          </cell>
          <cell r="B1252" t="str">
            <v>SONY DAE MADE IN US</v>
          </cell>
        </row>
        <row r="1253">
          <cell r="A1253" t="str">
            <v>SDAE218-I</v>
          </cell>
          <cell r="B1253" t="str">
            <v>Sony DAE w/2 18GB Cork</v>
          </cell>
        </row>
        <row r="1254">
          <cell r="A1254" t="str">
            <v>SDAE218-U</v>
          </cell>
          <cell r="B1254" t="str">
            <v>Sony DAE w/2 18GB APEX</v>
          </cell>
        </row>
        <row r="1255">
          <cell r="A1255" t="str">
            <v>SDAE236-I</v>
          </cell>
          <cell r="B1255" t="str">
            <v>Sony DAE w/2 36GB Cork</v>
          </cell>
        </row>
        <row r="1256">
          <cell r="A1256" t="str">
            <v>SDAE236-U</v>
          </cell>
          <cell r="B1256" t="str">
            <v>Sony DAE w/2 36GB APEX</v>
          </cell>
        </row>
        <row r="1257">
          <cell r="A1257" t="str">
            <v>SDAE273-I</v>
          </cell>
          <cell r="B1257" t="str">
            <v>Sony DAE w/2 73GB Cork</v>
          </cell>
        </row>
        <row r="1258">
          <cell r="A1258" t="str">
            <v>SDAE273-U</v>
          </cell>
          <cell r="B1258" t="str">
            <v>Sony DAE w/2 73GB APEX</v>
          </cell>
        </row>
        <row r="1259">
          <cell r="A1259" t="str">
            <v>SDAE-I</v>
          </cell>
          <cell r="B1259" t="str">
            <v>SONY DAE IRELAND NO DISKS</v>
          </cell>
        </row>
        <row r="1260">
          <cell r="A1260" t="str">
            <v>SDAE-U</v>
          </cell>
          <cell r="B1260" t="str">
            <v>SONY DAE US - NO DISKS</v>
          </cell>
        </row>
        <row r="1261">
          <cell r="A1261" t="str">
            <v>SEDC-FIBRE</v>
          </cell>
          <cell r="B1261" t="str">
            <v>ADDON FIBRE BOARD</v>
          </cell>
        </row>
        <row r="1262">
          <cell r="A1262" t="str">
            <v>SEDC-KIT1</v>
          </cell>
          <cell r="B1262" t="str">
            <v>1-PORT SYM EDM ATT KIT</v>
          </cell>
        </row>
        <row r="1263">
          <cell r="A1263" t="str">
            <v>SEDC-KIT3</v>
          </cell>
          <cell r="B1263" t="str">
            <v>3-PORT SYM EDM ATT KIT</v>
          </cell>
        </row>
        <row r="1264">
          <cell r="A1264" t="str">
            <v>SEDC-KIT5</v>
          </cell>
          <cell r="B1264" t="str">
            <v>5-PORT SYM EDM ATT KIT</v>
          </cell>
        </row>
        <row r="1265">
          <cell r="A1265" t="str">
            <v>SEDC-KITF</v>
          </cell>
          <cell r="B1265" t="str">
            <v>EDM FIBRE SYM ATT KIT</v>
          </cell>
        </row>
        <row r="1266">
          <cell r="A1266" t="str">
            <v>SEDC-KITF2</v>
          </cell>
          <cell r="B1266" t="str">
            <v>2-PT SYMM ATTACH-FC</v>
          </cell>
        </row>
        <row r="1267">
          <cell r="A1267" t="str">
            <v>SEDC-KITF4</v>
          </cell>
          <cell r="B1267" t="str">
            <v>4-PT SYMM ATTACH-FC</v>
          </cell>
        </row>
        <row r="1268">
          <cell r="A1268" t="str">
            <v>SEDC-KT2-PCIH</v>
          </cell>
          <cell r="B1268" t="str">
            <v>2-PT SYMM ATTACH-PCI HVD</v>
          </cell>
        </row>
        <row r="1269">
          <cell r="A1269" t="str">
            <v>SEDC-KT2-PCIL</v>
          </cell>
          <cell r="B1269" t="str">
            <v>2-PT SYMM ATTACH-PCI</v>
          </cell>
        </row>
        <row r="1270">
          <cell r="A1270" t="str">
            <v>SEDC-KT4-PCIH</v>
          </cell>
          <cell r="B1270" t="str">
            <v>4-PT SYMM ATTACH-PCI HVD</v>
          </cell>
        </row>
        <row r="1271">
          <cell r="A1271" t="str">
            <v>SEDC-KT4-PCIL</v>
          </cell>
          <cell r="B1271" t="str">
            <v>4-PT SYMM ATTACH-PCI</v>
          </cell>
        </row>
        <row r="1272">
          <cell r="A1272" t="str">
            <v>SGXARY010A</v>
          </cell>
          <cell r="B1272" t="str">
            <v>127GB SUN PHOTON/A5000'S</v>
          </cell>
        </row>
        <row r="1273">
          <cell r="A1273" t="str">
            <v>SGXARY012A</v>
          </cell>
          <cell r="B1273" t="str">
            <v>254GB SUN PHOTON/A5000'S</v>
          </cell>
        </row>
        <row r="1274">
          <cell r="A1274" t="str">
            <v>SONY18</v>
          </cell>
          <cell r="B1274" t="str">
            <v>SONY-1 18GB DRV 512 BYTE</v>
          </cell>
        </row>
        <row r="1275">
          <cell r="A1275" t="str">
            <v>SONY36</v>
          </cell>
          <cell r="B1275" t="str">
            <v>Sony 36GB C5 10K drive</v>
          </cell>
        </row>
        <row r="1276">
          <cell r="A1276" t="str">
            <v>SONY418</v>
          </cell>
          <cell r="B1276" t="str">
            <v>Sony 4 - 18GB drive pack</v>
          </cell>
        </row>
        <row r="1277">
          <cell r="A1277" t="str">
            <v>SONY436</v>
          </cell>
          <cell r="B1277" t="str">
            <v>Sony 4 pack 36GB C5 10K</v>
          </cell>
        </row>
        <row r="1278">
          <cell r="A1278" t="str">
            <v>SONY473</v>
          </cell>
          <cell r="B1278" t="str">
            <v>Sony 4 pack 73GB C5 10K</v>
          </cell>
        </row>
        <row r="1279">
          <cell r="A1279" t="str">
            <v>SP-1001</v>
          </cell>
          <cell r="B1279" t="str">
            <v>CONNECTRIX SVC PROC KIT</v>
          </cell>
        </row>
        <row r="1280">
          <cell r="A1280" t="str">
            <v>SP-1004</v>
          </cell>
          <cell r="B1280" t="str">
            <v>SRVCE PROCSSR FOR EC1200</v>
          </cell>
        </row>
        <row r="1281">
          <cell r="A1281" t="str">
            <v>SPS-ADJ</v>
          </cell>
          <cell r="B1281" t="str">
            <v>ADJ RACK RAIL KIT SPS</v>
          </cell>
        </row>
        <row r="1282">
          <cell r="A1282" t="str">
            <v>SPST</v>
          </cell>
          <cell r="B1282" t="str">
            <v>TELCO RAIL KIT FOR SPS</v>
          </cell>
        </row>
        <row r="1283">
          <cell r="A1283" t="str">
            <v>SQ99-20</v>
          </cell>
          <cell r="B1283" t="str">
            <v>CABLE</v>
          </cell>
        </row>
        <row r="1284">
          <cell r="A1284" t="str">
            <v>SQ9V-006</v>
          </cell>
          <cell r="B1284" t="str">
            <v>CABLE</v>
          </cell>
        </row>
        <row r="1285">
          <cell r="A1285" t="str">
            <v>SUNA5100</v>
          </cell>
          <cell r="B1285" t="str">
            <v>127 GB SUN</v>
          </cell>
        </row>
        <row r="1286">
          <cell r="A1286" t="str">
            <v>SUNA5200</v>
          </cell>
          <cell r="B1286" t="str">
            <v>200 GB SUN</v>
          </cell>
        </row>
        <row r="1287">
          <cell r="A1287" t="str">
            <v>SW1U-ADJ</v>
          </cell>
          <cell r="B1287" t="str">
            <v>ADJ RACK RAIL KIT 8 PORT SWITCH</v>
          </cell>
        </row>
        <row r="1288">
          <cell r="A1288" t="str">
            <v>SW1U-DE</v>
          </cell>
          <cell r="B1288" t="str">
            <v>ADJ RAIL KIT FOR 8 PORT SWITCH</v>
          </cell>
        </row>
        <row r="1289">
          <cell r="A1289" t="str">
            <v>SW1U-T</v>
          </cell>
          <cell r="B1289" t="str">
            <v>TELCO RAIL KIT 8 PORT SWITCH</v>
          </cell>
        </row>
        <row r="1290">
          <cell r="A1290" t="str">
            <v>SW2U-ADJ</v>
          </cell>
          <cell r="B1290" t="str">
            <v>ADJ RACK RAIL KIT 16 PORT SWITCH</v>
          </cell>
        </row>
        <row r="1291">
          <cell r="A1291" t="str">
            <v>SW2U-DE</v>
          </cell>
          <cell r="B1291" t="str">
            <v>ADJ RACK RAIL KIT FOR 16 PORT SWITCH</v>
          </cell>
        </row>
        <row r="1292">
          <cell r="A1292" t="str">
            <v>SW2U-T</v>
          </cell>
          <cell r="B1292" t="str">
            <v>TELCO RAIL KIT 16 PORT SWITCH</v>
          </cell>
        </row>
        <row r="1293">
          <cell r="A1293" t="str">
            <v>SYMMOD-115V</v>
          </cell>
          <cell r="B1293" t="str">
            <v>MODEM 115V</v>
          </cell>
        </row>
        <row r="1294">
          <cell r="A1294" t="str">
            <v>SYMMOD-230V</v>
          </cell>
          <cell r="B1294" t="str">
            <v>MODEM 230V</v>
          </cell>
        </row>
        <row r="1295">
          <cell r="A1295" t="str">
            <v>SYMMOD-ARTINA</v>
          </cell>
          <cell r="B1295" t="str">
            <v>MODEL ARGENTINA</v>
          </cell>
        </row>
        <row r="1296">
          <cell r="A1296" t="str">
            <v>SYMMOD-AST</v>
          </cell>
          <cell r="B1296" t="str">
            <v>MODEM AUSTRIA</v>
          </cell>
        </row>
        <row r="1297">
          <cell r="A1297" t="str">
            <v>SYMMOD-AUL</v>
          </cell>
          <cell r="B1297" t="str">
            <v>MODEM AUSTRALIA</v>
          </cell>
        </row>
        <row r="1298">
          <cell r="A1298" t="str">
            <v>SYMMOD-BEL</v>
          </cell>
          <cell r="B1298" t="str">
            <v>MODEL BELGIUM</v>
          </cell>
        </row>
        <row r="1299">
          <cell r="A1299" t="str">
            <v>SYMMOD-CHN</v>
          </cell>
          <cell r="B1299" t="str">
            <v>MODEM CHINA</v>
          </cell>
        </row>
        <row r="1300">
          <cell r="A1300" t="str">
            <v>SYMMOD-CZ</v>
          </cell>
          <cell r="B1300" t="str">
            <v>MODEM CZECH</v>
          </cell>
        </row>
        <row r="1301">
          <cell r="A1301" t="str">
            <v>SYMMOD-DEN</v>
          </cell>
          <cell r="B1301" t="str">
            <v>MODEM DENMARK</v>
          </cell>
        </row>
        <row r="1302">
          <cell r="A1302" t="str">
            <v>SYMMOD-EUR</v>
          </cell>
          <cell r="B1302" t="str">
            <v>MODEM EURO</v>
          </cell>
        </row>
        <row r="1303">
          <cell r="A1303" t="str">
            <v>SYMMOD-FIN</v>
          </cell>
          <cell r="B1303" t="str">
            <v>MODEM FINLAND</v>
          </cell>
        </row>
        <row r="1304">
          <cell r="A1304" t="str">
            <v>SYMMOD-FRA</v>
          </cell>
          <cell r="B1304" t="str">
            <v>MODEM FRANCE</v>
          </cell>
        </row>
        <row r="1305">
          <cell r="A1305" t="str">
            <v>SYMMOD-GER</v>
          </cell>
          <cell r="B1305" t="str">
            <v>MODEM GERMANY</v>
          </cell>
        </row>
        <row r="1306">
          <cell r="A1306" t="str">
            <v>SYMMOD-HK</v>
          </cell>
          <cell r="B1306" t="str">
            <v>MODEM HONGKONG</v>
          </cell>
        </row>
        <row r="1307">
          <cell r="A1307" t="str">
            <v>SYMMOD-IR1</v>
          </cell>
          <cell r="B1307" t="str">
            <v>MODEM ICELAND</v>
          </cell>
        </row>
        <row r="1308">
          <cell r="A1308" t="str">
            <v>SYMMOD-IRL</v>
          </cell>
          <cell r="B1308" t="str">
            <v>MODEM IRELAND</v>
          </cell>
        </row>
        <row r="1309">
          <cell r="A1309" t="str">
            <v>SYMMOD-ISR</v>
          </cell>
          <cell r="B1309" t="str">
            <v>MODEM ISRAEL</v>
          </cell>
        </row>
        <row r="1310">
          <cell r="A1310" t="str">
            <v>SYMMOD-ITA</v>
          </cell>
          <cell r="B1310" t="str">
            <v>MODEM ITALY</v>
          </cell>
        </row>
        <row r="1311">
          <cell r="A1311" t="str">
            <v>SYMMOD-JAP</v>
          </cell>
          <cell r="B1311" t="str">
            <v>MODEM JAPAN</v>
          </cell>
        </row>
        <row r="1312">
          <cell r="A1312" t="str">
            <v>SYMMOD-KOR</v>
          </cell>
          <cell r="B1312" t="str">
            <v>MODEM KOREA</v>
          </cell>
        </row>
        <row r="1313">
          <cell r="A1313" t="str">
            <v>SYMMOD-MOR</v>
          </cell>
          <cell r="B1313" t="str">
            <v>MODEM MOROCCO</v>
          </cell>
        </row>
        <row r="1314">
          <cell r="A1314" t="str">
            <v>SYMMOD-NET</v>
          </cell>
          <cell r="B1314" t="str">
            <v>MODEM NETHERLANDS</v>
          </cell>
        </row>
        <row r="1315">
          <cell r="A1315" t="str">
            <v>SYMMOD-NOR</v>
          </cell>
          <cell r="B1315" t="str">
            <v>MODEM NORWAY</v>
          </cell>
        </row>
        <row r="1316">
          <cell r="A1316" t="str">
            <v>SYMMOD-NZEA</v>
          </cell>
          <cell r="B1316" t="str">
            <v>MODEM NEW ZEALAND</v>
          </cell>
        </row>
        <row r="1317">
          <cell r="A1317" t="str">
            <v>SYMMOD-SA</v>
          </cell>
          <cell r="B1317" t="str">
            <v>MODEM SO. AFRICA</v>
          </cell>
        </row>
        <row r="1318">
          <cell r="A1318" t="str">
            <v>SYMMOD-SPA</v>
          </cell>
          <cell r="B1318" t="str">
            <v>MODEM SPAIN</v>
          </cell>
        </row>
        <row r="1319">
          <cell r="A1319" t="str">
            <v>SYMMOD-SWE</v>
          </cell>
          <cell r="B1319" t="str">
            <v>MODEM SWEDEN</v>
          </cell>
        </row>
        <row r="1320">
          <cell r="A1320" t="str">
            <v>SYMMOD-SWI</v>
          </cell>
          <cell r="B1320" t="str">
            <v>MODEM SWITZERLAND</v>
          </cell>
        </row>
        <row r="1321">
          <cell r="A1321" t="str">
            <v>SYMMOD-SWZ</v>
          </cell>
          <cell r="B1321" t="str">
            <v>MODEM SWITZERLAND INTER</v>
          </cell>
        </row>
        <row r="1322">
          <cell r="A1322" t="str">
            <v>SYMMOD-TAI</v>
          </cell>
          <cell r="B1322" t="str">
            <v>MODEL TAIWAN</v>
          </cell>
        </row>
        <row r="1323">
          <cell r="A1323" t="str">
            <v>SYMMOD-UK</v>
          </cell>
          <cell r="B1323" t="str">
            <v>MODEM UNITED KINGDOM</v>
          </cell>
        </row>
        <row r="1324">
          <cell r="A1324" t="str">
            <v>SYMMOD-US</v>
          </cell>
          <cell r="B1324" t="str">
            <v>MODEM USA</v>
          </cell>
        </row>
        <row r="1325">
          <cell r="A1325" t="str">
            <v>SYM-SECURE1</v>
          </cell>
          <cell r="B1325" t="str">
            <v>HALF BAY SEISMIC KIT</v>
          </cell>
        </row>
        <row r="1326">
          <cell r="A1326" t="str">
            <v>SYM-SECURE2</v>
          </cell>
          <cell r="B1326" t="str">
            <v>1 BAY SEISMIC KIT</v>
          </cell>
        </row>
        <row r="1327">
          <cell r="A1327" t="str">
            <v>SYM-SECURE3</v>
          </cell>
          <cell r="B1327" t="str">
            <v>3 BAY SEISMIC KIT</v>
          </cell>
        </row>
        <row r="1328">
          <cell r="A1328" t="str">
            <v>SYM-SILENCER</v>
          </cell>
          <cell r="B1328" t="str">
            <v>SILENCER 3/52XX 3/54XX</v>
          </cell>
        </row>
        <row r="1329">
          <cell r="A1329" t="str">
            <v>SYM-SILENCER3</v>
          </cell>
          <cell r="B1329" t="str">
            <v>SILENCER 8000 3/59X 3/58X</v>
          </cell>
        </row>
        <row r="1330">
          <cell r="A1330" t="str">
            <v>TH8BF-YF</v>
          </cell>
          <cell r="B1330" t="str">
            <v>QUANTUM DLT</v>
          </cell>
        </row>
        <row r="1331">
          <cell r="A1331" t="str">
            <v>TLU-100</v>
          </cell>
          <cell r="B1331" t="str">
            <v>ATL X/100 BASE TLU</v>
          </cell>
        </row>
        <row r="1332">
          <cell r="A1332" t="str">
            <v>TLU-P3000</v>
          </cell>
          <cell r="B1332" t="str">
            <v>ATL P3000 BASE TLU</v>
          </cell>
        </row>
        <row r="1333">
          <cell r="A1333" t="str">
            <v>TLU-P7000-BIN</v>
          </cell>
          <cell r="B1333" t="str">
            <v>P7K BIN UPG FM 555 TO 679</v>
          </cell>
        </row>
        <row r="1334">
          <cell r="A1334" t="str">
            <v>TLU-P7000D555</v>
          </cell>
          <cell r="B1334" t="str">
            <v>ATL P7K DLT TLU-555 CART</v>
          </cell>
        </row>
        <row r="1335">
          <cell r="A1335" t="str">
            <v>TLU-P7000D679</v>
          </cell>
          <cell r="B1335" t="str">
            <v>ATL P7K DLT TLU -679 CART</v>
          </cell>
        </row>
        <row r="1336">
          <cell r="A1336" t="str">
            <v>TLU-P7000L555</v>
          </cell>
          <cell r="B1336" t="str">
            <v>ATL P7K LTO -555 CART</v>
          </cell>
        </row>
        <row r="1337">
          <cell r="A1337" t="str">
            <v>TLU-P7000L679</v>
          </cell>
          <cell r="B1337" t="str">
            <v>ATL P7K LTO TLU -679 CART</v>
          </cell>
        </row>
        <row r="1338">
          <cell r="A1338" t="str">
            <v>U24531C100</v>
          </cell>
          <cell r="B1338" t="str">
            <v>FUJITSU OPT NT-NO HBA/CAB</v>
          </cell>
        </row>
        <row r="1339">
          <cell r="A1339" t="str">
            <v>U24531C101</v>
          </cell>
          <cell r="B1339" t="str">
            <v>FUJITSU OPT SUN-NO HBA/CA</v>
          </cell>
        </row>
        <row r="1340">
          <cell r="A1340" t="str">
            <v>VIXEL-2000</v>
          </cell>
          <cell r="B1340" t="str">
            <v>VIXEL RAPPORT 2000</v>
          </cell>
        </row>
        <row r="1341">
          <cell r="A1341" t="str">
            <v>WS-C2950-24</v>
          </cell>
          <cell r="B1341" t="str">
            <v>CISCI SWITCH</v>
          </cell>
        </row>
        <row r="1342">
          <cell r="A1342" t="str">
            <v>X1141A</v>
          </cell>
          <cell r="B1342" t="str">
            <v>SUN ETHERNET CARD</v>
          </cell>
        </row>
        <row r="1343">
          <cell r="A1343" t="str">
            <v>X1195A</v>
          </cell>
          <cell r="B1343" t="str">
            <v>SUN CARD</v>
          </cell>
        </row>
        <row r="1344">
          <cell r="A1344" t="str">
            <v>X-3000-182AUP</v>
          </cell>
          <cell r="B1344" t="str">
            <v>SYM 3000 36.2GB 5264 UPG</v>
          </cell>
        </row>
        <row r="1345">
          <cell r="A1345" t="str">
            <v>X-3000-182UPG</v>
          </cell>
          <cell r="B1345" t="str">
            <v>SYM 3000 36.2 5264 UPG</v>
          </cell>
        </row>
        <row r="1346">
          <cell r="A1346" t="str">
            <v>X-3000-472AUP</v>
          </cell>
          <cell r="B1346" t="str">
            <v>SYM 3000 93.64GB 5264 UPG</v>
          </cell>
        </row>
        <row r="1347">
          <cell r="A1347" t="str">
            <v>X-3000-472UPG</v>
          </cell>
          <cell r="B1347" t="str">
            <v>SYM 3000 93.64GB 5264 UPG</v>
          </cell>
        </row>
        <row r="1348">
          <cell r="A1348" t="str">
            <v>X-3030-182AUP</v>
          </cell>
          <cell r="B1348" t="str">
            <v>SYMM 3030 36.2GB 5264 UPG</v>
          </cell>
        </row>
        <row r="1349">
          <cell r="A1349" t="str">
            <v>X-3030-182UPG</v>
          </cell>
          <cell r="B1349" t="str">
            <v>SYM 3030 35.8GB 5264 UPG</v>
          </cell>
        </row>
        <row r="1350">
          <cell r="A1350" t="str">
            <v>X-5000-182UPG</v>
          </cell>
          <cell r="B1350" t="str">
            <v>SYM 3000 36.2GB 5264 UPG</v>
          </cell>
        </row>
        <row r="1351">
          <cell r="A1351" t="str">
            <v>X-5000-472UPG</v>
          </cell>
          <cell r="B1351" t="str">
            <v>SYM 3000 93.64GB 5264 UPG</v>
          </cell>
        </row>
        <row r="1352">
          <cell r="A1352" t="str">
            <v>X-5030-182UPG</v>
          </cell>
          <cell r="B1352" t="str">
            <v>SYM 5030 35.8GB 5264 UPG</v>
          </cell>
        </row>
        <row r="1353">
          <cell r="A1353" t="str">
            <v>X6730A</v>
          </cell>
          <cell r="B1353" t="str">
            <v>SUN CARD</v>
          </cell>
        </row>
        <row r="1354">
          <cell r="A1354" t="str">
            <v>X6731A</v>
          </cell>
          <cell r="B1354" t="str">
            <v>FC-100FC-AL-GBIC MODULE</v>
          </cell>
        </row>
        <row r="1355">
          <cell r="A1355" t="str">
            <v>X6732A</v>
          </cell>
          <cell r="B1355" t="str">
            <v>SUN FIBRE HUB</v>
          </cell>
        </row>
        <row r="1356">
          <cell r="A1356" t="str">
            <v>X7005A</v>
          </cell>
          <cell r="B1356" t="str">
            <v>SUN CARD</v>
          </cell>
        </row>
        <row r="1357">
          <cell r="A1357" t="str">
            <v>XBR-000025</v>
          </cell>
          <cell r="B1357" t="str">
            <v>BROCADE GBICS</v>
          </cell>
        </row>
        <row r="1358">
          <cell r="A1358" t="str">
            <v>XBR-2250-0001</v>
          </cell>
          <cell r="B1358" t="str">
            <v>BROCADE BLADES</v>
          </cell>
        </row>
        <row r="1359">
          <cell r="A1359" t="str">
            <v>XBR-6400-00</v>
          </cell>
          <cell r="B1359" t="str">
            <v>64 PORT BROCADE SWITCH</v>
          </cell>
        </row>
        <row r="1360">
          <cell r="A1360" t="str">
            <v>XBR-6400-0000</v>
          </cell>
          <cell r="B1360" t="str">
            <v>64 PORT BROCADE SWITCH</v>
          </cell>
        </row>
        <row r="1361">
          <cell r="A1361" t="str">
            <v>XTC1P-OPT</v>
          </cell>
          <cell r="B1361" t="str">
            <v>SILICON GRAPHICS HBA</v>
          </cell>
        </row>
        <row r="1362">
          <cell r="A1362">
            <v>23391139</v>
          </cell>
          <cell r="B1362" t="str">
            <v>Unisys Navi NT Agent/CLI</v>
          </cell>
        </row>
        <row r="1363">
          <cell r="A1363">
            <v>23391253</v>
          </cell>
          <cell r="B1363" t="str">
            <v>Unisys Navi NT ATF</v>
          </cell>
        </row>
        <row r="1364">
          <cell r="A1364">
            <v>44964807</v>
          </cell>
          <cell r="B1364" t="str">
            <v>Kit - SPS, Interface Cable, 32"Cord</v>
          </cell>
        </row>
        <row r="1365">
          <cell r="A1365">
            <v>44964831</v>
          </cell>
          <cell r="B1365" t="str">
            <v>Standby Power Supply and Tray</v>
          </cell>
        </row>
        <row r="1366">
          <cell r="A1366">
            <v>44964856</v>
          </cell>
          <cell r="B1366" t="str">
            <v>DPE Rack Mount Kit</v>
          </cell>
        </row>
        <row r="1367">
          <cell r="A1367">
            <v>44964872</v>
          </cell>
          <cell r="B1367" t="str">
            <v>DAE Rack Mount Kit</v>
          </cell>
        </row>
        <row r="1368">
          <cell r="A1368">
            <v>44964914</v>
          </cell>
          <cell r="B1368" t="str">
            <v>Kit-Transition Spacer/Filler CLD (Mul</v>
          </cell>
        </row>
        <row r="1369">
          <cell r="A1369">
            <v>44964955</v>
          </cell>
          <cell r="B1369" t="str">
            <v>CRU Disk Filler</v>
          </cell>
        </row>
        <row r="1370">
          <cell r="A1370">
            <v>44965234</v>
          </cell>
          <cell r="B1370" t="str">
            <v>Add-on Storage Processor w/256MB cache</v>
          </cell>
        </row>
        <row r="1371">
          <cell r="A1371">
            <v>44965242</v>
          </cell>
          <cell r="B1371" t="str">
            <v>DPE Power Supply</v>
          </cell>
        </row>
        <row r="1372">
          <cell r="A1372">
            <v>44965259</v>
          </cell>
          <cell r="B1372" t="str">
            <v>DPE Link Control Card</v>
          </cell>
        </row>
        <row r="1373">
          <cell r="A1373">
            <v>44965267</v>
          </cell>
          <cell r="B1373" t="str">
            <v>SP Fan Pack</v>
          </cell>
        </row>
        <row r="1374">
          <cell r="A1374">
            <v>44965275</v>
          </cell>
          <cell r="B1374" t="str">
            <v>Empty DAE Rackmount Cloud</v>
          </cell>
        </row>
        <row r="1375">
          <cell r="A1375">
            <v>44965283</v>
          </cell>
          <cell r="B1375" t="str">
            <v>DAE Power Supply</v>
          </cell>
        </row>
        <row r="1376">
          <cell r="A1376">
            <v>44965291</v>
          </cell>
          <cell r="B1376" t="str">
            <v>DAE Link Control Card</v>
          </cell>
        </row>
        <row r="1377">
          <cell r="A1377">
            <v>44965309</v>
          </cell>
          <cell r="B1377" t="str">
            <v>Disk Array Fan Pack</v>
          </cell>
        </row>
        <row r="1378">
          <cell r="A1378">
            <v>44965317</v>
          </cell>
          <cell r="B1378" t="str">
            <v>DAE Fibre Interconnect Cable 0.3m</v>
          </cell>
        </row>
        <row r="1379">
          <cell r="A1379">
            <v>44965325</v>
          </cell>
          <cell r="B1379" t="str">
            <v>DAE Fibre Interconnect Cable 5m</v>
          </cell>
        </row>
        <row r="1380">
          <cell r="A1380">
            <v>44965333</v>
          </cell>
          <cell r="B1380" t="str">
            <v>OSR7700/7800 Standby Power Supply</v>
          </cell>
        </row>
        <row r="1381">
          <cell r="A1381">
            <v>44965358</v>
          </cell>
          <cell r="B1381" t="str">
            <v>Standby Power Supply Interface Cable</v>
          </cell>
        </row>
        <row r="1382">
          <cell r="A1382">
            <v>44965382</v>
          </cell>
          <cell r="B1382" t="str">
            <v>Add-on Storage Processor w/512MB cache</v>
          </cell>
        </row>
        <row r="1383">
          <cell r="A1383">
            <v>44969442</v>
          </cell>
          <cell r="B1383" t="str">
            <v>Unisys, Half U Filler, CLOUD</v>
          </cell>
        </row>
        <row r="1384">
          <cell r="A1384">
            <v>44970127</v>
          </cell>
          <cell r="B1384" t="str">
            <v>Unisys, Transition Panel, CLOUD</v>
          </cell>
        </row>
        <row r="1385">
          <cell r="A1385">
            <v>44977551</v>
          </cell>
          <cell r="B1385" t="str">
            <v>Unisys, Appearance Strip, CLOUD</v>
          </cell>
        </row>
        <row r="1386">
          <cell r="A1386">
            <v>44984987</v>
          </cell>
          <cell r="B1386" t="str">
            <v>Unisys Add-on K1 SP with 128MB</v>
          </cell>
        </row>
        <row r="1387">
          <cell r="A1387">
            <v>44985000</v>
          </cell>
          <cell r="B1387" t="str">
            <v>OSR6700 400W SPS for K1 with Tray</v>
          </cell>
        </row>
        <row r="1388">
          <cell r="A1388">
            <v>44985026</v>
          </cell>
          <cell r="B1388" t="str">
            <v>DAE/Unisys: Rack, 1 PS, 1LCC, 10 slot</v>
          </cell>
        </row>
        <row r="1389">
          <cell r="A1389">
            <v>44985083</v>
          </cell>
          <cell r="B1389" t="str">
            <v>Add-on Power Supply for DAE/K1</v>
          </cell>
        </row>
        <row r="1390">
          <cell r="A1390">
            <v>44985356</v>
          </cell>
          <cell r="B1390" t="str">
            <v>DAE/Unisys: Rack, Empty, 10 slot</v>
          </cell>
        </row>
        <row r="1391">
          <cell r="A1391">
            <v>44987733</v>
          </cell>
          <cell r="B1391" t="str">
            <v>OSR6700 400W SPS for K1 without Tray</v>
          </cell>
        </row>
        <row r="1392">
          <cell r="A1392">
            <v>44987816</v>
          </cell>
          <cell r="B1392" t="str">
            <v>LCC/SP Filler</v>
          </cell>
        </row>
        <row r="1393">
          <cell r="A1393">
            <v>44988145</v>
          </cell>
          <cell r="B1393" t="str">
            <v>DAE PS Filler</v>
          </cell>
        </row>
        <row r="1394">
          <cell r="A1394">
            <v>44988343</v>
          </cell>
          <cell r="B1394" t="str">
            <v>OSR6700 Flare for Unisys</v>
          </cell>
        </row>
        <row r="1395">
          <cell r="A1395">
            <v>45006996</v>
          </cell>
          <cell r="B1395" t="str">
            <v>OSR7700 Flare for Unisys</v>
          </cell>
        </row>
        <row r="1396">
          <cell r="A1396">
            <v>45007002</v>
          </cell>
          <cell r="B1396" t="str">
            <v>OSR7700 DSA Flare for Unisys</v>
          </cell>
        </row>
        <row r="1397">
          <cell r="A1397">
            <v>45500865</v>
          </cell>
          <cell r="B1397" t="str">
            <v>JBOD/Unisys Rack, 2 PS 2 LCC, 10 slot</v>
          </cell>
        </row>
        <row r="1398">
          <cell r="A1398">
            <v>45504628</v>
          </cell>
          <cell r="B1398" t="str">
            <v>16 port switch rail kit</v>
          </cell>
        </row>
        <row r="1399">
          <cell r="A1399">
            <v>45504644</v>
          </cell>
          <cell r="B1399" t="str">
            <v>8 port switch rail kit</v>
          </cell>
        </row>
        <row r="1400">
          <cell r="A1400">
            <v>45517745</v>
          </cell>
          <cell r="B1400" t="str">
            <v>HA 10-Slot DAE Rack w/kit Cloud</v>
          </cell>
        </row>
        <row r="1401">
          <cell r="A1401">
            <v>45528783</v>
          </cell>
          <cell r="B1401" t="str">
            <v>Unisys Navi Win2k ATF</v>
          </cell>
        </row>
        <row r="1402">
          <cell r="A1402">
            <v>45535119</v>
          </cell>
          <cell r="B1402" t="str">
            <v>FC4500 10slot Rack DPE w/GBICs &amp; cache</v>
          </cell>
        </row>
        <row r="1403">
          <cell r="A1403">
            <v>45535135</v>
          </cell>
          <cell r="B1403" t="str">
            <v>FC4500 Spare SP, GBICS, 512 MB cache</v>
          </cell>
        </row>
        <row r="1404">
          <cell r="A1404">
            <v>45535218</v>
          </cell>
          <cell r="B1404" t="str">
            <v>OSR7800 Cache Upgr Kit, 4 256MB DIMMs</v>
          </cell>
        </row>
        <row r="1405">
          <cell r="A1405">
            <v>45535358</v>
          </cell>
          <cell r="B1405" t="str">
            <v>FC4500 Spare SP, GBICS, 1GB cache</v>
          </cell>
        </row>
        <row r="1406">
          <cell r="A1406">
            <v>45548898</v>
          </cell>
          <cell r="B1406" t="str">
            <v>36GB Cheetah 4 drive 512byte format</v>
          </cell>
        </row>
        <row r="1407">
          <cell r="A1407">
            <v>45548914</v>
          </cell>
          <cell r="B1407" t="str">
            <v>36GB Cheetah 4 drive 520byte format</v>
          </cell>
        </row>
        <row r="1408">
          <cell r="A1408">
            <v>45563905</v>
          </cell>
          <cell r="B1408" t="str">
            <v>OSR6800-SAN K1 Access Logix</v>
          </cell>
        </row>
        <row r="1409">
          <cell r="A1409">
            <v>68603315</v>
          </cell>
          <cell r="B1409" t="str">
            <v>OSR6800-BDA K1 rk 256mb mem</v>
          </cell>
        </row>
        <row r="1410">
          <cell r="A1410">
            <v>68603349</v>
          </cell>
          <cell r="B1410" t="str">
            <v>OSR6800-CNT K1 2nd SP w/256MB</v>
          </cell>
        </row>
        <row r="1411">
          <cell r="A1411">
            <v>68647569</v>
          </cell>
          <cell r="B1411" t="str">
            <v>OSR7900-DPE FC4700 HA Rack</v>
          </cell>
        </row>
        <row r="1412">
          <cell r="A1412">
            <v>68647668</v>
          </cell>
          <cell r="B1412" t="str">
            <v>AdminSnapview</v>
          </cell>
        </row>
        <row r="1413">
          <cell r="A1413">
            <v>68682053</v>
          </cell>
          <cell r="B1413">
            <v>0</v>
          </cell>
        </row>
        <row r="1414">
          <cell r="A1414">
            <v>68683945</v>
          </cell>
          <cell r="B1414">
            <v>0</v>
          </cell>
        </row>
        <row r="1415">
          <cell r="A1415">
            <v>68684257</v>
          </cell>
          <cell r="B1415">
            <v>0</v>
          </cell>
        </row>
        <row r="1416">
          <cell r="A1416">
            <v>68693266</v>
          </cell>
          <cell r="B1416">
            <v>0</v>
          </cell>
        </row>
        <row r="1417">
          <cell r="A1417">
            <v>68853977</v>
          </cell>
          <cell r="B1417" t="str">
            <v>18gb, 512 (JBOD) X15-2 Seagate drive</v>
          </cell>
        </row>
        <row r="1418">
          <cell r="A1418">
            <v>68853985</v>
          </cell>
          <cell r="B1418" t="str">
            <v>18gb, 520 RAID, X15-2 Disk Drive</v>
          </cell>
        </row>
        <row r="1419">
          <cell r="A1419" t="str">
            <v>C3006-01</v>
          </cell>
          <cell r="B1419" t="str">
            <v>AVID Custom Rack Cabinet</v>
          </cell>
        </row>
        <row r="1420">
          <cell r="A1420" t="str">
            <v>C5001D-E</v>
          </cell>
          <cell r="B1420" t="str">
            <v>Desk 10slot DAE, 1LCC, 1PS, Black</v>
          </cell>
        </row>
        <row r="1421">
          <cell r="A1421" t="str">
            <v>C5001D-TS3</v>
          </cell>
          <cell r="B1421" t="str">
            <v>10-Drive DAE Deskside, 1LCC, 1PS</v>
          </cell>
        </row>
        <row r="1422">
          <cell r="A1422" t="str">
            <v>C5001R-E</v>
          </cell>
          <cell r="B1422" t="str">
            <v>Rack 10slot DAE, 1LCC, 1PS, Black</v>
          </cell>
        </row>
        <row r="1423">
          <cell r="A1423" t="str">
            <v>C5001R-TS3</v>
          </cell>
          <cell r="B1423" t="str">
            <v>Base Rackmount DAE No Drives</v>
          </cell>
        </row>
        <row r="1424">
          <cell r="A1424" t="str">
            <v>C5003D-TS3</v>
          </cell>
          <cell r="B1424" t="str">
            <v>3 DAEs Deskside, 1LCC, 1PS per DAE</v>
          </cell>
        </row>
        <row r="1425">
          <cell r="A1425" t="str">
            <v>C5301R-TS</v>
          </cell>
          <cell r="B1425" t="str">
            <v>FC5300 (K1) HA Rack, 2SP, 2PS</v>
          </cell>
        </row>
        <row r="1426">
          <cell r="A1426" t="str">
            <v>C7210G-TS</v>
          </cell>
          <cell r="B1426" t="str">
            <v>Single SPS for FC5300 (K1)</v>
          </cell>
        </row>
        <row r="1427">
          <cell r="A1427" t="str">
            <v>C7211G-TS</v>
          </cell>
          <cell r="B1427" t="str">
            <v>Add on SPS for FC5300 (K1)</v>
          </cell>
        </row>
        <row r="1428">
          <cell r="A1428" t="str">
            <v>C7214G-TS</v>
          </cell>
          <cell r="B1428" t="str">
            <v>Dual SPS for FC5300 (K1)</v>
          </cell>
        </row>
        <row r="1429">
          <cell r="A1429" t="str">
            <v>C7311G-TSI</v>
          </cell>
          <cell r="B1429" t="str">
            <v>DAE LCC Card for Transoft</v>
          </cell>
        </row>
        <row r="1430">
          <cell r="A1430" t="str">
            <v>C7312G-TSI</v>
          </cell>
          <cell r="B1430" t="str">
            <v>DAE Power Supply for Transoft</v>
          </cell>
        </row>
        <row r="1431">
          <cell r="A1431" t="str">
            <v>C7320G-TS</v>
          </cell>
          <cell r="B1431" t="str">
            <v>Add-on DPE LCC for Transoft</v>
          </cell>
        </row>
        <row r="1432">
          <cell r="A1432" t="str">
            <v>C7322G-TS</v>
          </cell>
          <cell r="B1432" t="str">
            <v>Add-on DPE PS with Transoft cord</v>
          </cell>
        </row>
        <row r="1433">
          <cell r="A1433" t="str">
            <v>C7326G-TS2</v>
          </cell>
          <cell r="B1433" t="str">
            <v>Add On Model 5400C SP</v>
          </cell>
        </row>
        <row r="1434">
          <cell r="A1434" t="str">
            <v>C7690G-V</v>
          </cell>
          <cell r="B1434" t="str">
            <v>Video Cabinet mounting kit: any array</v>
          </cell>
        </row>
        <row r="1435">
          <cell r="A1435" t="str">
            <v>C7710G-TS</v>
          </cell>
          <cell r="B1435" t="str">
            <v>DPE Rack SPS w/Mount Kit, Black</v>
          </cell>
        </row>
        <row r="1436">
          <cell r="A1436" t="str">
            <v>CFS-14-LIC</v>
          </cell>
          <cell r="B1436" t="str">
            <v>CELERRA PER CABINET LIC</v>
          </cell>
        </row>
        <row r="1437">
          <cell r="A1437" t="str">
            <v>CFS-CAB-LIC</v>
          </cell>
          <cell r="B1437" t="str">
            <v>CELERRA PER CABINET LIC</v>
          </cell>
        </row>
        <row r="1438">
          <cell r="A1438" t="str">
            <v>CFS-CS-LIC</v>
          </cell>
          <cell r="B1438" t="str">
            <v>CELERRA CNTRL STATION LIC</v>
          </cell>
        </row>
        <row r="1439">
          <cell r="A1439" t="str">
            <v>CFS-MGR-LIC</v>
          </cell>
          <cell r="B1439" t="str">
            <v>CELERRA MANAGER SOFTWARE</v>
          </cell>
        </row>
        <row r="1440">
          <cell r="A1440" t="str">
            <v>CFS-SAVE-LIC</v>
          </cell>
          <cell r="B1440" t="str">
            <v>CELERRA FAILOVER SOFTWARE</v>
          </cell>
        </row>
        <row r="1441">
          <cell r="A1441" t="str">
            <v>CKIT-E70-AIX</v>
          </cell>
          <cell r="B1441" t="str">
            <v>FBRCHN CONNECTION KIT AIX</v>
          </cell>
        </row>
        <row r="1442">
          <cell r="A1442" t="str">
            <v>CM-ETLU7-2640</v>
          </cell>
          <cell r="B1442" t="str">
            <v>NFS DLT7X ADD-ON DRV 2640</v>
          </cell>
        </row>
        <row r="1443">
          <cell r="A1443" t="str">
            <v>CM-ETLU7-520</v>
          </cell>
          <cell r="B1443" t="str">
            <v>NFS DLT7X ADD-ON DRV 520</v>
          </cell>
        </row>
        <row r="1444">
          <cell r="A1444" t="str">
            <v>CMS-TLU-SL</v>
          </cell>
          <cell r="B1444" t="str">
            <v>NFS STORLINK ATTACH KIT</v>
          </cell>
        </row>
        <row r="1445">
          <cell r="A1445" t="str">
            <v>CS-E</v>
          </cell>
          <cell r="B1445" t="str">
            <v>CS-SCSI, ENET</v>
          </cell>
        </row>
        <row r="1446">
          <cell r="A1446" t="str">
            <v>CS-E-U</v>
          </cell>
          <cell r="B1446" t="str">
            <v>CS SCSI E UPG</v>
          </cell>
        </row>
        <row r="1447">
          <cell r="A1447" t="str">
            <v>CS-F</v>
          </cell>
          <cell r="B1447" t="str">
            <v>CS-SCSI, FDDI</v>
          </cell>
        </row>
        <row r="1448">
          <cell r="A1448" t="str">
            <v>CS-F-U</v>
          </cell>
          <cell r="B1448" t="str">
            <v>CS SCSI FDDI UPG</v>
          </cell>
        </row>
        <row r="1449">
          <cell r="A1449" t="str">
            <v>CS7-S-E</v>
          </cell>
          <cell r="B1449" t="str">
            <v>SCSI/1-ENET</v>
          </cell>
        </row>
        <row r="1450">
          <cell r="A1450" t="str">
            <v>DM7-2E4-U</v>
          </cell>
          <cell r="B1450" t="str">
            <v>DM SCSI, 2X QUAD ENET UPG</v>
          </cell>
        </row>
        <row r="1451">
          <cell r="A1451" t="str">
            <v>DM7-2S-2E4</v>
          </cell>
          <cell r="B1451" t="str">
            <v>DM 2X SCSI 2X QUAD ENET</v>
          </cell>
        </row>
        <row r="1452">
          <cell r="A1452" t="str">
            <v>DM7-2S-2F</v>
          </cell>
          <cell r="B1452" t="str">
            <v>DM 2X SCSI, 2X FDDI</v>
          </cell>
        </row>
        <row r="1453">
          <cell r="A1453" t="str">
            <v>DM7-2S-2F-U</v>
          </cell>
          <cell r="B1453" t="str">
            <v>DM 2X SCSI 2X FDDI UPG</v>
          </cell>
        </row>
        <row r="1454">
          <cell r="A1454" t="str">
            <v>DM7-2S-2G</v>
          </cell>
          <cell r="B1454" t="str">
            <v>DM 2XSCSI 2XGBENET</v>
          </cell>
        </row>
        <row r="1455">
          <cell r="A1455" t="str">
            <v>DM7-2S-3G</v>
          </cell>
          <cell r="B1455" t="str">
            <v>DM 2X SCSI 3X Gb Enet</v>
          </cell>
        </row>
        <row r="1456">
          <cell r="A1456" t="str">
            <v>DM7-2S-E4-2A</v>
          </cell>
          <cell r="B1456" t="str">
            <v>DM 2X SCSI Quad E 2X ATM</v>
          </cell>
        </row>
        <row r="1457">
          <cell r="A1457" t="str">
            <v>DM7-2S-E4-A</v>
          </cell>
          <cell r="B1457" t="str">
            <v>DM 2X SCSI, QUAD ENET ATM</v>
          </cell>
        </row>
        <row r="1458">
          <cell r="A1458" t="str">
            <v>DM7-2S-E4-A-G</v>
          </cell>
          <cell r="B1458" t="str">
            <v>DM 2XSCSI Quad E ATM GB E</v>
          </cell>
        </row>
        <row r="1459">
          <cell r="A1459" t="str">
            <v>DM7-2S-E4-A/C</v>
          </cell>
          <cell r="B1459" t="str">
            <v>SCSI/SCSI/4P-ENET/ATM-CBR</v>
          </cell>
        </row>
        <row r="1460">
          <cell r="A1460" t="str">
            <v>DM7-2S-E4-F</v>
          </cell>
          <cell r="B1460" t="str">
            <v>DM 2X SCSI QUAD ENET FDDI</v>
          </cell>
        </row>
        <row r="1461">
          <cell r="A1461" t="str">
            <v>DM7-2S-E4-G</v>
          </cell>
          <cell r="B1461" t="str">
            <v>DM 2XSCSI QUADENET GBENET</v>
          </cell>
        </row>
        <row r="1462">
          <cell r="A1462" t="str">
            <v>DM7-2S-F-A</v>
          </cell>
          <cell r="B1462" t="str">
            <v>DM 2X SCSI, FDDI, ATM</v>
          </cell>
        </row>
        <row r="1463">
          <cell r="A1463" t="str">
            <v>DM7-2S-F-A-U</v>
          </cell>
          <cell r="B1463" t="str">
            <v>DM 2SCSI FDDI ATM UPG</v>
          </cell>
        </row>
        <row r="1464">
          <cell r="A1464" t="str">
            <v>DM7-2S-F-G</v>
          </cell>
          <cell r="B1464" t="str">
            <v>DM-2X-SCSI, FDDI, GB ENET</v>
          </cell>
        </row>
        <row r="1465">
          <cell r="A1465" t="str">
            <v>DM7-2S-F-G-U</v>
          </cell>
          <cell r="B1465" t="str">
            <v>DM 2 SCSI FDDI GB E UPG</v>
          </cell>
        </row>
        <row r="1466">
          <cell r="A1466" t="str">
            <v>DM7-E4-G-U</v>
          </cell>
          <cell r="B1466" t="str">
            <v>DM SCSI QUAD E GB E UPG</v>
          </cell>
        </row>
        <row r="1467">
          <cell r="A1467" t="str">
            <v>DM7-F-2E4</v>
          </cell>
          <cell r="B1467" t="str">
            <v>DM FIBRE, 2X QUADE</v>
          </cell>
        </row>
        <row r="1468">
          <cell r="A1468" t="str">
            <v>DM7-F-2E4-U</v>
          </cell>
          <cell r="B1468" t="str">
            <v>DM FIBRE 2X QUADE UPG</v>
          </cell>
        </row>
        <row r="1469">
          <cell r="A1469" t="str">
            <v>DM7-F-E4-G</v>
          </cell>
          <cell r="B1469" t="str">
            <v>DM FIBRE QUADE GBE</v>
          </cell>
        </row>
        <row r="1470">
          <cell r="A1470" t="str">
            <v>DM7-F-E4-G-U</v>
          </cell>
          <cell r="B1470" t="str">
            <v>DM FIBRE QUADE GBE UPG</v>
          </cell>
        </row>
        <row r="1471">
          <cell r="A1471" t="str">
            <v>DM7-FS-2E4-G</v>
          </cell>
          <cell r="B1471" t="str">
            <v>DM Fibre SCSI 2XQuad E GbE</v>
          </cell>
        </row>
        <row r="1472">
          <cell r="A1472" t="str">
            <v>DM7-FS-2F</v>
          </cell>
          <cell r="B1472" t="str">
            <v>DM FIBRESCSI, 2X FDDI</v>
          </cell>
        </row>
        <row r="1473">
          <cell r="A1473" t="str">
            <v>DM7-FS-2F-U</v>
          </cell>
          <cell r="B1473" t="str">
            <v>DM FIBRESCSI 2X FDDI UPG</v>
          </cell>
        </row>
        <row r="1474">
          <cell r="A1474" t="str">
            <v>DM7-FS-3E</v>
          </cell>
          <cell r="B1474" t="str">
            <v>DM Fibre SCSI 2X Quad E</v>
          </cell>
        </row>
        <row r="1475">
          <cell r="A1475" t="str">
            <v>DM7-FS-3G</v>
          </cell>
          <cell r="B1475" t="str">
            <v>DM Fibre SCSI 3X Gb E</v>
          </cell>
        </row>
        <row r="1476">
          <cell r="A1476" t="str">
            <v>DM7-FS-E4-2G</v>
          </cell>
          <cell r="B1476" t="str">
            <v>DM Fibre SCSI Quad E 2X GbE</v>
          </cell>
        </row>
        <row r="1477">
          <cell r="A1477" t="str">
            <v>DM7-FS-E4-A</v>
          </cell>
          <cell r="B1477" t="str">
            <v>DM FIBRESCSI QUADE ATM</v>
          </cell>
        </row>
        <row r="1478">
          <cell r="A1478" t="str">
            <v>DM7-FS-E4-F</v>
          </cell>
          <cell r="B1478" t="str">
            <v>DM FIBRE SCSI QUADE FDDI</v>
          </cell>
        </row>
        <row r="1479">
          <cell r="A1479" t="str">
            <v>DM7-FS-F-A</v>
          </cell>
          <cell r="B1479" t="str">
            <v>DM FIBRESCSI, FDDI, ATM</v>
          </cell>
        </row>
        <row r="1480">
          <cell r="A1480" t="str">
            <v>DM7-FS-F-A-U</v>
          </cell>
          <cell r="B1480" t="str">
            <v>DM FIBRESCSI FDDI ATM UPG</v>
          </cell>
        </row>
        <row r="1481">
          <cell r="A1481" t="str">
            <v>DM7-FS-F-G</v>
          </cell>
          <cell r="B1481" t="str">
            <v>DM FIBRESCSI FDDI GBE</v>
          </cell>
        </row>
        <row r="1482">
          <cell r="A1482" t="str">
            <v>DM7-FS-F-G-U</v>
          </cell>
          <cell r="B1482" t="str">
            <v>DM FIBRESCSI FDDI GBE UPG</v>
          </cell>
        </row>
        <row r="1483">
          <cell r="A1483" t="str">
            <v>DP3-FCD2J</v>
          </cell>
          <cell r="B1483" t="str">
            <v>2PT DP FB CHN ML OEM N JP</v>
          </cell>
        </row>
        <row r="1484">
          <cell r="A1484" t="str">
            <v>EC-UPG-KIT</v>
          </cell>
          <cell r="B1484" t="str">
            <v>ED-1032 FIELD UPGRADE</v>
          </cell>
        </row>
        <row r="1485">
          <cell r="A1485" t="str">
            <v>ED-1032-16S</v>
          </cell>
          <cell r="B1485" t="str">
            <v>CONNECTRIX DIR 16PORTS</v>
          </cell>
        </row>
        <row r="1486">
          <cell r="A1486" t="str">
            <v>ED-1032-32S</v>
          </cell>
          <cell r="B1486" t="str">
            <v>CONNECTRIX DIR 32PORTS</v>
          </cell>
        </row>
        <row r="1487">
          <cell r="A1487" t="str">
            <v>ED-1032-4SUP</v>
          </cell>
          <cell r="B1487" t="str">
            <v>CONNECTRIX DIR 4PORT UPG</v>
          </cell>
        </row>
        <row r="1488">
          <cell r="A1488" t="str">
            <v>EDM-SCLR-218</v>
          </cell>
          <cell r="B1488" t="str">
            <v>EDM2RTU EMASS SCALAR 2/18</v>
          </cell>
        </row>
        <row r="1489">
          <cell r="A1489" t="str">
            <v>EDM35K2</v>
          </cell>
          <cell r="B1489" t="str">
            <v>EDM 3500 2-CPU</v>
          </cell>
        </row>
        <row r="1490">
          <cell r="A1490" t="str">
            <v>EDMO-F</v>
          </cell>
          <cell r="B1490" t="str">
            <v>FDDI NETWORK ATTACH.KIT</v>
          </cell>
        </row>
        <row r="1491">
          <cell r="A1491" t="str">
            <v>EDMO-HX</v>
          </cell>
          <cell r="B1491" t="str">
            <v>8GB HAR.CATALOG DK SUBSYS</v>
          </cell>
        </row>
        <row r="1492">
          <cell r="A1492" t="str">
            <v>HBACP-SUNP</v>
          </cell>
          <cell r="B1492" t="str">
            <v>COP HBA/DRIVER-SUN PC1</v>
          </cell>
        </row>
        <row r="1493">
          <cell r="A1493" t="str">
            <v>HBACP-W2K</v>
          </cell>
          <cell r="B1493" t="str">
            <v>COP HBA/DRIVER - W2K</v>
          </cell>
        </row>
        <row r="1494">
          <cell r="A1494" t="str">
            <v>HBAGL-AIX</v>
          </cell>
          <cell r="B1494" t="str">
            <v>OPT HBA/DRIVER AIX</v>
          </cell>
        </row>
        <row r="1495">
          <cell r="A1495" t="str">
            <v>HBAGL-LNX</v>
          </cell>
          <cell r="B1495" t="str">
            <v>OPT HBA/DRIVER-LINUX</v>
          </cell>
        </row>
        <row r="1496">
          <cell r="A1496" t="str">
            <v>HBAGL-NT</v>
          </cell>
          <cell r="B1496" t="str">
            <v>OPT HBA/DRIVER-NT</v>
          </cell>
        </row>
        <row r="1497">
          <cell r="A1497" t="str">
            <v>HBAGL-NW</v>
          </cell>
          <cell r="B1497" t="str">
            <v>OPT HBA/DRIVER - NETW</v>
          </cell>
        </row>
        <row r="1498">
          <cell r="A1498" t="str">
            <v>HBAGL-SUNP</v>
          </cell>
          <cell r="B1498" t="str">
            <v>OPT HBA/DRIVER-SUN PCI</v>
          </cell>
        </row>
        <row r="1499">
          <cell r="A1499" t="str">
            <v>HBAGL-SUNS</v>
          </cell>
          <cell r="B1499" t="str">
            <v>OPT HBA/DRIVER- SUN SBUS</v>
          </cell>
        </row>
        <row r="1500">
          <cell r="A1500" t="str">
            <v>HBAGL-W2K</v>
          </cell>
          <cell r="B1500" t="str">
            <v>OPT HBA/DRIVER-W2K</v>
          </cell>
        </row>
        <row r="1501">
          <cell r="A1501" t="str">
            <v>IPNFT5-12</v>
          </cell>
          <cell r="B1501" t="str">
            <v>NFS, IP4700, T5-T12 UPG</v>
          </cell>
        </row>
        <row r="1502">
          <cell r="A1502" t="str">
            <v>P18172FHD</v>
          </cell>
          <cell r="B1502" t="str">
            <v>Barracuda 181GB 7200RPM, 520BPS 1Gb</v>
          </cell>
        </row>
        <row r="1503">
          <cell r="A1503" t="str">
            <v>P3515FLD12</v>
          </cell>
          <cell r="B1503" t="str">
            <v>Cheetah X15-2 36GB 15K, 520BPS 2Gb</v>
          </cell>
        </row>
        <row r="1504">
          <cell r="A1504" t="str">
            <v>PFC36G</v>
          </cell>
          <cell r="B1504" t="str">
            <v>TEK (1) 36GB Drive</v>
          </cell>
        </row>
        <row r="1505">
          <cell r="A1505" t="str">
            <v>PFC36G5</v>
          </cell>
          <cell r="B1505" t="str">
            <v>TEK spare 5 pack of 36GB Drives</v>
          </cell>
        </row>
        <row r="1506">
          <cell r="A1506" t="str">
            <v>PFC536</v>
          </cell>
          <cell r="B1506" t="str">
            <v>TEK K1 1 SP 1 PS 64MB (5) 36GB Drives</v>
          </cell>
        </row>
        <row r="1507">
          <cell r="A1507" t="str">
            <v>PFC53610</v>
          </cell>
          <cell r="B1507" t="str">
            <v>TEK Add-On 5 pack of 36GB Drives</v>
          </cell>
        </row>
        <row r="1508">
          <cell r="A1508" t="str">
            <v>PFC536E</v>
          </cell>
          <cell r="B1508" t="str">
            <v>TEK DAE 1 PS 2 LCC (5) 36GB Drives</v>
          </cell>
        </row>
        <row r="1509">
          <cell r="A1509" t="str">
            <v>PFC573</v>
          </cell>
          <cell r="B1509" t="str">
            <v>K1 1 SP, 1 PS, (5) 73GB Dr</v>
          </cell>
        </row>
        <row r="1510">
          <cell r="A1510" t="str">
            <v>PFC57310</v>
          </cell>
          <cell r="B1510" t="str">
            <v>GVG Add-On 5 pack of 73GB Drives</v>
          </cell>
        </row>
        <row r="1511">
          <cell r="A1511" t="str">
            <v>PFC573E</v>
          </cell>
          <cell r="B1511" t="str">
            <v>DAE 1 PS, 2 LCC, (5) 73GB Dr</v>
          </cell>
        </row>
        <row r="1512">
          <cell r="A1512" t="str">
            <v>PFC73G</v>
          </cell>
          <cell r="B1512" t="str">
            <v>GVG (1) 73GB Drive 520 Byte</v>
          </cell>
        </row>
        <row r="1513">
          <cell r="A1513" t="str">
            <v>PFC73G5</v>
          </cell>
          <cell r="B1513" t="str">
            <v>GVG 5 PACK OF 73GB DRIVES</v>
          </cell>
        </row>
        <row r="1514">
          <cell r="A1514" t="str">
            <v>PFCCT</v>
          </cell>
          <cell r="B1514" t="str">
            <v>TEK K1 Storage Processor, VF, 64MB</v>
          </cell>
        </row>
        <row r="1515">
          <cell r="A1515" t="str">
            <v>PFCPS</v>
          </cell>
          <cell r="B1515" t="str">
            <v>TEK K1/DAE Power Supply</v>
          </cell>
        </row>
        <row r="1516">
          <cell r="A1516" t="str">
            <v>CAVA-WIN-LIC</v>
          </cell>
          <cell r="B1516" t="str">
            <v>CELERRA ANTIVIRUS AGENT</v>
          </cell>
        </row>
        <row r="1517">
          <cell r="A1517" t="str">
            <v>CFS-CSMGR-LIC</v>
          </cell>
          <cell r="B1517" t="str">
            <v>CFS CNTRL STATION MGR</v>
          </cell>
        </row>
        <row r="1518">
          <cell r="A1518" t="str">
            <v>CFS-ENT-DCD</v>
          </cell>
          <cell r="B1518" t="str">
            <v>CFS M-PROTOCOL CD&amp;DOC</v>
          </cell>
        </row>
        <row r="1519">
          <cell r="A1519" t="str">
            <v>CFS-ENT-LIC</v>
          </cell>
          <cell r="B1519" t="str">
            <v>CFS M-PROTOCOL LIC</v>
          </cell>
        </row>
        <row r="1520">
          <cell r="A1520" t="str">
            <v>CFS-MPFS-DCD</v>
          </cell>
          <cell r="B1520" t="str">
            <v>MPFS SERVER CD&amp;DOC</v>
          </cell>
        </row>
        <row r="1521">
          <cell r="A1521" t="str">
            <v>CFS-MPFS-LIC</v>
          </cell>
          <cell r="B1521" t="str">
            <v>MPFS SERVER LICENSE</v>
          </cell>
        </row>
        <row r="1522">
          <cell r="A1522" t="str">
            <v>CFS-UNIX-DCD</v>
          </cell>
          <cell r="B1522" t="str">
            <v>CFS DOCUMENTATION, CD</v>
          </cell>
        </row>
        <row r="1523">
          <cell r="A1523" t="str">
            <v>CFS-UNIX-LIC</v>
          </cell>
          <cell r="B1523" t="str">
            <v>CFS DATAMOVER LICENSE</v>
          </cell>
        </row>
        <row r="1524">
          <cell r="A1524" t="str">
            <v>MPFS-NT-DCD</v>
          </cell>
          <cell r="B1524" t="str">
            <v>MPFS NT CD&amp;DOC</v>
          </cell>
        </row>
        <row r="1525">
          <cell r="A1525" t="str">
            <v>MPFS-NTDEP</v>
          </cell>
          <cell r="B1525" t="str">
            <v>MPFS NT DEPARTMENTAL LIC</v>
          </cell>
        </row>
        <row r="1526">
          <cell r="A1526" t="str">
            <v>MPFS-NTENT</v>
          </cell>
          <cell r="B1526" t="str">
            <v>MPFS NT ENTERPRISE LIC</v>
          </cell>
        </row>
        <row r="1527">
          <cell r="A1527" t="str">
            <v>MPFS-NTWG</v>
          </cell>
          <cell r="B1527" t="str">
            <v>MPFS NT WORK GROUP</v>
          </cell>
        </row>
        <row r="1528">
          <cell r="A1528" t="str">
            <v>MPFS-UNX-DCD</v>
          </cell>
          <cell r="B1528" t="str">
            <v>MPFS UNIX CD&amp;DOC</v>
          </cell>
        </row>
        <row r="1529">
          <cell r="A1529" t="str">
            <v>MPFS-UNXDEP</v>
          </cell>
          <cell r="B1529" t="str">
            <v>MPFS UNIX DEPT LIC</v>
          </cell>
        </row>
        <row r="1530">
          <cell r="A1530" t="str">
            <v>MPFS-UNXENT</v>
          </cell>
          <cell r="B1530" t="str">
            <v>MPFS UNIX ENTERPRISE LIC</v>
          </cell>
        </row>
        <row r="1531">
          <cell r="A1531" t="str">
            <v>MPFS-UNXGLO</v>
          </cell>
          <cell r="B1531" t="str">
            <v>MPFS UNIX GLOBAL LIC</v>
          </cell>
        </row>
        <row r="1532">
          <cell r="A1532" t="str">
            <v>MPFS-UNXWG</v>
          </cell>
          <cell r="B1532" t="str">
            <v>MPFS UNIX WORKGROUP LIC</v>
          </cell>
        </row>
        <row r="1533">
          <cell r="A1533" t="str">
            <v>CMS-CS-LIC1</v>
          </cell>
          <cell r="B1533" t="str">
            <v>BULL MEM3-4096UPG</v>
          </cell>
        </row>
        <row r="1534">
          <cell r="A1534" t="str">
            <v>CMS-CS-LIC2</v>
          </cell>
          <cell r="B1534" t="str">
            <v>BULL MEM3-8192UPG</v>
          </cell>
        </row>
        <row r="1535">
          <cell r="A1535" t="str">
            <v>CMS-DM-LIC</v>
          </cell>
          <cell r="B1535" t="str">
            <v>BULL 8730 DOM SHIP KIT</v>
          </cell>
        </row>
        <row r="1536">
          <cell r="A1536" t="str">
            <v>CND-UPG</v>
          </cell>
          <cell r="B1536" t="str">
            <v>BULL 8730 INTL SHIP KIT</v>
          </cell>
        </row>
        <row r="1537">
          <cell r="A1537" t="str">
            <v>CNRGPLLIC</v>
          </cell>
          <cell r="B1537" t="str">
            <v>ENTERPRISE SW GENERAL PUBLIC LICENSE</v>
          </cell>
        </row>
        <row r="1538">
          <cell r="A1538" t="str">
            <v>CNRREPSW</v>
          </cell>
          <cell r="B1538" t="str">
            <v>CENTERA REPLICATION ENTERPRISE SW</v>
          </cell>
        </row>
        <row r="1539">
          <cell r="A1539" t="str">
            <v>CNRSDK</v>
          </cell>
          <cell r="B1539" t="str">
            <v>ENTERPRISE SW DEV KIT FOR WIN/SOLARIS</v>
          </cell>
        </row>
        <row r="1540">
          <cell r="A1540" t="str">
            <v>CNRSW5TB</v>
          </cell>
          <cell r="B1540" t="str">
            <v>ENTERPRISE SW RTU LIC/5TB RAW CAP</v>
          </cell>
        </row>
        <row r="1541">
          <cell r="A1541" t="str">
            <v>CNRSWRK2RK</v>
          </cell>
          <cell r="B1541" t="str">
            <v>ENTERPRISE MULTI-RACK MGMNT RTU SW</v>
          </cell>
        </row>
        <row r="1542">
          <cell r="A1542" t="str">
            <v>ACLG45-T1</v>
          </cell>
          <cell r="B1542" t="str">
            <v>FC4500 ACCESS LOGIX TIER 1</v>
          </cell>
        </row>
        <row r="1543">
          <cell r="A1543" t="str">
            <v>ACLG45-T10</v>
          </cell>
          <cell r="B1543" t="str">
            <v>FC4500 ACCESS LOGIX TIER 10</v>
          </cell>
        </row>
        <row r="1544">
          <cell r="A1544" t="str">
            <v>ACLG45-T11</v>
          </cell>
          <cell r="B1544" t="str">
            <v>FC4500 ACCESS LOGIX TIER 11</v>
          </cell>
        </row>
        <row r="1545">
          <cell r="A1545" t="str">
            <v>ACLG45-T12</v>
          </cell>
          <cell r="B1545" t="str">
            <v>FC4500 ACCESS LOGIX TIER 12</v>
          </cell>
        </row>
        <row r="1546">
          <cell r="A1546" t="str">
            <v>ACLG45-T2</v>
          </cell>
          <cell r="B1546" t="str">
            <v>FC4500 ACCESS LOGIX TIER 2</v>
          </cell>
        </row>
        <row r="1547">
          <cell r="A1547" t="str">
            <v>ACLG45-T3</v>
          </cell>
          <cell r="B1547" t="str">
            <v>FC4500 ACCESS LOGIX TIER 3</v>
          </cell>
        </row>
        <row r="1548">
          <cell r="A1548" t="str">
            <v>ACLG45-T4</v>
          </cell>
          <cell r="B1548" t="str">
            <v>FC4500 ACCESS LOGIX TIER 4</v>
          </cell>
        </row>
        <row r="1549">
          <cell r="A1549" t="str">
            <v>ACLG45-T5</v>
          </cell>
          <cell r="B1549" t="str">
            <v>FC4500 ACCESS LOGIX TIER 5</v>
          </cell>
        </row>
        <row r="1550">
          <cell r="A1550" t="str">
            <v>ACLG45-T6</v>
          </cell>
          <cell r="B1550" t="str">
            <v>FC4500 ACCESS LOGIX TIER 6</v>
          </cell>
        </row>
        <row r="1551">
          <cell r="A1551" t="str">
            <v>ACLG45-T7</v>
          </cell>
          <cell r="B1551" t="str">
            <v>FC4500 ACCESS LOGIX TIER 7</v>
          </cell>
        </row>
        <row r="1552">
          <cell r="A1552" t="str">
            <v>ACLG45-T8</v>
          </cell>
          <cell r="B1552" t="str">
            <v>FC4500 ACCESS LOGIX TIER 8</v>
          </cell>
        </row>
        <row r="1553">
          <cell r="A1553" t="str">
            <v>ACLG45-T9</v>
          </cell>
          <cell r="B1553" t="str">
            <v>FC4500 ACCESS LOGIX TIER 9</v>
          </cell>
        </row>
        <row r="1554">
          <cell r="A1554" t="str">
            <v>ACLG47-DA</v>
          </cell>
          <cell r="B1554" t="str">
            <v>ACCESS LOGIX FC4700 DIR ATT</v>
          </cell>
        </row>
        <row r="1555">
          <cell r="A1555" t="str">
            <v>ACLG47-T1</v>
          </cell>
          <cell r="B1555" t="str">
            <v>FC4700 ACCESS LOGIX TIER 1</v>
          </cell>
        </row>
        <row r="1556">
          <cell r="A1556" t="str">
            <v>ACLG47-T10</v>
          </cell>
          <cell r="B1556" t="str">
            <v>FC4700 ACCESS LOGIX TIER 10</v>
          </cell>
        </row>
        <row r="1557">
          <cell r="A1557" t="str">
            <v>ACLG47-T11</v>
          </cell>
          <cell r="B1557" t="str">
            <v>FC4700 ACCESS LOGIX TIER 11</v>
          </cell>
        </row>
        <row r="1558">
          <cell r="A1558" t="str">
            <v>ACLG47-T12</v>
          </cell>
          <cell r="B1558" t="str">
            <v>FC4700 ACCESS LOGIX TIER 12</v>
          </cell>
        </row>
        <row r="1559">
          <cell r="A1559" t="str">
            <v>ACLG47-T2</v>
          </cell>
          <cell r="B1559" t="str">
            <v>FC4700 ACCESS LOGIX TIER 2</v>
          </cell>
        </row>
        <row r="1560">
          <cell r="A1560" t="str">
            <v>ACLG47-T3</v>
          </cell>
          <cell r="B1560" t="str">
            <v>FC4700 ACCESS LOGIX TIER 3</v>
          </cell>
        </row>
        <row r="1561">
          <cell r="A1561" t="str">
            <v>ACLG47-T4</v>
          </cell>
          <cell r="B1561" t="str">
            <v>FC4700 ACCESS LOGIX TIER 4</v>
          </cell>
        </row>
        <row r="1562">
          <cell r="A1562" t="str">
            <v>ACLG47-T5</v>
          </cell>
          <cell r="B1562" t="str">
            <v>FC4700 ACCESS LOGIX TIER 5</v>
          </cell>
        </row>
        <row r="1563">
          <cell r="A1563" t="str">
            <v>ACLG47-T6</v>
          </cell>
          <cell r="B1563" t="str">
            <v>FC4700 ACCESS LOGIX TIER 6</v>
          </cell>
        </row>
        <row r="1564">
          <cell r="A1564" t="str">
            <v>ACLG47-T7</v>
          </cell>
          <cell r="B1564" t="str">
            <v>FC4700 ACCESS LOGIX TIER 7</v>
          </cell>
        </row>
        <row r="1565">
          <cell r="A1565" t="str">
            <v>ACLG47-T8</v>
          </cell>
          <cell r="B1565" t="str">
            <v>FC4700 ACCESS LOGIX TIER 8</v>
          </cell>
        </row>
        <row r="1566">
          <cell r="A1566" t="str">
            <v>ACLG47-T9</v>
          </cell>
          <cell r="B1566" t="str">
            <v>FC4700 ACCESS LOGIX TIER 9</v>
          </cell>
        </row>
        <row r="1567">
          <cell r="A1567" t="str">
            <v>ACLGDG-T1</v>
          </cell>
          <cell r="B1567" t="str">
            <v>FC4700 ACCESS LOGIX DG TIER 1</v>
          </cell>
        </row>
        <row r="1568">
          <cell r="A1568" t="str">
            <v>ACLGDG-T10</v>
          </cell>
          <cell r="B1568" t="str">
            <v>FC4700 ACCESS LOGIX DG TIER 10</v>
          </cell>
        </row>
        <row r="1569">
          <cell r="A1569" t="str">
            <v>ACLGDG-T11</v>
          </cell>
          <cell r="B1569" t="str">
            <v>FC4700 ACCESS LOGIX DG TIER 11</v>
          </cell>
        </row>
        <row r="1570">
          <cell r="A1570" t="str">
            <v>ACLGDG-T12</v>
          </cell>
          <cell r="B1570" t="str">
            <v>FC4700 ACCESS LOGIX DG TIER 12</v>
          </cell>
        </row>
        <row r="1571">
          <cell r="A1571" t="str">
            <v>ACLGDG-T2</v>
          </cell>
          <cell r="B1571" t="str">
            <v>FC4700 ACCESS LOGIX FOR DG TIER 2</v>
          </cell>
        </row>
        <row r="1572">
          <cell r="A1572" t="str">
            <v>ACLGDG-T3</v>
          </cell>
          <cell r="B1572" t="str">
            <v>FC4700 ACCESS LOGIX FOR DG TIER 3</v>
          </cell>
        </row>
        <row r="1573">
          <cell r="A1573" t="str">
            <v>ACLGDG-T4</v>
          </cell>
          <cell r="B1573" t="str">
            <v>FC4700 ACCESS LOGIX FOR DG TIER 4</v>
          </cell>
        </row>
        <row r="1574">
          <cell r="A1574" t="str">
            <v>ACLGDG-T5</v>
          </cell>
          <cell r="B1574" t="str">
            <v>FC4700 ACCESS LOGIX FOR DG TIER 5</v>
          </cell>
        </row>
        <row r="1575">
          <cell r="A1575" t="str">
            <v>ACLGDG-T6</v>
          </cell>
          <cell r="B1575" t="str">
            <v>FC4700 ACCESS LOGIX FOR DG TIER 6</v>
          </cell>
        </row>
        <row r="1576">
          <cell r="A1576" t="str">
            <v>ACLGDG-T7</v>
          </cell>
          <cell r="B1576" t="str">
            <v>FC4700 ACCESS LOGIX FOR DG TIER 7</v>
          </cell>
        </row>
        <row r="1577">
          <cell r="A1577" t="str">
            <v>ACLGDG-T8</v>
          </cell>
          <cell r="B1577" t="str">
            <v>FC4700 ACCESS LOGIX FOR DG TIER 8</v>
          </cell>
        </row>
        <row r="1578">
          <cell r="A1578" t="str">
            <v>ACLGDG-T9</v>
          </cell>
          <cell r="B1578" t="str">
            <v>FC4700 ACCESS LOGIX FOR DG TIER 9</v>
          </cell>
        </row>
        <row r="1579">
          <cell r="A1579" t="str">
            <v>AGDGUX-47</v>
          </cell>
          <cell r="B1579" t="str">
            <v>DG/UX NAVI AGENT-FC4700</v>
          </cell>
        </row>
        <row r="1580">
          <cell r="A1580" t="str">
            <v>AL45T1-T4</v>
          </cell>
          <cell r="B1580" t="str">
            <v>FC4500 ACCESS-LGX UPG T1-T4</v>
          </cell>
        </row>
        <row r="1581">
          <cell r="A1581" t="str">
            <v>AL45T5-T12</v>
          </cell>
          <cell r="B1581" t="str">
            <v>FC4500 ACCESS-LGX UPG T5-T12</v>
          </cell>
        </row>
        <row r="1582">
          <cell r="A1582" t="str">
            <v>AL47T1-T4</v>
          </cell>
          <cell r="B1582" t="str">
            <v>FC4700 ACCESS-LGX UPG T1-T4</v>
          </cell>
        </row>
        <row r="1583">
          <cell r="A1583" t="str">
            <v>AL47T5-T12</v>
          </cell>
          <cell r="B1583" t="str">
            <v>FC4700 ACCESS-LGX UPG T5-T12</v>
          </cell>
        </row>
        <row r="1584">
          <cell r="A1584" t="str">
            <v>ALGX-ESNUP</v>
          </cell>
          <cell r="B1584" t="str">
            <v>ESN MGR UPG FOR ACCESS-LGX</v>
          </cell>
        </row>
        <row r="1585">
          <cell r="A1585" t="str">
            <v>AYZT1-T4</v>
          </cell>
          <cell r="B1585" t="str">
            <v>NAVI ANALYZER UPG T1-T4</v>
          </cell>
        </row>
        <row r="1586">
          <cell r="A1586" t="str">
            <v>AYZT5-T12</v>
          </cell>
          <cell r="B1586" t="str">
            <v>NAVI ANALYZER UPG T5-T12</v>
          </cell>
        </row>
        <row r="1587">
          <cell r="A1587" t="str">
            <v>CL-DTONDCU</v>
          </cell>
          <cell r="B1587" t="str">
            <v>DBTUNER ORACLE NT DEP CPU+</v>
          </cell>
        </row>
        <row r="1588">
          <cell r="A1588" t="str">
            <v>CL-DTONDHU</v>
          </cell>
          <cell r="B1588" t="str">
            <v>DBTUNER ORACLE NT WG-DEP UPG</v>
          </cell>
        </row>
        <row r="1589">
          <cell r="A1589" t="str">
            <v>CL-DTONECU</v>
          </cell>
          <cell r="B1589" t="str">
            <v>DBTUNER ORACLE NT ENT CPU+</v>
          </cell>
        </row>
        <row r="1590">
          <cell r="A1590" t="str">
            <v>CL-DTONEHU</v>
          </cell>
          <cell r="B1590" t="str">
            <v>DBTUNER ORACLE NT DEP-ENT UPG</v>
          </cell>
        </row>
        <row r="1591">
          <cell r="A1591" t="str">
            <v>CL-DTONTDP</v>
          </cell>
          <cell r="B1591" t="str">
            <v>DBTUNER ORACLE NT DEP 4CPU</v>
          </cell>
        </row>
        <row r="1592">
          <cell r="A1592" t="str">
            <v>CL-DTONTEN</v>
          </cell>
          <cell r="B1592" t="str">
            <v>DBTUNER ORACLE NT ENT 8CPU</v>
          </cell>
        </row>
        <row r="1593">
          <cell r="A1593" t="str">
            <v>CL-DTONTWG</v>
          </cell>
          <cell r="B1593" t="str">
            <v>DBTUNER ORACLE NT WG 1CPU</v>
          </cell>
        </row>
        <row r="1594">
          <cell r="A1594" t="str">
            <v>CL-DTONWCU</v>
          </cell>
          <cell r="B1594" t="str">
            <v>DBTUNER ORACLE NT WG CPU+</v>
          </cell>
        </row>
        <row r="1595">
          <cell r="A1595" t="str">
            <v>CL-DTOUDCU</v>
          </cell>
          <cell r="B1595" t="str">
            <v>DBTUNER ORACLE UX DEP-CPU</v>
          </cell>
        </row>
        <row r="1596">
          <cell r="A1596" t="str">
            <v>CL-DTOUDEP</v>
          </cell>
          <cell r="B1596" t="str">
            <v>DBTUNER ORACLE UX DEP 4CPU</v>
          </cell>
        </row>
        <row r="1597">
          <cell r="A1597" t="str">
            <v>CL-DTOUDHU</v>
          </cell>
          <cell r="B1597" t="str">
            <v>DBTUNER ORACLE UX WG-DEP UPG</v>
          </cell>
        </row>
        <row r="1598">
          <cell r="A1598" t="str">
            <v>CL-DTOUECU</v>
          </cell>
          <cell r="B1598" t="str">
            <v>DBTUNER ORACLE UX DEP CPU+</v>
          </cell>
        </row>
        <row r="1599">
          <cell r="A1599" t="str">
            <v>CL-DTOUEHU</v>
          </cell>
          <cell r="B1599" t="str">
            <v>DBTUNER ORACLE UX DEP-ENT UPG</v>
          </cell>
        </row>
        <row r="1600">
          <cell r="A1600" t="str">
            <v>CL-DTOUENT</v>
          </cell>
          <cell r="B1600" t="str">
            <v>DBTUNER ORACLE UX ENT 8CPU</v>
          </cell>
        </row>
        <row r="1601">
          <cell r="A1601" t="str">
            <v>CL-DTOUGCU</v>
          </cell>
          <cell r="B1601" t="str">
            <v>DBTUNER ORACLE UX GLO CPU+</v>
          </cell>
        </row>
        <row r="1602">
          <cell r="A1602" t="str">
            <v>CL-DTOUGHU</v>
          </cell>
          <cell r="B1602" t="str">
            <v>DBTUNER ORACLE UX ENT-GLO UPG</v>
          </cell>
        </row>
        <row r="1603">
          <cell r="A1603" t="str">
            <v>CL-DTOUGLO</v>
          </cell>
          <cell r="B1603" t="str">
            <v>DBTUNER ORACLE UX GLO 14CPU</v>
          </cell>
        </row>
        <row r="1604">
          <cell r="A1604" t="str">
            <v>CL-DTOUWCU</v>
          </cell>
          <cell r="B1604" t="str">
            <v>DBTUNER ORACLE UX WG CPU+</v>
          </cell>
        </row>
        <row r="1605">
          <cell r="A1605" t="str">
            <v>CL-DTOUWG</v>
          </cell>
          <cell r="B1605" t="str">
            <v>DBTUNER ORACLE UX WG 2CPU</v>
          </cell>
        </row>
        <row r="1606">
          <cell r="A1606" t="str">
            <v>DS16B-FWC</v>
          </cell>
          <cell r="B1606" t="str">
            <v>FABRIC WATCH FOR DS-16B2</v>
          </cell>
        </row>
        <row r="1607">
          <cell r="A1607" t="str">
            <v>DS16B-QLC</v>
          </cell>
          <cell r="B1607" t="str">
            <v>QLOOP LIC FOR DS16B</v>
          </cell>
        </row>
        <row r="1608">
          <cell r="A1608" t="str">
            <v>DS16B-TRC</v>
          </cell>
          <cell r="B1608" t="str">
            <v>TRUNKING LIC FOR DS16B</v>
          </cell>
        </row>
        <row r="1609">
          <cell r="A1609" t="str">
            <v>DS16B-XFC</v>
          </cell>
          <cell r="B1609" t="str">
            <v>XFAB LIC FOR DS16B</v>
          </cell>
        </row>
        <row r="1610">
          <cell r="A1610" t="str">
            <v>DSBQLP-0D</v>
          </cell>
          <cell r="B1610" t="str">
            <v>QLOOP LIC FOR DS16B2</v>
          </cell>
        </row>
        <row r="1611">
          <cell r="A1611" t="str">
            <v>DSBXFAB-0D</v>
          </cell>
          <cell r="B1611" t="str">
            <v>XFAB LIC FOR DS16B</v>
          </cell>
        </row>
        <row r="1612">
          <cell r="A1612" t="str">
            <v>ESNAL5-T1</v>
          </cell>
          <cell r="B1612" t="str">
            <v>ESN MANAGER FC4500 TIER 1</v>
          </cell>
        </row>
        <row r="1613">
          <cell r="A1613" t="str">
            <v>ESNAL5-T10</v>
          </cell>
          <cell r="B1613" t="str">
            <v>ESN MANAGER FC4500 TIER 10</v>
          </cell>
        </row>
        <row r="1614">
          <cell r="A1614" t="str">
            <v>ESNAL5-T11</v>
          </cell>
          <cell r="B1614" t="str">
            <v>ESN MANAGER FC4500 TIER 11</v>
          </cell>
        </row>
        <row r="1615">
          <cell r="A1615" t="str">
            <v>ESNAL5-T12</v>
          </cell>
          <cell r="B1615" t="str">
            <v>ESN MANAGER FC4500 TIER 12</v>
          </cell>
        </row>
        <row r="1616">
          <cell r="A1616" t="str">
            <v>ESNAL5-T2</v>
          </cell>
          <cell r="B1616" t="str">
            <v>ESN MANAGER FC4500 TIER 2</v>
          </cell>
        </row>
        <row r="1617">
          <cell r="A1617" t="str">
            <v>ESNAL5-T3</v>
          </cell>
          <cell r="B1617" t="str">
            <v>ESN MANAGER FC4500 TIER 3</v>
          </cell>
        </row>
        <row r="1618">
          <cell r="A1618" t="str">
            <v>ESNAL5-T4</v>
          </cell>
          <cell r="B1618" t="str">
            <v>ESN MANAGER FC4500 TIER 4</v>
          </cell>
        </row>
        <row r="1619">
          <cell r="A1619" t="str">
            <v>ESNAL5-T5</v>
          </cell>
          <cell r="B1619" t="str">
            <v>ESN MANAGER FC4500 TIER 5</v>
          </cell>
        </row>
        <row r="1620">
          <cell r="A1620" t="str">
            <v>ESNAL5-T6</v>
          </cell>
          <cell r="B1620" t="str">
            <v>ESN MANAGER FC4500 TIER 6</v>
          </cell>
        </row>
        <row r="1621">
          <cell r="A1621" t="str">
            <v>ESNAL5-T7</v>
          </cell>
          <cell r="B1621" t="str">
            <v>ESN MANAGER FC4500 TIER 7</v>
          </cell>
        </row>
        <row r="1622">
          <cell r="A1622" t="str">
            <v>ESNAL5-T8</v>
          </cell>
          <cell r="B1622" t="str">
            <v>ESN MANAGER FC4500 TIER 8</v>
          </cell>
        </row>
        <row r="1623">
          <cell r="A1623" t="str">
            <v>ESNAL5-T9</v>
          </cell>
          <cell r="B1623" t="str">
            <v>ESN MANAGER FC4500 TIER 9</v>
          </cell>
        </row>
        <row r="1624">
          <cell r="A1624" t="str">
            <v>ESNAL7-T1</v>
          </cell>
          <cell r="B1624" t="str">
            <v>ESN MANAGER FC4700 TIER 1</v>
          </cell>
        </row>
        <row r="1625">
          <cell r="A1625" t="str">
            <v>ESNAL7-T10</v>
          </cell>
          <cell r="B1625" t="str">
            <v>ESN MANAGER FC4700 TIER 10</v>
          </cell>
        </row>
        <row r="1626">
          <cell r="A1626" t="str">
            <v>ESNAL7-T11</v>
          </cell>
          <cell r="B1626" t="str">
            <v>ESN MANAGER FC4700 TIER 11</v>
          </cell>
        </row>
        <row r="1627">
          <cell r="A1627" t="str">
            <v>ESNAL7-T12</v>
          </cell>
          <cell r="B1627" t="str">
            <v>ESN MANAGER FC4700 TIER 12</v>
          </cell>
        </row>
        <row r="1628">
          <cell r="A1628" t="str">
            <v>ESNAL7-T2</v>
          </cell>
          <cell r="B1628" t="str">
            <v>ESN MANAGER FC4700 TIER 2</v>
          </cell>
        </row>
        <row r="1629">
          <cell r="A1629" t="str">
            <v>ESNAL7-T3</v>
          </cell>
          <cell r="B1629" t="str">
            <v>ESN MANAGER FC4700 TIER 3</v>
          </cell>
        </row>
        <row r="1630">
          <cell r="A1630" t="str">
            <v>ESNAL7-T4</v>
          </cell>
          <cell r="B1630" t="str">
            <v>ESN MANAGER FC4700 TIER 3</v>
          </cell>
        </row>
        <row r="1631">
          <cell r="A1631" t="str">
            <v>ESNAL7-T5</v>
          </cell>
          <cell r="B1631" t="str">
            <v>ESN MANAGER FC4700 TIER 3</v>
          </cell>
        </row>
        <row r="1632">
          <cell r="A1632" t="str">
            <v>ESNAL7-T6</v>
          </cell>
          <cell r="B1632" t="str">
            <v>ESN MANAGER FC4700 TIER 3</v>
          </cell>
        </row>
        <row r="1633">
          <cell r="A1633" t="str">
            <v>ESNAL7-T7</v>
          </cell>
          <cell r="B1633" t="str">
            <v>ESN MANAGER FC4700 TIER 3</v>
          </cell>
        </row>
        <row r="1634">
          <cell r="A1634" t="str">
            <v>ESNAL7-T8</v>
          </cell>
          <cell r="B1634" t="str">
            <v>ESN MANAGER FC4700 TIER 3</v>
          </cell>
        </row>
        <row r="1635">
          <cell r="A1635" t="str">
            <v>ESNAL7-T9</v>
          </cell>
          <cell r="B1635" t="str">
            <v>ESN MANAGER FC4700 TIER 3</v>
          </cell>
        </row>
        <row r="1636">
          <cell r="A1636" t="str">
            <v>ESNT1-4UP</v>
          </cell>
          <cell r="B1636" t="str">
            <v>ESN MANAGER UPG T1-T4</v>
          </cell>
        </row>
        <row r="1637">
          <cell r="A1637" t="str">
            <v>ESNT5-12UP</v>
          </cell>
          <cell r="B1637" t="str">
            <v>ESN MANAGER UPG T5-T12</v>
          </cell>
        </row>
        <row r="1638">
          <cell r="A1638" t="str">
            <v>FC47MV-T1</v>
          </cell>
          <cell r="B1638" t="str">
            <v>MIRROR VIEW TIER 1</v>
          </cell>
        </row>
        <row r="1639">
          <cell r="A1639" t="str">
            <v>FC47MV-T10</v>
          </cell>
          <cell r="B1639" t="str">
            <v>MIRROR VIEW TIER 10</v>
          </cell>
        </row>
        <row r="1640">
          <cell r="A1640" t="str">
            <v>FC47MV-T11</v>
          </cell>
          <cell r="B1640" t="str">
            <v>MIRROR VIEW TIER 11</v>
          </cell>
        </row>
        <row r="1641">
          <cell r="A1641" t="str">
            <v>FC47MV-T12</v>
          </cell>
          <cell r="B1641" t="str">
            <v>MIRROR VIEW TIER 12</v>
          </cell>
        </row>
        <row r="1642">
          <cell r="A1642" t="str">
            <v>FC47MV-T2</v>
          </cell>
          <cell r="B1642" t="str">
            <v>MIRROR VIEW TIER 2</v>
          </cell>
        </row>
        <row r="1643">
          <cell r="A1643" t="str">
            <v>FC47MV-T3</v>
          </cell>
          <cell r="B1643" t="str">
            <v>MIRROR VIEW TIER 3</v>
          </cell>
        </row>
        <row r="1644">
          <cell r="A1644" t="str">
            <v>FC47MV-T4</v>
          </cell>
          <cell r="B1644" t="str">
            <v>MIRROR VIEW TIER 4</v>
          </cell>
        </row>
        <row r="1645">
          <cell r="A1645" t="str">
            <v>FC47MV-T5</v>
          </cell>
          <cell r="B1645" t="str">
            <v>MIRROR VIEW TIER 5</v>
          </cell>
        </row>
        <row r="1646">
          <cell r="A1646" t="str">
            <v>FC47MV-T6</v>
          </cell>
          <cell r="B1646" t="str">
            <v>MIRROR VIEW TIER 6</v>
          </cell>
        </row>
        <row r="1647">
          <cell r="A1647" t="str">
            <v>FC47MV-T7</v>
          </cell>
          <cell r="B1647" t="str">
            <v>MIRROR VIEW TIER 7</v>
          </cell>
        </row>
        <row r="1648">
          <cell r="A1648" t="str">
            <v>FC47MV-T8</v>
          </cell>
          <cell r="B1648" t="str">
            <v>MIRROR VIEW TIER 8</v>
          </cell>
        </row>
        <row r="1649">
          <cell r="A1649" t="str">
            <v>FC47MV-T9</v>
          </cell>
          <cell r="B1649" t="str">
            <v>MIRROR VIEW TIER 9</v>
          </cell>
        </row>
        <row r="1650">
          <cell r="A1650" t="str">
            <v>FC47SV-T1</v>
          </cell>
          <cell r="B1650" t="str">
            <v>SNAP VIEW TIER 1</v>
          </cell>
        </row>
        <row r="1651">
          <cell r="A1651" t="str">
            <v>FC47SV-T10</v>
          </cell>
          <cell r="B1651" t="str">
            <v>SNAP VIEW TIER 10</v>
          </cell>
        </row>
        <row r="1652">
          <cell r="A1652" t="str">
            <v>FC47SV-T11</v>
          </cell>
          <cell r="B1652" t="str">
            <v>SNAP VIEW TIER 11</v>
          </cell>
        </row>
        <row r="1653">
          <cell r="A1653" t="str">
            <v>FC47SV-T12</v>
          </cell>
          <cell r="B1653" t="str">
            <v>SNAP VIEW TIER 12</v>
          </cell>
        </row>
        <row r="1654">
          <cell r="A1654" t="str">
            <v>FC47SV-T2</v>
          </cell>
          <cell r="B1654" t="str">
            <v>SNAP VIEW TIER 2</v>
          </cell>
        </row>
        <row r="1655">
          <cell r="A1655" t="str">
            <v>FC47SV-T3</v>
          </cell>
          <cell r="B1655" t="str">
            <v>SNAP VIEW TIER 3</v>
          </cell>
        </row>
        <row r="1656">
          <cell r="A1656" t="str">
            <v>FC47SV-T4</v>
          </cell>
          <cell r="B1656" t="str">
            <v>SNAP VIEW TIER 4</v>
          </cell>
        </row>
        <row r="1657">
          <cell r="A1657" t="str">
            <v>FC47SV-T5</v>
          </cell>
          <cell r="B1657" t="str">
            <v>SNAP VIEW TIER 5</v>
          </cell>
        </row>
        <row r="1658">
          <cell r="A1658" t="str">
            <v>FC47SV-T6</v>
          </cell>
          <cell r="B1658" t="str">
            <v>SNAP VIEW TIER 6</v>
          </cell>
        </row>
        <row r="1659">
          <cell r="A1659" t="str">
            <v>FC47SV-T7</v>
          </cell>
          <cell r="B1659" t="str">
            <v>SNAP VIEW TIER 7</v>
          </cell>
        </row>
        <row r="1660">
          <cell r="A1660" t="str">
            <v>FC47SV-T8</v>
          </cell>
          <cell r="B1660" t="str">
            <v>SNAP VIEW TIER 8</v>
          </cell>
        </row>
        <row r="1661">
          <cell r="A1661" t="str">
            <v>FC47SV-T9</v>
          </cell>
          <cell r="B1661" t="str">
            <v>SNAP VIEW TIER 9</v>
          </cell>
        </row>
        <row r="1662">
          <cell r="A1662" t="str">
            <v>FCDGMV-T1</v>
          </cell>
          <cell r="B1662" t="str">
            <v>MIRROR VIEW FOR DG TIER 1</v>
          </cell>
        </row>
        <row r="1663">
          <cell r="A1663" t="str">
            <v>FCDGMV-T10</v>
          </cell>
          <cell r="B1663" t="str">
            <v>MIRROR VIEW FOR DG TIER 10</v>
          </cell>
        </row>
        <row r="1664">
          <cell r="A1664" t="str">
            <v>FCDGMV-T11</v>
          </cell>
          <cell r="B1664" t="str">
            <v>MIRROR VIEW FOR DG TIER 11</v>
          </cell>
        </row>
        <row r="1665">
          <cell r="A1665" t="str">
            <v>FCDGMV-T12</v>
          </cell>
          <cell r="B1665" t="str">
            <v>MIRROR VIEW FOR DG TIER 12</v>
          </cell>
        </row>
        <row r="1666">
          <cell r="A1666" t="str">
            <v>FCDGMV-T2</v>
          </cell>
          <cell r="B1666" t="str">
            <v>MIRROR VIEW FOR DG TIER 2</v>
          </cell>
        </row>
        <row r="1667">
          <cell r="A1667" t="str">
            <v>FCDGMV-T3</v>
          </cell>
          <cell r="B1667" t="str">
            <v>MIRROR VIEW FOR DG TIER 3</v>
          </cell>
        </row>
        <row r="1668">
          <cell r="A1668" t="str">
            <v>FCDGMV-T4</v>
          </cell>
          <cell r="B1668" t="str">
            <v>MIRROR VIEW FOR DG TIER 4</v>
          </cell>
        </row>
        <row r="1669">
          <cell r="A1669" t="str">
            <v>FCDGMV-T5</v>
          </cell>
          <cell r="B1669" t="str">
            <v>MIRROR VIEW FOR DG TIER 5</v>
          </cell>
        </row>
        <row r="1670">
          <cell r="A1670" t="str">
            <v>FCDGMV-T6</v>
          </cell>
          <cell r="B1670" t="str">
            <v>MIRROR VIEW FOR DG TIER 6</v>
          </cell>
        </row>
        <row r="1671">
          <cell r="A1671" t="str">
            <v>FCDGMV-T7</v>
          </cell>
          <cell r="B1671" t="str">
            <v>MIRROR VIEW FOR DG TIER 7</v>
          </cell>
        </row>
        <row r="1672">
          <cell r="A1672" t="str">
            <v>FCDGMV-T8</v>
          </cell>
          <cell r="B1672" t="str">
            <v>MIRROR VIEW FOR DG TIER 8</v>
          </cell>
        </row>
        <row r="1673">
          <cell r="A1673" t="str">
            <v>FCDGMV-T9</v>
          </cell>
          <cell r="B1673" t="str">
            <v>MIRROR VIEW FOR DG TIER 9</v>
          </cell>
        </row>
        <row r="1674">
          <cell r="A1674" t="str">
            <v>FMVT1-T4</v>
          </cell>
          <cell r="B1674" t="str">
            <v>MIRROR VIEW UPG T1-T4</v>
          </cell>
        </row>
        <row r="1675">
          <cell r="A1675" t="str">
            <v>FMVT5-T12</v>
          </cell>
          <cell r="B1675" t="str">
            <v>MIRROR VIEW UPG T5-T12</v>
          </cell>
        </row>
        <row r="1676">
          <cell r="A1676" t="str">
            <v>FSVT1-T4</v>
          </cell>
          <cell r="B1676" t="str">
            <v>SNAP VIEW UPG T1-T4</v>
          </cell>
        </row>
        <row r="1677">
          <cell r="A1677" t="str">
            <v>FSVT5-T12</v>
          </cell>
          <cell r="B1677" t="str">
            <v>SNAP VIEW UPG T5-T12</v>
          </cell>
        </row>
        <row r="1678">
          <cell r="A1678" t="str">
            <v>IP47CF-T1</v>
          </cell>
          <cell r="B1678" t="str">
            <v>IP4700 CFS ENABLER TIER 1</v>
          </cell>
        </row>
        <row r="1679">
          <cell r="A1679" t="str">
            <v>IP47CF-T10</v>
          </cell>
          <cell r="B1679" t="str">
            <v>IP4700 CFS ENABLER TIER 10</v>
          </cell>
        </row>
        <row r="1680">
          <cell r="A1680" t="str">
            <v>IP47CF-T11</v>
          </cell>
          <cell r="B1680" t="str">
            <v>IP4700 CFS ENABLER TIER 11</v>
          </cell>
        </row>
        <row r="1681">
          <cell r="A1681" t="str">
            <v>IP47CF-T12</v>
          </cell>
          <cell r="B1681" t="str">
            <v>IP4700 CFS ENABLER TIER 12</v>
          </cell>
        </row>
        <row r="1682">
          <cell r="A1682" t="str">
            <v>IP47CF-T2</v>
          </cell>
          <cell r="B1682" t="str">
            <v>IP4700 CFS ENABLER TIER 2</v>
          </cell>
        </row>
        <row r="1683">
          <cell r="A1683" t="str">
            <v>IP47CF-T3</v>
          </cell>
          <cell r="B1683" t="str">
            <v>IP4700 CFS ENABLER TIER 3</v>
          </cell>
        </row>
        <row r="1684">
          <cell r="A1684" t="str">
            <v>IP47CF-T4</v>
          </cell>
          <cell r="B1684" t="str">
            <v>IP4700 CFS ENABLER TIER 4</v>
          </cell>
        </row>
        <row r="1685">
          <cell r="A1685" t="str">
            <v>IP47CF-T5</v>
          </cell>
          <cell r="B1685" t="str">
            <v>IP4700 CFS ENABLER TIER 5</v>
          </cell>
        </row>
        <row r="1686">
          <cell r="A1686" t="str">
            <v>IP47CF-T6</v>
          </cell>
          <cell r="B1686" t="str">
            <v>IP4700 CFS ENABLER TIER 6</v>
          </cell>
        </row>
        <row r="1687">
          <cell r="A1687" t="str">
            <v>IP47CF-T7</v>
          </cell>
          <cell r="B1687" t="str">
            <v>IP4700 CFS ENABLER TIER 7</v>
          </cell>
        </row>
        <row r="1688">
          <cell r="A1688" t="str">
            <v>IP47CF-T8</v>
          </cell>
          <cell r="B1688" t="str">
            <v>IP4700 CFS ENABLER TIER 8</v>
          </cell>
        </row>
        <row r="1689">
          <cell r="A1689" t="str">
            <v>IP47CF-T9</v>
          </cell>
          <cell r="B1689" t="str">
            <v>IP4700 CFS ENABLER TIER 9</v>
          </cell>
        </row>
        <row r="1690">
          <cell r="A1690" t="str">
            <v>IP47FP-T1</v>
          </cell>
          <cell r="B1690" t="str">
            <v>IP4700 FTP ENABLER TIER 1</v>
          </cell>
        </row>
        <row r="1691">
          <cell r="A1691" t="str">
            <v>IP47FP-T10</v>
          </cell>
          <cell r="B1691" t="str">
            <v>IP4700 FTP ENABLER TIER 10</v>
          </cell>
        </row>
        <row r="1692">
          <cell r="A1692" t="str">
            <v>IP47FP-T11</v>
          </cell>
          <cell r="B1692" t="str">
            <v>IP4700 FTP ENABLER TIER 11</v>
          </cell>
        </row>
        <row r="1693">
          <cell r="A1693" t="str">
            <v>IP47FP-T12</v>
          </cell>
          <cell r="B1693" t="str">
            <v>IP4700 FTP ENABLER TIER 12</v>
          </cell>
        </row>
        <row r="1694">
          <cell r="A1694" t="str">
            <v>IP47FP-T2</v>
          </cell>
          <cell r="B1694" t="str">
            <v>IP4700 FTP ENABLER TIER 2</v>
          </cell>
        </row>
        <row r="1695">
          <cell r="A1695" t="str">
            <v>IP47FP-T3</v>
          </cell>
          <cell r="B1695" t="str">
            <v>IP4700 FTP ENABLER TIER 3</v>
          </cell>
        </row>
        <row r="1696">
          <cell r="A1696" t="str">
            <v>IP47FP-T4</v>
          </cell>
          <cell r="B1696" t="str">
            <v>IP4700 FTP ENABLER TIER 4</v>
          </cell>
        </row>
        <row r="1697">
          <cell r="A1697" t="str">
            <v>IP47FP-T5</v>
          </cell>
          <cell r="B1697" t="str">
            <v>IP4700 FTP ENABLER TIER 5</v>
          </cell>
        </row>
        <row r="1698">
          <cell r="A1698" t="str">
            <v>IP47FP-T6</v>
          </cell>
          <cell r="B1698" t="str">
            <v>IP4700 FTP ENABLER TIER 6</v>
          </cell>
        </row>
        <row r="1699">
          <cell r="A1699" t="str">
            <v>IP47FP-T7</v>
          </cell>
          <cell r="B1699" t="str">
            <v>IP4700 FTP ENABLER TIER 7</v>
          </cell>
        </row>
        <row r="1700">
          <cell r="A1700" t="str">
            <v>IP47FP-T8</v>
          </cell>
          <cell r="B1700" t="str">
            <v>IP4700 FTP ENABLER TIER 8</v>
          </cell>
        </row>
        <row r="1701">
          <cell r="A1701" t="str">
            <v>IP47FP-T9</v>
          </cell>
          <cell r="B1701" t="str">
            <v>IP4700 FTP ENABLER TIER 9</v>
          </cell>
        </row>
        <row r="1702">
          <cell r="A1702" t="str">
            <v>IP47ND-T1</v>
          </cell>
          <cell r="B1702" t="str">
            <v>IP4700 NDMP ENABLER TIER 1</v>
          </cell>
        </row>
        <row r="1703">
          <cell r="A1703" t="str">
            <v>IP47ND-T10</v>
          </cell>
          <cell r="B1703" t="str">
            <v>IP4700 NDMP ENABLER TIER 10</v>
          </cell>
        </row>
        <row r="1704">
          <cell r="A1704" t="str">
            <v>IP47ND-T11</v>
          </cell>
          <cell r="B1704" t="str">
            <v>IP4700 NDMP ENABLER TIER 11</v>
          </cell>
        </row>
        <row r="1705">
          <cell r="A1705" t="str">
            <v>IP47ND-T12</v>
          </cell>
          <cell r="B1705" t="str">
            <v>IP4700 NDMP ENABLER TIER 12</v>
          </cell>
        </row>
        <row r="1706">
          <cell r="A1706" t="str">
            <v>IP47ND-T2</v>
          </cell>
          <cell r="B1706" t="str">
            <v>IP4700 NDMP ENABLER TIER 2</v>
          </cell>
        </row>
        <row r="1707">
          <cell r="A1707" t="str">
            <v>IP47ND-T3</v>
          </cell>
          <cell r="B1707" t="str">
            <v>IP4700 NDMP ENABLER TIER 3</v>
          </cell>
        </row>
        <row r="1708">
          <cell r="A1708" t="str">
            <v>IP47ND-T4</v>
          </cell>
          <cell r="B1708" t="str">
            <v>IP4700 NDMP ENABLER TIER 4</v>
          </cell>
        </row>
        <row r="1709">
          <cell r="A1709" t="str">
            <v>IP47ND-T5</v>
          </cell>
          <cell r="B1709" t="str">
            <v>IP4700 NDMP ENABLER TIER 5</v>
          </cell>
        </row>
        <row r="1710">
          <cell r="A1710" t="str">
            <v>IP47ND-T6</v>
          </cell>
          <cell r="B1710" t="str">
            <v>IP4700 NDMP ENABLER TIER 6</v>
          </cell>
        </row>
        <row r="1711">
          <cell r="A1711" t="str">
            <v>IP47ND-T7</v>
          </cell>
          <cell r="B1711" t="str">
            <v>IP4700 NDMP ENABLER TIER 7</v>
          </cell>
        </row>
        <row r="1712">
          <cell r="A1712" t="str">
            <v>IP47ND-T8</v>
          </cell>
          <cell r="B1712" t="str">
            <v>IP4700 NDMP ENABLER TIER 8</v>
          </cell>
        </row>
        <row r="1713">
          <cell r="A1713" t="str">
            <v>IP47ND-T9</v>
          </cell>
          <cell r="B1713" t="str">
            <v>IP4700 NDMP ENABLER TIER 9</v>
          </cell>
        </row>
        <row r="1714">
          <cell r="A1714" t="str">
            <v>IP47NF-T1</v>
          </cell>
          <cell r="B1714" t="str">
            <v>IP4700 NFS ENABLER TIER 1</v>
          </cell>
        </row>
        <row r="1715">
          <cell r="A1715" t="str">
            <v>IP47NF-T10</v>
          </cell>
          <cell r="B1715" t="str">
            <v>IP4700 NFS ENABLER TIER 10</v>
          </cell>
        </row>
        <row r="1716">
          <cell r="A1716" t="str">
            <v>IP47NF-T11</v>
          </cell>
          <cell r="B1716" t="str">
            <v>IP4700 NFS ENABLER TIER 11</v>
          </cell>
        </row>
        <row r="1717">
          <cell r="A1717" t="str">
            <v>IP47NF-T12</v>
          </cell>
          <cell r="B1717" t="str">
            <v>IP4700 NFS ENABLER TIER 12</v>
          </cell>
        </row>
        <row r="1718">
          <cell r="A1718" t="str">
            <v>IP47NF-T2</v>
          </cell>
          <cell r="B1718" t="str">
            <v>IP4700 NFS ENABLER TIER 2</v>
          </cell>
        </row>
        <row r="1719">
          <cell r="A1719" t="str">
            <v>IP47NF-T3</v>
          </cell>
          <cell r="B1719" t="str">
            <v>IP4700 NFS ENABLER TIER 3</v>
          </cell>
        </row>
        <row r="1720">
          <cell r="A1720" t="str">
            <v>IP47NF-T4</v>
          </cell>
          <cell r="B1720" t="str">
            <v>IP4700 NFS ENABLER TIER 4</v>
          </cell>
        </row>
        <row r="1721">
          <cell r="A1721" t="str">
            <v>IP47NF-T5</v>
          </cell>
          <cell r="B1721" t="str">
            <v>IP4700 NFS ENABLER TIER 5</v>
          </cell>
        </row>
        <row r="1722">
          <cell r="A1722" t="str">
            <v>IP47NF-T6</v>
          </cell>
          <cell r="B1722" t="str">
            <v>IP4700 NFS ENABLER TIER 6</v>
          </cell>
        </row>
        <row r="1723">
          <cell r="A1723" t="str">
            <v>IP47NF-T7</v>
          </cell>
          <cell r="B1723" t="str">
            <v>IP4700 NFS ENABLER TIER 7</v>
          </cell>
        </row>
        <row r="1724">
          <cell r="A1724" t="str">
            <v>IP47NF-T8</v>
          </cell>
          <cell r="B1724" t="str">
            <v>IP4700 NFS ENABLER TIER 8</v>
          </cell>
        </row>
        <row r="1725">
          <cell r="A1725" t="str">
            <v>IP47NF-T9</v>
          </cell>
          <cell r="B1725" t="str">
            <v>IP4700 NFS ENABLER TIER 9</v>
          </cell>
        </row>
        <row r="1726">
          <cell r="A1726" t="str">
            <v>IP47SV-T1</v>
          </cell>
          <cell r="B1726" t="str">
            <v>SNAP VIEW TIER 1</v>
          </cell>
        </row>
        <row r="1727">
          <cell r="A1727" t="str">
            <v>IP47SV-T10</v>
          </cell>
          <cell r="B1727" t="str">
            <v>SNAP VIEW TIER 10</v>
          </cell>
        </row>
        <row r="1728">
          <cell r="A1728" t="str">
            <v>IP47SV-T11</v>
          </cell>
          <cell r="B1728" t="str">
            <v>SNAP VIEW TIER 11</v>
          </cell>
        </row>
        <row r="1729">
          <cell r="A1729" t="str">
            <v>IP47SV-T12</v>
          </cell>
          <cell r="B1729" t="str">
            <v>SNAP VIEW TIER 12</v>
          </cell>
        </row>
        <row r="1730">
          <cell r="A1730" t="str">
            <v>IP47SV-T2</v>
          </cell>
          <cell r="B1730" t="str">
            <v>SNAP VIEW TIER 2</v>
          </cell>
        </row>
        <row r="1731">
          <cell r="A1731" t="str">
            <v>IP47SV-T3</v>
          </cell>
          <cell r="B1731" t="str">
            <v>SNAP VIEW TIER 3</v>
          </cell>
        </row>
        <row r="1732">
          <cell r="A1732" t="str">
            <v>IP47SV-T4</v>
          </cell>
          <cell r="B1732" t="str">
            <v>SNAP VIEW TIER 4</v>
          </cell>
        </row>
        <row r="1733">
          <cell r="A1733" t="str">
            <v>IP47SV-T5</v>
          </cell>
          <cell r="B1733" t="str">
            <v>SNAP VIEW TIER 5</v>
          </cell>
        </row>
        <row r="1734">
          <cell r="A1734" t="str">
            <v>IP47SV-T6</v>
          </cell>
          <cell r="B1734" t="str">
            <v>SNAP VIEW TIER 6</v>
          </cell>
        </row>
        <row r="1735">
          <cell r="A1735" t="str">
            <v>IP47SV-T7</v>
          </cell>
          <cell r="B1735" t="str">
            <v>SNAP VIEW TIER 7</v>
          </cell>
        </row>
        <row r="1736">
          <cell r="A1736" t="str">
            <v>IP47SV-T8</v>
          </cell>
          <cell r="B1736" t="str">
            <v>SNAP VIEW TIER 8</v>
          </cell>
        </row>
        <row r="1737">
          <cell r="A1737" t="str">
            <v>IP47SV-T9</v>
          </cell>
          <cell r="B1737" t="str">
            <v>SNAP VIEW TIER 9</v>
          </cell>
        </row>
        <row r="1738">
          <cell r="A1738" t="str">
            <v>IPCFT1-T4</v>
          </cell>
          <cell r="B1738" t="str">
            <v>CFS ENABLER UPG T1-T4</v>
          </cell>
        </row>
        <row r="1739">
          <cell r="A1739" t="str">
            <v>IPCFT5-T12</v>
          </cell>
          <cell r="B1739" t="str">
            <v>CFS ENABLER UPG T5-T12</v>
          </cell>
        </row>
        <row r="1740">
          <cell r="A1740" t="str">
            <v>IPFPT1-T4</v>
          </cell>
          <cell r="B1740" t="str">
            <v>FTP ENABLER UPG T1-T4</v>
          </cell>
        </row>
        <row r="1741">
          <cell r="A1741" t="str">
            <v>IPFPT5-T12</v>
          </cell>
          <cell r="B1741" t="str">
            <v>FTP ENABLER UPG T5-T12</v>
          </cell>
        </row>
        <row r="1742">
          <cell r="A1742" t="str">
            <v>IPNDT1-T4</v>
          </cell>
          <cell r="B1742" t="str">
            <v>NDMP ENABLER UPG T1-T4</v>
          </cell>
        </row>
        <row r="1743">
          <cell r="A1743" t="str">
            <v>IPNDT5-T12</v>
          </cell>
          <cell r="B1743" t="str">
            <v>NDMP ENABLER UPG T5-T12</v>
          </cell>
        </row>
        <row r="1744">
          <cell r="A1744" t="str">
            <v>IPNFT1-T4</v>
          </cell>
          <cell r="B1744" t="str">
            <v>NFS ENABLER UPG T1-T4</v>
          </cell>
        </row>
        <row r="1745">
          <cell r="A1745" t="str">
            <v>IPNFT5-T12</v>
          </cell>
          <cell r="B1745" t="str">
            <v>NFS ENABLER UPG T5-T12</v>
          </cell>
        </row>
        <row r="1746">
          <cell r="A1746" t="str">
            <v>IPSVT1-T4</v>
          </cell>
          <cell r="B1746" t="str">
            <v>SNAP VIEW UPG T1-T4</v>
          </cell>
        </row>
        <row r="1747">
          <cell r="A1747" t="str">
            <v>IPSVT5-T12</v>
          </cell>
          <cell r="B1747" t="str">
            <v>SNAP VIEW UPG T5-T12</v>
          </cell>
        </row>
        <row r="1748">
          <cell r="A1748" t="str">
            <v>MGRT1-T4</v>
          </cell>
          <cell r="B1748" t="str">
            <v>NAVI MANAGER UPG T1-T4</v>
          </cell>
        </row>
        <row r="1749">
          <cell r="A1749" t="str">
            <v>MGRT5-T12</v>
          </cell>
          <cell r="B1749" t="str">
            <v>NAVI MANAGER UPG T5-T12</v>
          </cell>
        </row>
        <row r="1750">
          <cell r="A1750" t="str">
            <v>NAVAGT-AIX</v>
          </cell>
          <cell r="B1750" t="str">
            <v>NAVISPHERE AGENT AIX</v>
          </cell>
        </row>
        <row r="1751">
          <cell r="A1751" t="str">
            <v>NAVAGT-HP</v>
          </cell>
          <cell r="B1751" t="str">
            <v>NAVISPHERE AGENT HPUX</v>
          </cell>
        </row>
        <row r="1752">
          <cell r="A1752" t="str">
            <v>NAVAGT-IRX</v>
          </cell>
          <cell r="B1752" t="str">
            <v>NAVISPHERE AGENT IRIX</v>
          </cell>
        </row>
        <row r="1753">
          <cell r="A1753" t="str">
            <v>NAVAGT-LNX</v>
          </cell>
          <cell r="B1753" t="str">
            <v>NAVISPHERE AGENT LINUX</v>
          </cell>
        </row>
        <row r="1754">
          <cell r="A1754" t="str">
            <v>NAVAGT-NW</v>
          </cell>
          <cell r="B1754" t="str">
            <v>NAVISPHERE AGENT NETWARE</v>
          </cell>
        </row>
        <row r="1755">
          <cell r="A1755" t="str">
            <v>NAVAGT-SUN</v>
          </cell>
          <cell r="B1755" t="str">
            <v>NAVISPHERE AGENT SUN</v>
          </cell>
        </row>
        <row r="1756">
          <cell r="A1756" t="str">
            <v>NAVAGT-WIN</v>
          </cell>
          <cell r="B1756" t="str">
            <v>NAVISPHERE AGENT NT/W2K</v>
          </cell>
        </row>
        <row r="1757">
          <cell r="A1757" t="str">
            <v>NAVATF-AIX</v>
          </cell>
          <cell r="B1757" t="str">
            <v>NAVISPHERE ATF - AIX ATTACH</v>
          </cell>
        </row>
        <row r="1758">
          <cell r="A1758" t="str">
            <v>NAVATF-NT</v>
          </cell>
          <cell r="B1758" t="str">
            <v>NAVISPHERE ATF - NT ATTACH</v>
          </cell>
        </row>
        <row r="1759">
          <cell r="A1759" t="str">
            <v>NAVATF-NW</v>
          </cell>
          <cell r="B1759" t="str">
            <v>NAVISPHERE ATF - NW ATTACH</v>
          </cell>
        </row>
        <row r="1760">
          <cell r="A1760" t="str">
            <v>NAVATF-SUN</v>
          </cell>
          <cell r="B1760" t="str">
            <v>NAVISPHERE ATF - SUN ATTACH</v>
          </cell>
        </row>
        <row r="1761">
          <cell r="A1761" t="str">
            <v>NAVATF-W2K</v>
          </cell>
          <cell r="B1761" t="str">
            <v>NAVISPHERE ATF - W2K ATTACH</v>
          </cell>
        </row>
        <row r="1762">
          <cell r="A1762" t="str">
            <v>NAVAYZ-T1</v>
          </cell>
          <cell r="B1762" t="str">
            <v>NAVISPHERE ANALYZER TIER 1</v>
          </cell>
        </row>
        <row r="1763">
          <cell r="A1763" t="str">
            <v>NAVAYZ-T10</v>
          </cell>
          <cell r="B1763" t="str">
            <v>NAVISPHERE ANALYZER TIER 10</v>
          </cell>
        </row>
        <row r="1764">
          <cell r="A1764" t="str">
            <v>NAVAYZ-T11</v>
          </cell>
          <cell r="B1764" t="str">
            <v>NAVISPHERE ANALYZER TIER 11</v>
          </cell>
        </row>
        <row r="1765">
          <cell r="A1765" t="str">
            <v>NAVAYZ-T12</v>
          </cell>
          <cell r="B1765" t="str">
            <v>NAVISPHERE ANALYZER TIER 12</v>
          </cell>
        </row>
        <row r="1766">
          <cell r="A1766" t="str">
            <v>NAVAYZ-T2</v>
          </cell>
          <cell r="B1766" t="str">
            <v>NAVISPHERE ANALYZER TIER 2</v>
          </cell>
        </row>
        <row r="1767">
          <cell r="A1767" t="str">
            <v>NAVAYZ-T3</v>
          </cell>
          <cell r="B1767" t="str">
            <v>NAVISPHERE ANALYZER TIER 3</v>
          </cell>
        </row>
        <row r="1768">
          <cell r="A1768" t="str">
            <v>NAVAYZ-T4</v>
          </cell>
          <cell r="B1768" t="str">
            <v>NAVISPHERE ANALYZER TIER 4</v>
          </cell>
        </row>
        <row r="1769">
          <cell r="A1769" t="str">
            <v>NAVAYZ-T5</v>
          </cell>
          <cell r="B1769" t="str">
            <v>NAVISPHERE ANALYZER TIER 5</v>
          </cell>
        </row>
        <row r="1770">
          <cell r="A1770" t="str">
            <v>NAVAYZ-T6</v>
          </cell>
          <cell r="B1770" t="str">
            <v>NAVISPHERE ANALYZER TIER 6</v>
          </cell>
        </row>
        <row r="1771">
          <cell r="A1771" t="str">
            <v>NAVAYZ-T7</v>
          </cell>
          <cell r="B1771" t="str">
            <v>NAVISPHERE ANALYZER TIER 7</v>
          </cell>
        </row>
        <row r="1772">
          <cell r="A1772" t="str">
            <v>NAVAYZ-T8</v>
          </cell>
          <cell r="B1772" t="str">
            <v>NAVISPHERE ANALYZER TIER 8</v>
          </cell>
        </row>
        <row r="1773">
          <cell r="A1773" t="str">
            <v>NAVAYZ-T9</v>
          </cell>
          <cell r="B1773" t="str">
            <v>NAVISPHERE ANALYZER TIER 9</v>
          </cell>
        </row>
        <row r="1774">
          <cell r="A1774" t="str">
            <v>NAVMGR-T1</v>
          </cell>
          <cell r="B1774" t="str">
            <v>NAVISPHERE MANAGER TIER 1</v>
          </cell>
        </row>
        <row r="1775">
          <cell r="A1775" t="str">
            <v>NAVMGR-T10</v>
          </cell>
          <cell r="B1775" t="str">
            <v>NAVISPHERE MANAGER TIER 10</v>
          </cell>
        </row>
        <row r="1776">
          <cell r="A1776" t="str">
            <v>NAVMGR-T11</v>
          </cell>
          <cell r="B1776" t="str">
            <v>NAVISPHERE MANAGER TIER 11</v>
          </cell>
        </row>
        <row r="1777">
          <cell r="A1777" t="str">
            <v>NAVMGR-T12</v>
          </cell>
          <cell r="B1777" t="str">
            <v>NAVISPHERE MANAGER TIER 12</v>
          </cell>
        </row>
        <row r="1778">
          <cell r="A1778" t="str">
            <v>NAVMGR-T2</v>
          </cell>
          <cell r="B1778" t="str">
            <v>NAVISPHERE MANAGER TIER 2</v>
          </cell>
        </row>
        <row r="1779">
          <cell r="A1779" t="str">
            <v>NAVMGR-T3</v>
          </cell>
          <cell r="B1779" t="str">
            <v>NAVISPHERE MANAGER TIER 3</v>
          </cell>
        </row>
        <row r="1780">
          <cell r="A1780" t="str">
            <v>NAVMGR-T4</v>
          </cell>
          <cell r="B1780" t="str">
            <v>NAVISPHERE MANAGER TIER 4</v>
          </cell>
        </row>
        <row r="1781">
          <cell r="A1781" t="str">
            <v>NAVMGR-T5</v>
          </cell>
          <cell r="B1781" t="str">
            <v>NAVISPHERE MANAGER TIER 5</v>
          </cell>
        </row>
        <row r="1782">
          <cell r="A1782" t="str">
            <v>NAVMGR-T6</v>
          </cell>
          <cell r="B1782" t="str">
            <v>NAVISPHERE MANAGER TIER 6</v>
          </cell>
        </row>
        <row r="1783">
          <cell r="A1783" t="str">
            <v>NAVMGR-T7</v>
          </cell>
          <cell r="B1783" t="str">
            <v>NAVISPHERE MANAGER TIER 7</v>
          </cell>
        </row>
        <row r="1784">
          <cell r="A1784" t="str">
            <v>NAVMGR-T8</v>
          </cell>
          <cell r="B1784" t="str">
            <v>NAVISPHERE MANAGER TIER 8</v>
          </cell>
        </row>
        <row r="1785">
          <cell r="A1785" t="str">
            <v>NAVMGR-T9</v>
          </cell>
          <cell r="B1785" t="str">
            <v>NAVISPHERE MANAGER TIER 9</v>
          </cell>
        </row>
        <row r="1786">
          <cell r="A1786" t="str">
            <v>NAVORG-T1</v>
          </cell>
          <cell r="B1786" t="str">
            <v>NAVISPHERE ORGANIZER TIER 1</v>
          </cell>
        </row>
        <row r="1787">
          <cell r="A1787" t="str">
            <v>NAVORG-T10</v>
          </cell>
          <cell r="B1787" t="str">
            <v>NAVISPHERE ORGANIZER TIER 10</v>
          </cell>
        </row>
        <row r="1788">
          <cell r="A1788" t="str">
            <v>NAVORG-T11</v>
          </cell>
          <cell r="B1788" t="str">
            <v>NAVISPHERE ORGANIZER TIER 11</v>
          </cell>
        </row>
        <row r="1789">
          <cell r="A1789" t="str">
            <v>NAVORG-T12</v>
          </cell>
          <cell r="B1789" t="str">
            <v>NAVISPHERE ORGANIZER TIER 12</v>
          </cell>
        </row>
        <row r="1790">
          <cell r="A1790" t="str">
            <v>NAVORG-T2</v>
          </cell>
          <cell r="B1790" t="str">
            <v>NAVISPHERE ORGANIZER TIER 2</v>
          </cell>
        </row>
        <row r="1791">
          <cell r="A1791" t="str">
            <v>NAVORG-T3</v>
          </cell>
          <cell r="B1791" t="str">
            <v>NAVISPHERE ORGANIZER TIER 3</v>
          </cell>
        </row>
        <row r="1792">
          <cell r="A1792" t="str">
            <v>NAVORG-T4</v>
          </cell>
          <cell r="B1792" t="str">
            <v>NAVISPHERE ORGANIZER TIER 4</v>
          </cell>
        </row>
        <row r="1793">
          <cell r="A1793" t="str">
            <v>NAVORG-T5</v>
          </cell>
          <cell r="B1793" t="str">
            <v>NAVISPHERE ORGANIZER TIER 5</v>
          </cell>
        </row>
        <row r="1794">
          <cell r="A1794" t="str">
            <v>NAVORG-T6</v>
          </cell>
          <cell r="B1794" t="str">
            <v>NAVISPHERE ORGANIZER TIER 6</v>
          </cell>
        </row>
        <row r="1795">
          <cell r="A1795" t="str">
            <v>NAVORG-T7</v>
          </cell>
          <cell r="B1795" t="str">
            <v>NAVISPHERE ORGANIZER TIER 7</v>
          </cell>
        </row>
        <row r="1796">
          <cell r="A1796" t="str">
            <v>NAVORG-T8</v>
          </cell>
          <cell r="B1796" t="str">
            <v>NAVISPHERE ORGANIZER TIER 8</v>
          </cell>
        </row>
        <row r="1797">
          <cell r="A1797" t="str">
            <v>NAVORG-T9</v>
          </cell>
          <cell r="B1797" t="str">
            <v>NAVISPHERE ORGANIZER TIER 9</v>
          </cell>
        </row>
        <row r="1798">
          <cell r="A1798" t="str">
            <v>ORGT1-T4</v>
          </cell>
          <cell r="B1798" t="str">
            <v>NAVI ORGANIZER UPG T1-T4</v>
          </cell>
        </row>
        <row r="1799">
          <cell r="A1799" t="str">
            <v>ORGT5-T12</v>
          </cell>
          <cell r="B1799" t="str">
            <v>NAVI ORGANIZER UPG T5-T12</v>
          </cell>
        </row>
        <row r="1800">
          <cell r="A1800" t="str">
            <v>PM-DS16</v>
          </cell>
          <cell r="B1800" t="str">
            <v>PRODUCT MGR SW FOR DS-16M</v>
          </cell>
        </row>
        <row r="1801">
          <cell r="A1801" t="str">
            <v>PM-DS32</v>
          </cell>
          <cell r="B1801" t="str">
            <v>PRODUCT MGR SW FOR DS32M</v>
          </cell>
        </row>
        <row r="1802">
          <cell r="A1802" t="str">
            <v>UTIL-AIX</v>
          </cell>
          <cell r="B1802" t="str">
            <v>IBM AIX S/W UTILITIES AND DOC</v>
          </cell>
        </row>
        <row r="1803">
          <cell r="A1803" t="str">
            <v>UTIL-NW</v>
          </cell>
          <cell r="B1803" t="str">
            <v>NETWARE S/W UTILITIES AND DOC</v>
          </cell>
        </row>
        <row r="1804">
          <cell r="A1804" t="str">
            <v>UTIL-SUN</v>
          </cell>
          <cell r="B1804" t="str">
            <v>SUN CPCI S/W UTILITIES AND DOC</v>
          </cell>
        </row>
        <row r="1805">
          <cell r="A1805" t="str">
            <v>UTIL-TRU64</v>
          </cell>
          <cell r="B1805" t="str">
            <v>TRU64 S/W UTILITIES AND DOC</v>
          </cell>
        </row>
        <row r="1806">
          <cell r="A1806" t="str">
            <v>UTIL-WIN</v>
          </cell>
          <cell r="B1806" t="str">
            <v>WIN S/W UTILITIES AND DOC</v>
          </cell>
        </row>
        <row r="1807">
          <cell r="A1807">
            <v>68686948</v>
          </cell>
          <cell r="B1807" t="str">
            <v>NAVI SP AGENT FOR 5.2</v>
          </cell>
        </row>
        <row r="1808">
          <cell r="A1808" t="str">
            <v>ACCLGXB-53</v>
          </cell>
          <cell r="B1808" t="str">
            <v>ACCESS LOGIX CORE S/W-OEM</v>
          </cell>
        </row>
        <row r="1809">
          <cell r="A1809" t="str">
            <v>ACLG45-DAE</v>
          </cell>
          <cell r="B1809" t="str">
            <v>ACC. LOGIX 4500 DAE</v>
          </cell>
        </row>
        <row r="1810">
          <cell r="A1810" t="str">
            <v>ACLG45-DPE</v>
          </cell>
          <cell r="B1810" t="str">
            <v>ACC. LOGIX 4500 CD &amp; LIC.</v>
          </cell>
        </row>
        <row r="1811">
          <cell r="A1811" t="str">
            <v>ACLG47-DAE</v>
          </cell>
          <cell r="B1811" t="str">
            <v>ACC. LOGIX 4700 DAE LIC</v>
          </cell>
        </row>
        <row r="1812">
          <cell r="A1812" t="str">
            <v>ACLG47-DPE</v>
          </cell>
          <cell r="B1812" t="str">
            <v>ACC. LOGIX 4700 CD &amp; LIC.</v>
          </cell>
        </row>
        <row r="1813">
          <cell r="A1813" t="str">
            <v>C300CBG1CD</v>
          </cell>
          <cell r="B1813" t="str">
            <v>NAVISPHERE MANAGER NT/W2K</v>
          </cell>
        </row>
        <row r="1814">
          <cell r="A1814" t="str">
            <v>C343CBG1CD</v>
          </cell>
          <cell r="B1814" t="str">
            <v>NAVISPHERE ANALYZER</v>
          </cell>
        </row>
        <row r="1815">
          <cell r="A1815" t="str">
            <v>FC47MV-DAE</v>
          </cell>
          <cell r="B1815" t="str">
            <v>MIRRORVIEW 47 DAE LICENCE</v>
          </cell>
        </row>
        <row r="1816">
          <cell r="A1816" t="str">
            <v>FC47MV-DPE</v>
          </cell>
          <cell r="B1816" t="str">
            <v>MIRRORVIEW 47 CD &amp; LIC</v>
          </cell>
        </row>
        <row r="1817">
          <cell r="A1817" t="str">
            <v>FC47SV-DAE</v>
          </cell>
          <cell r="B1817" t="str">
            <v>SNAPVIEW 4700 DAE LICENSE</v>
          </cell>
        </row>
        <row r="1818">
          <cell r="A1818" t="str">
            <v>FC47SV-DPE</v>
          </cell>
          <cell r="B1818" t="str">
            <v>SNAPVIEW 4700 CD &amp; LIC</v>
          </cell>
        </row>
        <row r="1819">
          <cell r="A1819" t="str">
            <v>IP47CS-DAE</v>
          </cell>
          <cell r="B1819" t="str">
            <v>CIFS IP4700 DAE LICENSE</v>
          </cell>
        </row>
        <row r="1820">
          <cell r="A1820" t="str">
            <v>IP47CS-DPE</v>
          </cell>
          <cell r="B1820" t="str">
            <v>CIFS IP4700 DPE CD &amp; LIC</v>
          </cell>
        </row>
        <row r="1821">
          <cell r="A1821" t="str">
            <v>IP47FP-DAE</v>
          </cell>
          <cell r="B1821" t="str">
            <v>FTP ENABLER FOR 10-SL DAE</v>
          </cell>
        </row>
        <row r="1822">
          <cell r="A1822" t="str">
            <v>IP47FP-DPE</v>
          </cell>
          <cell r="B1822" t="str">
            <v>FTP ENABLER FOR DPE</v>
          </cell>
        </row>
        <row r="1823">
          <cell r="A1823" t="str">
            <v>IP47ND-DAE</v>
          </cell>
          <cell r="B1823" t="str">
            <v>NDMP IP4700 DAE LICENSE</v>
          </cell>
        </row>
        <row r="1824">
          <cell r="A1824" t="str">
            <v>IP47ND-DPE</v>
          </cell>
          <cell r="B1824" t="str">
            <v>NDMP IP4700 DPE CD &amp; LIC</v>
          </cell>
        </row>
        <row r="1825">
          <cell r="A1825" t="str">
            <v>IP47NF-DAE</v>
          </cell>
          <cell r="B1825" t="str">
            <v>NFS IP4700 DAE LICENSE</v>
          </cell>
        </row>
        <row r="1826">
          <cell r="A1826" t="str">
            <v>IP47NF-DPE</v>
          </cell>
          <cell r="B1826" t="str">
            <v>NFS IP4700 DPE CD &amp; LIC</v>
          </cell>
        </row>
        <row r="1827">
          <cell r="A1827" t="str">
            <v>IP47SV-DAE</v>
          </cell>
          <cell r="B1827" t="str">
            <v>SNAPVIEW IP47 DAE LICENSE</v>
          </cell>
        </row>
        <row r="1828">
          <cell r="A1828" t="str">
            <v>IP47SV-DPE</v>
          </cell>
          <cell r="B1828" t="str">
            <v>SNAPVIEW IP4700 CD &amp; LIC</v>
          </cell>
        </row>
        <row r="1829">
          <cell r="A1829" t="str">
            <v>NAVAGB-AIX</v>
          </cell>
          <cell r="B1829" t="str">
            <v>NAVISPHERE AGENT AIX</v>
          </cell>
        </row>
        <row r="1830">
          <cell r="A1830" t="str">
            <v>NAVAGB-LNX</v>
          </cell>
          <cell r="B1830" t="str">
            <v>NAVISPHERE AGENT LINUX</v>
          </cell>
        </row>
        <row r="1831">
          <cell r="A1831" t="str">
            <v>NAVAGB-WIN</v>
          </cell>
          <cell r="B1831" t="str">
            <v>NAVISPHERE AGENT NT/W2K</v>
          </cell>
        </row>
        <row r="1832">
          <cell r="A1832" t="str">
            <v>NAVAYZ-DAE</v>
          </cell>
          <cell r="B1832" t="str">
            <v>NAVI ANALYZER DAE LICENSE</v>
          </cell>
        </row>
        <row r="1833">
          <cell r="A1833" t="str">
            <v>NAVAYZ-DPE</v>
          </cell>
          <cell r="B1833" t="str">
            <v>NAVI AYZ DPE MEDIA &amp; LIC</v>
          </cell>
        </row>
        <row r="1834">
          <cell r="A1834" t="str">
            <v>NAVMGR-DAE</v>
          </cell>
          <cell r="B1834" t="str">
            <v>NAVI MANAGER DAE LICENSE</v>
          </cell>
        </row>
        <row r="1835">
          <cell r="A1835" t="str">
            <v>NAVMGR-DPE</v>
          </cell>
          <cell r="B1835" t="str">
            <v>NAVI MGR DPE MEDIA &amp; LIC</v>
          </cell>
        </row>
        <row r="1836">
          <cell r="A1836" t="str">
            <v>NAVORG-DAE</v>
          </cell>
          <cell r="B1836" t="str">
            <v>NAVIORGANIZER DAE LIC</v>
          </cell>
        </row>
        <row r="1837">
          <cell r="A1837" t="str">
            <v>NAVORG-DPE</v>
          </cell>
          <cell r="B1837" t="str">
            <v>NAVI ORG DPE MEDIA &amp; LIC.</v>
          </cell>
        </row>
        <row r="1838">
          <cell r="A1838" t="str">
            <v>SONY73</v>
          </cell>
          <cell r="B1838" t="str">
            <v>Sony 73GB C5 10K drive</v>
          </cell>
        </row>
        <row r="1839">
          <cell r="A1839" t="str">
            <v>U24531C102</v>
          </cell>
          <cell r="B1839" t="str">
            <v>NAVI AGT RELIANT UNIX FSC</v>
          </cell>
        </row>
        <row r="1840">
          <cell r="A1840" t="str">
            <v>U24531C107</v>
          </cell>
          <cell r="B1840" t="str">
            <v>NAVI ATF NT ESC</v>
          </cell>
        </row>
        <row r="1841">
          <cell r="A1841" t="str">
            <v>U24531C108</v>
          </cell>
          <cell r="B1841" t="str">
            <v>FSC ATF FOR SUN</v>
          </cell>
        </row>
        <row r="1842">
          <cell r="A1842" t="str">
            <v>U24531C114</v>
          </cell>
          <cell r="B1842" t="str">
            <v>NAVI ATF W2K FSC</v>
          </cell>
        </row>
        <row r="1843">
          <cell r="A1843" t="str">
            <v>U24531C115</v>
          </cell>
          <cell r="B1843" t="str">
            <v>ACCESS LOGIX K1 FOR FSC</v>
          </cell>
        </row>
        <row r="1844">
          <cell r="A1844" t="str">
            <v>DS16B-FW</v>
          </cell>
          <cell r="B1844" t="str">
            <v>FABRIC WATCH FOR DS-16B2</v>
          </cell>
        </row>
        <row r="1845">
          <cell r="A1845" t="str">
            <v>DS16B-QL</v>
          </cell>
          <cell r="B1845" t="str">
            <v>QLOOP LIC FOR DS-16B</v>
          </cell>
        </row>
        <row r="1846">
          <cell r="A1846" t="str">
            <v>DS16B-TR</v>
          </cell>
          <cell r="B1846" t="str">
            <v>TRUNKING LIC FOR DS-16B</v>
          </cell>
        </row>
        <row r="1847">
          <cell r="A1847" t="str">
            <v>DS16B-XF</v>
          </cell>
          <cell r="B1847" t="str">
            <v>XFAB LIC FOR DS-16B</v>
          </cell>
        </row>
        <row r="1848">
          <cell r="A1848" t="str">
            <v>DSBQLP-00</v>
          </cell>
          <cell r="B1848" t="str">
            <v>QLOOP LIC FOR DSB2</v>
          </cell>
        </row>
        <row r="1849">
          <cell r="A1849" t="str">
            <v>DSBXFAB-00</v>
          </cell>
          <cell r="B1849" t="str">
            <v>XFAB LIC FOR DS-16B</v>
          </cell>
        </row>
        <row r="1850">
          <cell r="A1850" t="str">
            <v>EM-1002</v>
          </cell>
          <cell r="B1850" t="str">
            <v>CONNECTRIX MGR</v>
          </cell>
        </row>
        <row r="1851">
          <cell r="A1851" t="str">
            <v>EM-1004</v>
          </cell>
          <cell r="B1851" t="str">
            <v>CONNECTRIX MGR V4 SW&amp;DOCS</v>
          </cell>
        </row>
        <row r="1852">
          <cell r="A1852" t="str">
            <v>EM-1004-UPG</v>
          </cell>
          <cell r="B1852" t="str">
            <v>CONNECTRIX MANAGER UPGRAD</v>
          </cell>
        </row>
        <row r="1853">
          <cell r="A1853" t="str">
            <v>PM-1032</v>
          </cell>
          <cell r="B1853" t="str">
            <v>CONNECTRIX PRD MGR</v>
          </cell>
        </row>
        <row r="1854">
          <cell r="A1854" t="str">
            <v>PM-DS16M</v>
          </cell>
          <cell r="B1854" t="str">
            <v>PROD MNGR SW LICNSE DS16M</v>
          </cell>
        </row>
        <row r="1855">
          <cell r="A1855" t="str">
            <v>PM-DS32M</v>
          </cell>
          <cell r="B1855" t="str">
            <v>PROD MNGR SW LICNSE DS32M</v>
          </cell>
        </row>
        <row r="1856">
          <cell r="A1856" t="str">
            <v>PM-ED-6064</v>
          </cell>
          <cell r="B1856" t="str">
            <v>PROD MBGR SW LICNSE ED6064M</v>
          </cell>
        </row>
        <row r="1857">
          <cell r="A1857" t="str">
            <v>PM-ED64M</v>
          </cell>
          <cell r="B1857" t="str">
            <v>PROD MBGR SW LICNSE ED64M</v>
          </cell>
        </row>
        <row r="1858">
          <cell r="A1858" t="str">
            <v>ACLG53-T2</v>
          </cell>
          <cell r="B1858" t="str">
            <v>Access Logix for FC5300 Tier 2</v>
          </cell>
        </row>
        <row r="1859">
          <cell r="A1859" t="str">
            <v>ACLG53-T3</v>
          </cell>
          <cell r="B1859" t="str">
            <v>Access Logix for FC5300 Tier 3</v>
          </cell>
        </row>
        <row r="1860">
          <cell r="A1860" t="str">
            <v>AL53T1-T4</v>
          </cell>
          <cell r="B1860" t="str">
            <v>Access Logix T1-T4 Upgrade for FC5300</v>
          </cell>
        </row>
        <row r="1861">
          <cell r="A1861" t="str">
            <v>AL53T5-T12</v>
          </cell>
          <cell r="B1861" t="str">
            <v>Access Logix T5-T12 Upgrade for FC5300</v>
          </cell>
        </row>
        <row r="1862">
          <cell r="A1862" t="str">
            <v>NAVMGR53</v>
          </cell>
          <cell r="B1862" t="str">
            <v>CLARIION NAVMGR FOR DELL</v>
          </cell>
        </row>
        <row r="1863">
          <cell r="A1863" t="str">
            <v>NAVMGR53UP</v>
          </cell>
          <cell r="B1863" t="str">
            <v>NAVI MGR NT/W2K, T1-T4</v>
          </cell>
        </row>
        <row r="1864">
          <cell r="A1864" t="str">
            <v>DOM5-NTWK-NT</v>
          </cell>
          <cell r="B1864" t="str">
            <v>DOMINO NETWORK/NT</v>
          </cell>
        </row>
        <row r="1865">
          <cell r="A1865" t="str">
            <v>DOM5-SYMP-NT</v>
          </cell>
          <cell r="B1865" t="str">
            <v>DOMINO SYMPATH/NT</v>
          </cell>
        </row>
        <row r="1866">
          <cell r="A1866" t="str">
            <v>EB100U</v>
          </cell>
          <cell r="B1866" t="str">
            <v>BACKUP CLIENT 100 PACK</v>
          </cell>
        </row>
        <row r="1867">
          <cell r="A1867" t="str">
            <v>EB15U</v>
          </cell>
          <cell r="B1867" t="str">
            <v>BACKUP CLIENT 15 PACK</v>
          </cell>
        </row>
        <row r="1868">
          <cell r="A1868" t="str">
            <v>EB250U</v>
          </cell>
          <cell r="B1868" t="str">
            <v>BACKUP CLIENT 250 PACK</v>
          </cell>
        </row>
        <row r="1869">
          <cell r="A1869" t="str">
            <v>EB25U</v>
          </cell>
          <cell r="B1869" t="str">
            <v>BACKUP CLIENT 25 PACK</v>
          </cell>
        </row>
        <row r="1870">
          <cell r="A1870" t="str">
            <v>EB50U</v>
          </cell>
          <cell r="B1870" t="str">
            <v>BACKUP CLIENT 50 PACK</v>
          </cell>
        </row>
        <row r="1871">
          <cell r="A1871" t="str">
            <v>EB5U</v>
          </cell>
          <cell r="B1871" t="str">
            <v>BACKUP CLIENT 5 PACK</v>
          </cell>
        </row>
        <row r="1872">
          <cell r="A1872" t="str">
            <v>EDM-ATL-LU</v>
          </cell>
          <cell r="B1872" t="str">
            <v>EDM P1000-7100-520-2560 RTU LIC</v>
          </cell>
        </row>
        <row r="1873">
          <cell r="A1873" t="str">
            <v>EDM-FS3545</v>
          </cell>
          <cell r="B1873" t="str">
            <v>VXFS S100 ENT. 3/5, 4/5</v>
          </cell>
        </row>
        <row r="1874">
          <cell r="A1874" t="str">
            <v>EDM-FS65</v>
          </cell>
          <cell r="B1874" t="str">
            <v>VXFS ENT. 6000/6500</v>
          </cell>
        </row>
        <row r="1875">
          <cell r="A1875" t="str">
            <v>EDM-PETA-LU</v>
          </cell>
          <cell r="B1875" t="str">
            <v>SONY PETASITE RTU LIC</v>
          </cell>
        </row>
        <row r="1876">
          <cell r="A1876" t="str">
            <v>EDM-SCLR-1000</v>
          </cell>
          <cell r="B1876" t="str">
            <v>EDM RTU EMASS SCALAR 1000+</v>
          </cell>
        </row>
        <row r="1877">
          <cell r="A1877" t="str">
            <v>EDM-STK-ACSLS</v>
          </cell>
          <cell r="B1877" t="str">
            <v>EDM STK ACSLS CLI RTU LIC</v>
          </cell>
        </row>
        <row r="1878">
          <cell r="A1878" t="str">
            <v>EDM-STK-SCSI</v>
          </cell>
          <cell r="B1878" t="str">
            <v>RTU STK SCSI SFTW SPT</v>
          </cell>
        </row>
        <row r="1879">
          <cell r="A1879" t="str">
            <v>EDM2K-SWO</v>
          </cell>
          <cell r="B1879" t="str">
            <v>EDM SW ONLY FOR 2K</v>
          </cell>
        </row>
        <row r="1880">
          <cell r="A1880" t="str">
            <v>EDM3K-SWO</v>
          </cell>
          <cell r="B1880" t="str">
            <v>EDM SW ONLY FOR 3K</v>
          </cell>
        </row>
        <row r="1881">
          <cell r="A1881" t="str">
            <v>EDM4K-SWO</v>
          </cell>
          <cell r="B1881" t="str">
            <v>EDM SW ONLY FOR 4K</v>
          </cell>
        </row>
        <row r="1882">
          <cell r="A1882" t="str">
            <v>EDM6K-SWO</v>
          </cell>
          <cell r="B1882" t="str">
            <v>EDM SW ONLY FOR 6K</v>
          </cell>
        </row>
        <row r="1883">
          <cell r="A1883" t="str">
            <v>EDMDOCCD</v>
          </cell>
          <cell r="B1883" t="str">
            <v>EDM PRODUCT DOC CD</v>
          </cell>
        </row>
        <row r="1884">
          <cell r="A1884" t="str">
            <v>EDMDOCNC</v>
          </cell>
          <cell r="B1884" t="str">
            <v>NET CT DOC SET</v>
          </cell>
        </row>
        <row r="1885">
          <cell r="A1885" t="str">
            <v>EDMDOCSC</v>
          </cell>
          <cell r="B1885" t="str">
            <v>SYM CT DOC SET</v>
          </cell>
        </row>
        <row r="1886">
          <cell r="A1886" t="str">
            <v>EDMDOCSP</v>
          </cell>
          <cell r="B1886" t="str">
            <v>SYM PATH DOC SET</v>
          </cell>
        </row>
        <row r="1887">
          <cell r="A1887" t="str">
            <v>EDMS-MPFS</v>
          </cell>
          <cell r="B1887" t="str">
            <v>EDM HIGH ROAD SUPPORT</v>
          </cell>
        </row>
        <row r="1888">
          <cell r="A1888" t="str">
            <v>EDMS-NDMP</v>
          </cell>
          <cell r="B1888" t="str">
            <v>NDMP SERVER UPGRADE</v>
          </cell>
        </row>
        <row r="1889">
          <cell r="A1889" t="str">
            <v>EDMS-NTWRK</v>
          </cell>
          <cell r="B1889" t="str">
            <v>EDM NETWORK-BACKUP/R</v>
          </cell>
        </row>
        <row r="1890">
          <cell r="A1890" t="str">
            <v>EDMS-SP</v>
          </cell>
          <cell r="B1890" t="str">
            <v>EDM SYMMETRIX PATH</v>
          </cell>
        </row>
        <row r="1891">
          <cell r="A1891" t="str">
            <v>EDMS-SYMC</v>
          </cell>
          <cell r="B1891" t="str">
            <v>SYMCONNECT</v>
          </cell>
        </row>
        <row r="1892">
          <cell r="A1892" t="str">
            <v>EMC-NAS-NDMP</v>
          </cell>
          <cell r="B1892" t="str">
            <v>CELERRA-IP4700 NDMP CLIENT</v>
          </cell>
        </row>
        <row r="1893">
          <cell r="A1893" t="str">
            <v>EXCH-NTWK-NT</v>
          </cell>
          <cell r="B1893" t="str">
            <v>EXCHANGE NETWORK/NT</v>
          </cell>
        </row>
        <row r="1894">
          <cell r="A1894" t="str">
            <v>EXCH-SYMC-NT</v>
          </cell>
          <cell r="B1894" t="str">
            <v>EXCHANGE SYMCONN/NT</v>
          </cell>
        </row>
        <row r="1895">
          <cell r="A1895" t="str">
            <v>EXCH-SYMP-NT</v>
          </cell>
          <cell r="B1895" t="str">
            <v>EXCHANGE SYMPATH/NT</v>
          </cell>
        </row>
        <row r="1896">
          <cell r="A1896" t="str">
            <v>INF-NTWK-UNIX</v>
          </cell>
          <cell r="B1896" t="str">
            <v>INFORMIX NETWORK/UNIX</v>
          </cell>
        </row>
        <row r="1897">
          <cell r="A1897" t="str">
            <v>INF-SYMP-UNIX</v>
          </cell>
          <cell r="B1897" t="str">
            <v>INFORMIX SYMPATH/UNIX</v>
          </cell>
        </row>
        <row r="1898">
          <cell r="A1898" t="str">
            <v>ORC-NTWK-NT</v>
          </cell>
          <cell r="B1898" t="str">
            <v>ORACLE NETWORK/NT</v>
          </cell>
        </row>
        <row r="1899">
          <cell r="A1899" t="str">
            <v>ORC-NTWK-UNIX</v>
          </cell>
          <cell r="B1899" t="str">
            <v>ORACLE NETWORK/UNIX</v>
          </cell>
        </row>
        <row r="1900">
          <cell r="A1900" t="str">
            <v>ORC-SYMC-NT</v>
          </cell>
          <cell r="B1900" t="str">
            <v>ORACLE SYMCONN/NT</v>
          </cell>
        </row>
        <row r="1901">
          <cell r="A1901" t="str">
            <v>ORC-SYMC-UNIX</v>
          </cell>
          <cell r="B1901" t="str">
            <v>ORACLE SYMCONN/UNIX</v>
          </cell>
        </row>
        <row r="1902">
          <cell r="A1902" t="str">
            <v>ORC-SYMP-NT</v>
          </cell>
          <cell r="B1902" t="str">
            <v>ORACLE SYMPATH/NT</v>
          </cell>
        </row>
        <row r="1903">
          <cell r="A1903" t="str">
            <v>ORC-SYMP-UNIX</v>
          </cell>
          <cell r="B1903" t="str">
            <v>ORACLE SYMPATH/UNIX</v>
          </cell>
        </row>
        <row r="1904">
          <cell r="A1904" t="str">
            <v>SAP-NTWK-NT</v>
          </cell>
          <cell r="B1904" t="str">
            <v>SAP NETWORK/NT</v>
          </cell>
        </row>
        <row r="1905">
          <cell r="A1905" t="str">
            <v>SAP-NTWK-UNIX</v>
          </cell>
          <cell r="B1905" t="str">
            <v>SAP NETWORK UNIX</v>
          </cell>
        </row>
        <row r="1906">
          <cell r="A1906" t="str">
            <v>SAP-SYMC-UNIX</v>
          </cell>
          <cell r="B1906" t="str">
            <v>SAP SYMCONN UNIX</v>
          </cell>
        </row>
        <row r="1907">
          <cell r="A1907" t="str">
            <v>SAP-SYMP-NT</v>
          </cell>
          <cell r="B1907" t="str">
            <v>SAP SYMPATH/NT</v>
          </cell>
        </row>
        <row r="1908">
          <cell r="A1908" t="str">
            <v>SAP-SYMP-UNIX</v>
          </cell>
          <cell r="B1908" t="str">
            <v>SAP SYMPATH UNIX</v>
          </cell>
        </row>
        <row r="1909">
          <cell r="A1909" t="str">
            <v>SQL-NTWK-NT</v>
          </cell>
          <cell r="B1909" t="str">
            <v>SQL NETWORK/NT</v>
          </cell>
        </row>
        <row r="1910">
          <cell r="A1910" t="str">
            <v>SQL-SYMC-NT</v>
          </cell>
          <cell r="B1910" t="str">
            <v>SQL SYMCONN/NT</v>
          </cell>
        </row>
        <row r="1911">
          <cell r="A1911" t="str">
            <v>SQL-SYMP-NT</v>
          </cell>
          <cell r="B1911" t="str">
            <v>SQL SYMPATH/NT</v>
          </cell>
        </row>
        <row r="1912">
          <cell r="A1912" t="str">
            <v>SYB-NTWK-UNIX</v>
          </cell>
          <cell r="B1912" t="str">
            <v>SYBASE NETWORK/UNIX</v>
          </cell>
        </row>
        <row r="1913">
          <cell r="A1913" t="str">
            <v>SYB-SYMP-UNIX</v>
          </cell>
          <cell r="B1913" t="str">
            <v>SYBASE SYMPATH/UNIX</v>
          </cell>
        </row>
        <row r="1914">
          <cell r="A1914" t="str">
            <v>TLU-RTU-ADIC</v>
          </cell>
          <cell r="B1914" t="str">
            <v>EDM RTU ADIC 10K</v>
          </cell>
        </row>
        <row r="1915">
          <cell r="A1915" t="str">
            <v>TLU-RTU-HPGAL</v>
          </cell>
          <cell r="B1915" t="str">
            <v>EDM RTU HP GALACTICA</v>
          </cell>
        </row>
        <row r="1916">
          <cell r="A1916" t="str">
            <v>TLU-RTU-IBM</v>
          </cell>
          <cell r="B1916" t="str">
            <v>EDM RTU IBM ANACONDA</v>
          </cell>
        </row>
        <row r="1917">
          <cell r="A1917" t="str">
            <v>TLU-RTU-P3000</v>
          </cell>
          <cell r="B1917" t="str">
            <v>EDM RTU ATL P3000 BASE</v>
          </cell>
        </row>
        <row r="1918">
          <cell r="A1918" t="str">
            <v>TLU-RTU-P7000</v>
          </cell>
          <cell r="B1918" t="str">
            <v>EDM RTU ALT P7000</v>
          </cell>
        </row>
        <row r="1919">
          <cell r="A1919" t="str">
            <v>TLU-RTU-SL</v>
          </cell>
          <cell r="B1919" t="str">
            <v>EDM RTU SPECTRALOGIC</v>
          </cell>
        </row>
        <row r="1920">
          <cell r="A1920" t="str">
            <v>TLU-RTU-SONYB</v>
          </cell>
          <cell r="B1920" t="str">
            <v>EDM RTU SONY B150H</v>
          </cell>
        </row>
        <row r="1921">
          <cell r="A1921" t="str">
            <v>A02069F-4</v>
          </cell>
          <cell r="B1921" t="str">
            <v>VERITAS DB EDITION</v>
          </cell>
        </row>
        <row r="1922">
          <cell r="A1922" t="str">
            <v>PRECISE</v>
          </cell>
          <cell r="B1922" t="str">
            <v>PRECISE SOFTWARE</v>
          </cell>
        </row>
        <row r="1923">
          <cell r="A1923" t="str">
            <v>CC-RAV-T1</v>
          </cell>
          <cell r="B1923" t="str">
            <v>RAV CPTY 0-.250</v>
          </cell>
        </row>
        <row r="1924">
          <cell r="A1924" t="str">
            <v>CC-RAV-T10</v>
          </cell>
          <cell r="B1924" t="str">
            <v>RAV CPTY 10.01-12.00</v>
          </cell>
        </row>
        <row r="1925">
          <cell r="A1925" t="str">
            <v>CC-RAV-T11</v>
          </cell>
          <cell r="B1925" t="str">
            <v>RAV CPTY 12.01-14.00</v>
          </cell>
        </row>
        <row r="1926">
          <cell r="A1926" t="str">
            <v>CC-RAV-T12</v>
          </cell>
          <cell r="B1926" t="str">
            <v>RAV CPTY 14.0-ABOVE</v>
          </cell>
        </row>
        <row r="1927">
          <cell r="A1927" t="str">
            <v>CC-RAV-T2</v>
          </cell>
          <cell r="B1927" t="str">
            <v>RAV CPTY .251-.500</v>
          </cell>
        </row>
        <row r="1928">
          <cell r="A1928" t="str">
            <v>CC-RAV-T3</v>
          </cell>
          <cell r="B1928" t="str">
            <v>RAV CPTY .501-.750</v>
          </cell>
        </row>
        <row r="1929">
          <cell r="A1929" t="str">
            <v>CC-RAV-T4</v>
          </cell>
          <cell r="B1929" t="str">
            <v>RAV CPTY .751-1.00</v>
          </cell>
        </row>
        <row r="1930">
          <cell r="A1930" t="str">
            <v>CC-RAV-T5</v>
          </cell>
          <cell r="B1930" t="str">
            <v>RAV CPTY 1.01-2.00</v>
          </cell>
        </row>
        <row r="1931">
          <cell r="A1931" t="str">
            <v>CC-RAV-T6</v>
          </cell>
          <cell r="B1931" t="str">
            <v>RAV CPTY 2.01-4.00</v>
          </cell>
        </row>
        <row r="1932">
          <cell r="A1932" t="str">
            <v>CC-RAV-T7</v>
          </cell>
          <cell r="B1932" t="str">
            <v>RAV CPTY 4.01-6.00</v>
          </cell>
        </row>
        <row r="1933">
          <cell r="A1933" t="str">
            <v>CC-RAV-T8</v>
          </cell>
          <cell r="B1933" t="str">
            <v>RAV CPTY 6.01-8.00</v>
          </cell>
        </row>
        <row r="1934">
          <cell r="A1934" t="str">
            <v>CC-RAV-T9</v>
          </cell>
          <cell r="B1934" t="str">
            <v>RAV CPTY 8.01-10.00</v>
          </cell>
        </row>
        <row r="1935">
          <cell r="A1935" t="str">
            <v>ECCSTS-T1</v>
          </cell>
          <cell r="B1935" t="str">
            <v>ST SCOPE CPCTY 0 - .250</v>
          </cell>
        </row>
        <row r="1936">
          <cell r="A1936" t="str">
            <v>ECCSTS-T10</v>
          </cell>
          <cell r="B1936" t="str">
            <v>ST SCOPE CPCTY 10.01 - 12.00</v>
          </cell>
        </row>
        <row r="1937">
          <cell r="A1937" t="str">
            <v>ECCSTS-T11</v>
          </cell>
          <cell r="B1937" t="str">
            <v>ST SCOPE CPCTY 12.01 - 14.00</v>
          </cell>
        </row>
        <row r="1938">
          <cell r="A1938" t="str">
            <v>ECCSTS-T12</v>
          </cell>
          <cell r="B1938" t="str">
            <v>ST SCOPE CPCTY 14.00 - ABOVE</v>
          </cell>
        </row>
        <row r="1939">
          <cell r="A1939" t="str">
            <v>ECCSTS-T2</v>
          </cell>
          <cell r="B1939" t="str">
            <v>ST SCOPE CPCTY .251 - .500</v>
          </cell>
        </row>
        <row r="1940">
          <cell r="A1940" t="str">
            <v>ECCSTS-T3</v>
          </cell>
          <cell r="B1940" t="str">
            <v>ST SCOPE CPCTY .501 - .750</v>
          </cell>
        </row>
        <row r="1941">
          <cell r="A1941" t="str">
            <v>ECCSTS-T4</v>
          </cell>
          <cell r="B1941" t="str">
            <v>ST SCOPE CPCTY .751 - 1.00</v>
          </cell>
        </row>
        <row r="1942">
          <cell r="A1942" t="str">
            <v>ECCSTS-T5</v>
          </cell>
          <cell r="B1942" t="str">
            <v>ST SCOPE CPCTY 1.01 - 2.00</v>
          </cell>
        </row>
        <row r="1943">
          <cell r="A1943" t="str">
            <v>ECCSTS-T6</v>
          </cell>
          <cell r="B1943" t="str">
            <v>ST SCOPE CPCTY 2.01 - 4.00</v>
          </cell>
        </row>
        <row r="1944">
          <cell r="A1944" t="str">
            <v>ECCSTS-T7</v>
          </cell>
          <cell r="B1944" t="str">
            <v>ST SCOPE CPCTY 4.01 - 6.00</v>
          </cell>
        </row>
        <row r="1945">
          <cell r="A1945" t="str">
            <v>ECCSTS-T8</v>
          </cell>
          <cell r="B1945" t="str">
            <v>ST SCOPE CPCTY 6.01 - 8.00</v>
          </cell>
        </row>
        <row r="1946">
          <cell r="A1946" t="str">
            <v>ECCSTS-T9</v>
          </cell>
          <cell r="B1946" t="str">
            <v>ST SCOPE CPCTY 8.01 - 10.00</v>
          </cell>
        </row>
        <row r="1947">
          <cell r="A1947" t="str">
            <v>OPDBT-NTDP</v>
          </cell>
          <cell r="B1947" t="str">
            <v>OPEN DBT ORA NT DEP-4CPU</v>
          </cell>
        </row>
        <row r="1948">
          <cell r="A1948" t="str">
            <v>OPDBT-NTEN</v>
          </cell>
          <cell r="B1948" t="str">
            <v>OPEN DBT ORA NT ENT-8CPU</v>
          </cell>
        </row>
        <row r="1949">
          <cell r="A1949" t="str">
            <v>OPDBT-NTWG</v>
          </cell>
          <cell r="B1949" t="str">
            <v>OPEN DBT ORA NT WG-1CPU</v>
          </cell>
        </row>
        <row r="1950">
          <cell r="A1950" t="str">
            <v>OPDBT-UXDP</v>
          </cell>
          <cell r="B1950" t="str">
            <v>OPEN DBT ORA UX DEP-4CPU</v>
          </cell>
        </row>
        <row r="1951">
          <cell r="A1951" t="str">
            <v>OPDBT-UXEN</v>
          </cell>
          <cell r="B1951" t="str">
            <v>OPEN DBT ORA UX ENT-8CPU</v>
          </cell>
        </row>
        <row r="1952">
          <cell r="A1952" t="str">
            <v>OPDBT-UXGL</v>
          </cell>
          <cell r="B1952" t="str">
            <v>OPEN DBT ORA UX GLO-14CPU</v>
          </cell>
        </row>
        <row r="1953">
          <cell r="A1953" t="str">
            <v>OPDBT-UXWG</v>
          </cell>
          <cell r="B1953" t="str">
            <v>OPEN DBT ORA UX WG-2CPU</v>
          </cell>
        </row>
        <row r="1954">
          <cell r="A1954" t="str">
            <v>RAVUPT1-4</v>
          </cell>
          <cell r="B1954" t="str">
            <v>ECC RAV UPGRADE T1-T4</v>
          </cell>
        </row>
        <row r="1955">
          <cell r="A1955" t="str">
            <v>RAVUPT5-12</v>
          </cell>
          <cell r="B1955" t="str">
            <v>ECC RAV UPGRADE T5-12</v>
          </cell>
        </row>
        <row r="1956">
          <cell r="A1956" t="str">
            <v>STST1-5UP</v>
          </cell>
          <cell r="B1956" t="str">
            <v>ST SCOPE T1-T5 UPGRADE</v>
          </cell>
        </row>
        <row r="1957">
          <cell r="A1957" t="str">
            <v>STST6-12UP</v>
          </cell>
          <cell r="B1957" t="str">
            <v>ST SCOPE T6-T12 UPGRADE</v>
          </cell>
        </row>
        <row r="1958">
          <cell r="A1958" t="str">
            <v>IMFSMSP-NTDEP</v>
          </cell>
          <cell r="B1958" t="str">
            <v>IFS FOR MSP NT DEP</v>
          </cell>
        </row>
        <row r="1959">
          <cell r="A1959" t="str">
            <v>IMFSMSP-NTENT</v>
          </cell>
          <cell r="B1959" t="str">
            <v>IFS FOR MSP NT ENT</v>
          </cell>
        </row>
        <row r="1960">
          <cell r="A1960" t="str">
            <v>IMFSMSP-NTWG</v>
          </cell>
          <cell r="B1960" t="str">
            <v>IFS FOR MSP NT WRK</v>
          </cell>
        </row>
        <row r="1961">
          <cell r="A1961" t="str">
            <v>IMFSMSP-UDEP</v>
          </cell>
          <cell r="B1961" t="str">
            <v>IFS FOR MSP UNIX DEP</v>
          </cell>
        </row>
        <row r="1962">
          <cell r="A1962" t="str">
            <v>IMFSMSP-UENT</v>
          </cell>
          <cell r="B1962" t="str">
            <v>IFS FOR MSP UNIX ENT</v>
          </cell>
        </row>
        <row r="1963">
          <cell r="A1963" t="str">
            <v>IMFSMSP-UGLO</v>
          </cell>
          <cell r="B1963" t="str">
            <v>IFS FOR MSP GLOBAL</v>
          </cell>
        </row>
        <row r="1964">
          <cell r="A1964" t="str">
            <v>IMFSMSP-UWG</v>
          </cell>
          <cell r="B1964" t="str">
            <v>IFS FOR MSP UNIX WRK</v>
          </cell>
        </row>
        <row r="1965">
          <cell r="A1965" t="str">
            <v>NOTE-NTWK-NT</v>
          </cell>
          <cell r="B1965" t="str">
            <v>NOTES NETWORK/NT</v>
          </cell>
        </row>
        <row r="1966">
          <cell r="A1966" t="str">
            <v>NOTE-SYMP-NT</v>
          </cell>
          <cell r="B1966" t="str">
            <v>NOTES SYMPATH/NT</v>
          </cell>
        </row>
        <row r="1967">
          <cell r="A1967" t="str">
            <v>SYMACSMVS-KT0</v>
          </cell>
          <cell r="B1967" t="str">
            <v>SYM-ACCESS MVS SDK</v>
          </cell>
        </row>
        <row r="1968">
          <cell r="A1968" t="str">
            <v>SYMACSMVS-KT1</v>
          </cell>
          <cell r="B1968" t="str">
            <v>SYM-ACCESS MVS SDK 1/2 BAY</v>
          </cell>
        </row>
        <row r="1969">
          <cell r="A1969" t="str">
            <v>SYMACSMVS-KT2</v>
          </cell>
          <cell r="B1969" t="str">
            <v>SYM-ACCESS MVS SDK 1 BAY</v>
          </cell>
        </row>
        <row r="1970">
          <cell r="A1970" t="str">
            <v>SYMACSMVS-KT3</v>
          </cell>
          <cell r="B1970" t="str">
            <v>SYM-ACCESS MVS SDK 3 BAY</v>
          </cell>
        </row>
        <row r="1971">
          <cell r="A1971" t="str">
            <v>AS400-STM</v>
          </cell>
          <cell r="B1971" t="str">
            <v>AS400 SRDF TF MANAGER</v>
          </cell>
        </row>
        <row r="1972">
          <cell r="A1972" t="str">
            <v>CAMUPT1-5</v>
          </cell>
          <cell r="B1972" t="str">
            <v>ECC CAM UPGRADE T1-T5</v>
          </cell>
        </row>
        <row r="1973">
          <cell r="A1973" t="str">
            <v>CAMUPT6-12</v>
          </cell>
          <cell r="B1973" t="str">
            <v>ECC CAM UPGRADE T6-T12</v>
          </cell>
        </row>
        <row r="1974">
          <cell r="A1974" t="str">
            <v>CC-CAM-T1</v>
          </cell>
          <cell r="B1974" t="str">
            <v>CAM CPTY 0-.250</v>
          </cell>
        </row>
        <row r="1975">
          <cell r="A1975" t="str">
            <v>CC-CAM-T10</v>
          </cell>
          <cell r="B1975" t="str">
            <v>CAM CPTY 10.01-12.00</v>
          </cell>
        </row>
        <row r="1976">
          <cell r="A1976" t="str">
            <v>CC-CAM-T11</v>
          </cell>
          <cell r="B1976" t="str">
            <v>CAM CPTY 12.01-14.00</v>
          </cell>
        </row>
        <row r="1977">
          <cell r="A1977" t="str">
            <v>CC-CAM-T12</v>
          </cell>
          <cell r="B1977" t="str">
            <v>CAM CPTY 14.01-Above</v>
          </cell>
        </row>
        <row r="1978">
          <cell r="A1978" t="str">
            <v>CC-CAM-T2</v>
          </cell>
          <cell r="B1978" t="str">
            <v>CAM CPTY .251-.500</v>
          </cell>
        </row>
        <row r="1979">
          <cell r="A1979" t="str">
            <v>CC-CAM-T3</v>
          </cell>
          <cell r="B1979" t="str">
            <v>CAM CPTY .501-.750</v>
          </cell>
        </row>
        <row r="1980">
          <cell r="A1980" t="str">
            <v>CC-CAM-T4</v>
          </cell>
          <cell r="B1980" t="str">
            <v>CAM CPTY .750-1.00</v>
          </cell>
        </row>
        <row r="1981">
          <cell r="A1981" t="str">
            <v>CC-CAM-T5</v>
          </cell>
          <cell r="B1981" t="str">
            <v>CAM CPTY 1.01-2.00</v>
          </cell>
        </row>
        <row r="1982">
          <cell r="A1982" t="str">
            <v>CC-CAM-T6</v>
          </cell>
          <cell r="B1982" t="str">
            <v>CAM CPTY 2.01-4.00</v>
          </cell>
        </row>
        <row r="1983">
          <cell r="A1983" t="str">
            <v>CC-CAM-T7</v>
          </cell>
          <cell r="B1983" t="str">
            <v>CAM CPTY 4.01-6.00</v>
          </cell>
        </row>
        <row r="1984">
          <cell r="A1984" t="str">
            <v>CC-CAM-T8</v>
          </cell>
          <cell r="B1984" t="str">
            <v>CAM CPTY 6.01-8.00</v>
          </cell>
        </row>
        <row r="1985">
          <cell r="A1985" t="str">
            <v>CC-CAM-T9</v>
          </cell>
          <cell r="B1985" t="str">
            <v>CAM CPTY 8.01-10.00</v>
          </cell>
        </row>
        <row r="1986">
          <cell r="A1986" t="str">
            <v>CC-DBT-NDEPCU</v>
          </cell>
          <cell r="B1986" t="str">
            <v>DB TUNER NTDEP CPU ADD-ON</v>
          </cell>
        </row>
        <row r="1987">
          <cell r="A1987" t="str">
            <v>CC-DBT-NDEPHU</v>
          </cell>
          <cell r="B1987" t="str">
            <v>DB TUNER NTWG TO NDEP UPG</v>
          </cell>
        </row>
        <row r="1988">
          <cell r="A1988" t="str">
            <v>CC-DBT-NENTCU</v>
          </cell>
          <cell r="B1988" t="str">
            <v>DB TUNER NTENT CPU ADD-ON</v>
          </cell>
        </row>
        <row r="1989">
          <cell r="A1989" t="str">
            <v>CC-DBT-NENTHU</v>
          </cell>
          <cell r="B1989" t="str">
            <v>DB TUNER NTDEP TO NENT UP</v>
          </cell>
        </row>
        <row r="1990">
          <cell r="A1990" t="str">
            <v>CC-DBT-NTDEP</v>
          </cell>
          <cell r="B1990" t="str">
            <v>DTB TUNER NT DEPT</v>
          </cell>
        </row>
        <row r="1991">
          <cell r="A1991" t="str">
            <v>CC-DBT-NTDEPU</v>
          </cell>
          <cell r="B1991" t="str">
            <v>DTB TUNER NT DEPT UPG</v>
          </cell>
        </row>
        <row r="1992">
          <cell r="A1992" t="str">
            <v>CC-DBT-NTENT</v>
          </cell>
          <cell r="B1992" t="str">
            <v>DTB TUNER NT ENTER</v>
          </cell>
        </row>
        <row r="1993">
          <cell r="A1993" t="str">
            <v>CC-DBT-NTENTU</v>
          </cell>
          <cell r="B1993" t="str">
            <v>DTB TUNER NT ENTER UPG</v>
          </cell>
        </row>
        <row r="1994">
          <cell r="A1994" t="str">
            <v>CC-DBT-NTWG</v>
          </cell>
          <cell r="B1994" t="str">
            <v>DTB TUNER NT WKGRP</v>
          </cell>
        </row>
        <row r="1995">
          <cell r="A1995" t="str">
            <v>CC-DBT-NTWGUP</v>
          </cell>
          <cell r="B1995" t="str">
            <v>DTB TUNER NT WKGRP UPG</v>
          </cell>
        </row>
        <row r="1996">
          <cell r="A1996" t="str">
            <v>CC-DBT-NWGCU</v>
          </cell>
          <cell r="B1996" t="str">
            <v>DB TUNER NTWG CPU ADD-ON</v>
          </cell>
        </row>
        <row r="1997">
          <cell r="A1997" t="str">
            <v>CC-DBT-UDEP</v>
          </cell>
          <cell r="B1997" t="str">
            <v>DTB TUNER UNIX DEPT</v>
          </cell>
        </row>
        <row r="1998">
          <cell r="A1998" t="str">
            <v>CC-DBT-UDEPCU</v>
          </cell>
          <cell r="B1998" t="str">
            <v>DB TUNER UDEP CPU ADD-ON</v>
          </cell>
        </row>
        <row r="1999">
          <cell r="A1999" t="str">
            <v>CC-DBT-UDEPHU</v>
          </cell>
          <cell r="B1999" t="str">
            <v>DB TUNER UWG TO UDEP UP</v>
          </cell>
        </row>
        <row r="2000">
          <cell r="A2000" t="str">
            <v>CC-DBT-UDEPUP</v>
          </cell>
          <cell r="B2000" t="str">
            <v>DTB TUNER UNIX DEPT UPG</v>
          </cell>
        </row>
        <row r="2001">
          <cell r="A2001" t="str">
            <v>CC-DBT-UENT</v>
          </cell>
          <cell r="B2001" t="str">
            <v>DTB TUNER UNIX ENTER</v>
          </cell>
        </row>
        <row r="2002">
          <cell r="A2002" t="str">
            <v>CC-DBT-UENTCU</v>
          </cell>
          <cell r="B2002" t="str">
            <v>DB TUNER UENT CPU ADD-ON</v>
          </cell>
        </row>
        <row r="2003">
          <cell r="A2003" t="str">
            <v>CC-DBT-UENTHU</v>
          </cell>
          <cell r="B2003" t="str">
            <v>DT TUNER UDEP TO UENT UP</v>
          </cell>
        </row>
        <row r="2004">
          <cell r="A2004" t="str">
            <v>CC-DBT-UENTUP</v>
          </cell>
          <cell r="B2004" t="str">
            <v>DTB TUNER UNIX ENTER UPG</v>
          </cell>
        </row>
        <row r="2005">
          <cell r="A2005" t="str">
            <v>CC-DBT-UGLO</v>
          </cell>
          <cell r="B2005" t="str">
            <v>DTB TUNER UNIX GLOBAL</v>
          </cell>
        </row>
        <row r="2006">
          <cell r="A2006" t="str">
            <v>CC-DBT-UGLOCU</v>
          </cell>
          <cell r="B2006" t="str">
            <v>DB TUNER UGLO CPU ADD-ON</v>
          </cell>
        </row>
        <row r="2007">
          <cell r="A2007" t="str">
            <v>CC-DBT-UGLOHU</v>
          </cell>
          <cell r="B2007" t="str">
            <v>DB TUNER UENT TO UGLO UP</v>
          </cell>
        </row>
        <row r="2008">
          <cell r="A2008" t="str">
            <v>CC-DBT-UGLOUP</v>
          </cell>
          <cell r="B2008" t="str">
            <v>DTB TUNER UNIX GLOBAL UPG</v>
          </cell>
        </row>
        <row r="2009">
          <cell r="A2009" t="str">
            <v>CC-DBT-UWG</v>
          </cell>
          <cell r="B2009" t="str">
            <v>DTB TUNER UNIX WKGRP</v>
          </cell>
        </row>
        <row r="2010">
          <cell r="A2010" t="str">
            <v>CC-DBT-UWGCU</v>
          </cell>
          <cell r="B2010" t="str">
            <v>DB TUNER UWG CPU ADD-ON</v>
          </cell>
        </row>
        <row r="2011">
          <cell r="A2011" t="str">
            <v>CC-DBT-UWGUP</v>
          </cell>
          <cell r="B2011" t="str">
            <v>DTB TUNER UNIX WKGRP UPG</v>
          </cell>
        </row>
        <row r="2012">
          <cell r="A2012" t="str">
            <v>CC-DTU-UDEP</v>
          </cell>
          <cell r="B2012" t="str">
            <v>DBTUNER DB2UDB DPT - 4CPU</v>
          </cell>
        </row>
        <row r="2013">
          <cell r="A2013" t="str">
            <v>CC-DTU-UDEPCU</v>
          </cell>
          <cell r="B2013" t="str">
            <v>DBTUNER DB2UDB UDEP CPU+</v>
          </cell>
        </row>
        <row r="2014">
          <cell r="A2014" t="str">
            <v>CC-DTU-UDEPHU</v>
          </cell>
          <cell r="B2014" t="str">
            <v>DBTUNER DB2UDB WG-DEP UP</v>
          </cell>
        </row>
        <row r="2015">
          <cell r="A2015" t="str">
            <v>CC-DTU-UDEPUP</v>
          </cell>
          <cell r="B2015" t="str">
            <v>DBTUNER DB2UDB DPT UP</v>
          </cell>
        </row>
        <row r="2016">
          <cell r="A2016" t="str">
            <v>CC-DTU-UENT</v>
          </cell>
          <cell r="B2016" t="str">
            <v>DBTUNER DB2 UDB ENT-8CPU</v>
          </cell>
        </row>
        <row r="2017">
          <cell r="A2017" t="str">
            <v>CC-DTU-UENTCU</v>
          </cell>
          <cell r="B2017" t="str">
            <v>DBTUNER DB2UDB UENT CPU+</v>
          </cell>
        </row>
        <row r="2018">
          <cell r="A2018" t="str">
            <v>CC-DTU-UENTHU</v>
          </cell>
          <cell r="B2018" t="str">
            <v>DBTUNER DB2UDB DEP-ENT UP</v>
          </cell>
        </row>
        <row r="2019">
          <cell r="A2019" t="str">
            <v>CC-DTU-UENTUP</v>
          </cell>
          <cell r="B2019" t="str">
            <v>DBTUNER DB2UDB ENT UP</v>
          </cell>
        </row>
        <row r="2020">
          <cell r="A2020" t="str">
            <v>CC-DTU-UGLO</v>
          </cell>
          <cell r="B2020" t="str">
            <v>DBTUNER DB2UDB GLB-14CPU</v>
          </cell>
        </row>
        <row r="2021">
          <cell r="A2021" t="str">
            <v>CC-DTU-UGLOCU</v>
          </cell>
          <cell r="B2021" t="str">
            <v>DBTUNER DB2UDB UGLO CPU+</v>
          </cell>
        </row>
        <row r="2022">
          <cell r="A2022" t="str">
            <v>CC-DTU-UGLOHU</v>
          </cell>
          <cell r="B2022" t="str">
            <v>DBTUNER DB2UDB ENT-GLO UP</v>
          </cell>
        </row>
        <row r="2023">
          <cell r="A2023" t="str">
            <v>CC-DTU-UGLOUP</v>
          </cell>
          <cell r="B2023" t="str">
            <v>DBTUNER DB2UDB GLB UP</v>
          </cell>
        </row>
        <row r="2024">
          <cell r="A2024" t="str">
            <v>CC-DTU-UWG</v>
          </cell>
          <cell r="B2024" t="str">
            <v>DBTUNER DB2 UDB WG - 2CPU</v>
          </cell>
        </row>
        <row r="2025">
          <cell r="A2025" t="str">
            <v>CC-DTU-UWGCU</v>
          </cell>
          <cell r="B2025" t="str">
            <v>DBTUNER DB2UDB CPU ADD</v>
          </cell>
        </row>
        <row r="2026">
          <cell r="A2026" t="str">
            <v>CC-DTU-UWGUP</v>
          </cell>
          <cell r="B2026" t="str">
            <v>DBTUNER DB2UDB WG UP</v>
          </cell>
        </row>
        <row r="2027">
          <cell r="A2027" t="str">
            <v>CC-OIC</v>
          </cell>
          <cell r="B2027" t="str">
            <v>ECC COMPONENTS KIT</v>
          </cell>
        </row>
        <row r="2028">
          <cell r="A2028" t="str">
            <v>CC-OICMVS</v>
          </cell>
          <cell r="B2028" t="str">
            <v>MEDIA KIT - MVS TAPE</v>
          </cell>
        </row>
        <row r="2029">
          <cell r="A2029" t="str">
            <v>CC-OPT-T1</v>
          </cell>
          <cell r="B2029" t="str">
            <v>OPT CPTY 0-.250</v>
          </cell>
        </row>
        <row r="2030">
          <cell r="A2030" t="str">
            <v>CC-OPT-T10</v>
          </cell>
          <cell r="B2030" t="str">
            <v>OPT CPTY 10.01-12.00</v>
          </cell>
        </row>
        <row r="2031">
          <cell r="A2031" t="str">
            <v>CC-OPT-T11</v>
          </cell>
          <cell r="B2031" t="str">
            <v>OPT CPTY 12.01-14.00</v>
          </cell>
        </row>
        <row r="2032">
          <cell r="A2032" t="str">
            <v>CC-OPT-T12</v>
          </cell>
          <cell r="B2032" t="str">
            <v>OPT CPTY 14.01-ABOVE</v>
          </cell>
        </row>
        <row r="2033">
          <cell r="A2033" t="str">
            <v>CC-OPT-T2</v>
          </cell>
          <cell r="B2033" t="str">
            <v>OPT CPTY .251-500</v>
          </cell>
        </row>
        <row r="2034">
          <cell r="A2034" t="str">
            <v>CC-OPT-T3</v>
          </cell>
          <cell r="B2034" t="str">
            <v>OPT CPTY .501-.750</v>
          </cell>
        </row>
        <row r="2035">
          <cell r="A2035" t="str">
            <v>CC-OPT-T4</v>
          </cell>
          <cell r="B2035" t="str">
            <v>OPT CPTY .501-.750</v>
          </cell>
        </row>
        <row r="2036">
          <cell r="A2036" t="str">
            <v>CC-OPT-T5</v>
          </cell>
          <cell r="B2036" t="str">
            <v>OPT CPTY 1.01-2.00</v>
          </cell>
        </row>
        <row r="2037">
          <cell r="A2037" t="str">
            <v>CC-OPT-T6</v>
          </cell>
          <cell r="B2037" t="str">
            <v>OPT CPTY 2.01-4.00</v>
          </cell>
        </row>
        <row r="2038">
          <cell r="A2038" t="str">
            <v>CC-OPT-T7</v>
          </cell>
          <cell r="B2038" t="str">
            <v>OPT CPTY 4.01-6.00</v>
          </cell>
        </row>
        <row r="2039">
          <cell r="A2039" t="str">
            <v>CC-OPT-T8</v>
          </cell>
          <cell r="B2039" t="str">
            <v>OPT CPTY 6.01-8.00</v>
          </cell>
        </row>
        <row r="2040">
          <cell r="A2040" t="str">
            <v>CC-OPT-T9</v>
          </cell>
          <cell r="B2040" t="str">
            <v>OPT CPTY 8.01-10.00</v>
          </cell>
        </row>
        <row r="2041">
          <cell r="A2041" t="str">
            <v>CC-PKG-T1</v>
          </cell>
          <cell r="B2041" t="str">
            <v>PKG CPTY 0-.250</v>
          </cell>
        </row>
        <row r="2042">
          <cell r="A2042" t="str">
            <v>CC-PKG-T10</v>
          </cell>
          <cell r="B2042" t="str">
            <v>PKG CPTY 10.01-12.00</v>
          </cell>
        </row>
        <row r="2043">
          <cell r="A2043" t="str">
            <v>CC-PKG-T11</v>
          </cell>
          <cell r="B2043" t="str">
            <v>PKG CPTY 12.01-14.00</v>
          </cell>
        </row>
        <row r="2044">
          <cell r="A2044" t="str">
            <v>CC-PKG-T12</v>
          </cell>
          <cell r="B2044" t="str">
            <v>PKG CPTY 14.01-Above</v>
          </cell>
        </row>
        <row r="2045">
          <cell r="A2045" t="str">
            <v>CC-PKG-T2</v>
          </cell>
          <cell r="B2045" t="str">
            <v>PKG CPTY .251-.500</v>
          </cell>
        </row>
        <row r="2046">
          <cell r="A2046" t="str">
            <v>CC-PKG-T3</v>
          </cell>
          <cell r="B2046" t="str">
            <v>PKG CPTY .501-.750</v>
          </cell>
        </row>
        <row r="2047">
          <cell r="A2047" t="str">
            <v>CC-PKG-T4</v>
          </cell>
          <cell r="B2047" t="str">
            <v>PKG CPTY .751-1.00</v>
          </cell>
        </row>
        <row r="2048">
          <cell r="A2048" t="str">
            <v>CC-PKG-T5</v>
          </cell>
          <cell r="B2048" t="str">
            <v>PKG CPTY 1.01-2.00</v>
          </cell>
        </row>
        <row r="2049">
          <cell r="A2049" t="str">
            <v>CC-PKG-T6</v>
          </cell>
          <cell r="B2049" t="str">
            <v>PKG CPTY 2.01-4.00</v>
          </cell>
        </row>
        <row r="2050">
          <cell r="A2050" t="str">
            <v>CC-PKG-T7</v>
          </cell>
          <cell r="B2050" t="str">
            <v>PKG CPTY 4.01-6.00</v>
          </cell>
        </row>
        <row r="2051">
          <cell r="A2051" t="str">
            <v>CC-PKG-T8</v>
          </cell>
          <cell r="B2051" t="str">
            <v>PKG CPTY 6.01-8.00</v>
          </cell>
        </row>
        <row r="2052">
          <cell r="A2052" t="str">
            <v>CC-PKG-T9</v>
          </cell>
          <cell r="B2052" t="str">
            <v>PKG CPTY 8.01-10.00</v>
          </cell>
        </row>
        <row r="2053">
          <cell r="A2053" t="str">
            <v>CC-SGR-T1</v>
          </cell>
          <cell r="B2053" t="str">
            <v>SGR CPTY 0-.250</v>
          </cell>
        </row>
        <row r="2054">
          <cell r="A2054" t="str">
            <v>CC-SGR-T10</v>
          </cell>
          <cell r="B2054" t="str">
            <v>SGR CPTY 10.01-12.00</v>
          </cell>
        </row>
        <row r="2055">
          <cell r="A2055" t="str">
            <v>CC-SGR-T11</v>
          </cell>
          <cell r="B2055" t="str">
            <v>SGR CPTY 12.01-14.00</v>
          </cell>
        </row>
        <row r="2056">
          <cell r="A2056" t="str">
            <v>CC-SGR-T12</v>
          </cell>
          <cell r="B2056" t="str">
            <v>SGR CPTY 14.01-Above</v>
          </cell>
        </row>
        <row r="2057">
          <cell r="A2057" t="str">
            <v>CC-SGR-T2</v>
          </cell>
          <cell r="B2057" t="str">
            <v>SGR CPTY .251-.500</v>
          </cell>
        </row>
        <row r="2058">
          <cell r="A2058" t="str">
            <v>CC-SGR-T3</v>
          </cell>
          <cell r="B2058" t="str">
            <v>SGR CPTY .501-.750</v>
          </cell>
        </row>
        <row r="2059">
          <cell r="A2059" t="str">
            <v>CC-SGR-T4</v>
          </cell>
          <cell r="B2059" t="str">
            <v>SGR CPTY .751-1.00</v>
          </cell>
        </row>
        <row r="2060">
          <cell r="A2060" t="str">
            <v>CC-SGR-T5</v>
          </cell>
          <cell r="B2060" t="str">
            <v>SGR CPTY 1.01-2.00</v>
          </cell>
        </row>
        <row r="2061">
          <cell r="A2061" t="str">
            <v>CC-SGR-T6</v>
          </cell>
          <cell r="B2061" t="str">
            <v>SGR CPTY 2.01-4.00</v>
          </cell>
        </row>
        <row r="2062">
          <cell r="A2062" t="str">
            <v>CC-SGR-T7</v>
          </cell>
          <cell r="B2062" t="str">
            <v>SGR CPTY 4.01-6.00</v>
          </cell>
        </row>
        <row r="2063">
          <cell r="A2063" t="str">
            <v>CC-SGR-T8</v>
          </cell>
          <cell r="B2063" t="str">
            <v>SGR CPTY 6.01-8.00</v>
          </cell>
        </row>
        <row r="2064">
          <cell r="A2064" t="str">
            <v>CC-SGR-T9</v>
          </cell>
          <cell r="B2064" t="str">
            <v>SGR CPTY 8.01-10.00</v>
          </cell>
        </row>
        <row r="2065">
          <cell r="A2065" t="str">
            <v>CC-STM-T1</v>
          </cell>
          <cell r="B2065" t="str">
            <v>STM CPTY 0-.250</v>
          </cell>
        </row>
        <row r="2066">
          <cell r="A2066" t="str">
            <v>CC-STM-T10</v>
          </cell>
          <cell r="B2066" t="str">
            <v>STM CPTY 10.01-12.00</v>
          </cell>
        </row>
        <row r="2067">
          <cell r="A2067" t="str">
            <v>CC-STM-T11</v>
          </cell>
          <cell r="B2067" t="str">
            <v>STM CPTY 12.01-14.00</v>
          </cell>
        </row>
        <row r="2068">
          <cell r="A2068" t="str">
            <v>CC-STM-T12</v>
          </cell>
          <cell r="B2068" t="str">
            <v>STM CPTY 14.01-ABOVE</v>
          </cell>
        </row>
        <row r="2069">
          <cell r="A2069" t="str">
            <v>CC-STM-T2</v>
          </cell>
          <cell r="B2069" t="str">
            <v>STM CPTY .251-.500</v>
          </cell>
        </row>
        <row r="2070">
          <cell r="A2070" t="str">
            <v>CC-STM-T3</v>
          </cell>
          <cell r="B2070" t="str">
            <v>STM CPTY .501-.750</v>
          </cell>
        </row>
        <row r="2071">
          <cell r="A2071" t="str">
            <v>CC-STM-T4</v>
          </cell>
          <cell r="B2071" t="str">
            <v>STM CPTY .751-1.00</v>
          </cell>
        </row>
        <row r="2072">
          <cell r="A2072" t="str">
            <v>CC-STM-T5</v>
          </cell>
          <cell r="B2072" t="str">
            <v>STM CPTY 1.01-2.00</v>
          </cell>
        </row>
        <row r="2073">
          <cell r="A2073" t="str">
            <v>CC-STM-T6</v>
          </cell>
          <cell r="B2073" t="str">
            <v>STM CPTY 2.01-4.00</v>
          </cell>
        </row>
        <row r="2074">
          <cell r="A2074" t="str">
            <v>CC-STM-T7</v>
          </cell>
          <cell r="B2074" t="str">
            <v>STM CPTY 4.01-6.00</v>
          </cell>
        </row>
        <row r="2075">
          <cell r="A2075" t="str">
            <v>CC-STM-T8</v>
          </cell>
          <cell r="B2075" t="str">
            <v>STM CPTY 6.01-8.00</v>
          </cell>
        </row>
        <row r="2076">
          <cell r="A2076" t="str">
            <v>CC-STM-T9</v>
          </cell>
          <cell r="B2076" t="str">
            <v>STM CPTY 8.01-10.00</v>
          </cell>
        </row>
        <row r="2077">
          <cell r="A2077" t="str">
            <v>CC-WLA-T1</v>
          </cell>
          <cell r="B2077" t="str">
            <v>WLA CPTY 0-.250</v>
          </cell>
        </row>
        <row r="2078">
          <cell r="A2078" t="str">
            <v>CC-WLA-T10</v>
          </cell>
          <cell r="B2078" t="str">
            <v>WLA CPTY 10.01-12.00</v>
          </cell>
        </row>
        <row r="2079">
          <cell r="A2079" t="str">
            <v>CC-WLA-T11</v>
          </cell>
          <cell r="B2079" t="str">
            <v>WLA CPTY 12.01-14.00</v>
          </cell>
        </row>
        <row r="2080">
          <cell r="A2080" t="str">
            <v>CC-WLA-T12</v>
          </cell>
          <cell r="B2080" t="str">
            <v>WLA CPTY 14.01-Above</v>
          </cell>
        </row>
        <row r="2081">
          <cell r="A2081" t="str">
            <v>CC-WLA-T2</v>
          </cell>
          <cell r="B2081" t="str">
            <v>WLA CPTY .251-.500</v>
          </cell>
        </row>
        <row r="2082">
          <cell r="A2082" t="str">
            <v>CC-WLA-T3</v>
          </cell>
          <cell r="B2082" t="str">
            <v>WLA CPTY .501-.750</v>
          </cell>
        </row>
        <row r="2083">
          <cell r="A2083" t="str">
            <v>CC-WLA-T4</v>
          </cell>
          <cell r="B2083" t="str">
            <v>WLA CPTY .751-1.00</v>
          </cell>
        </row>
        <row r="2084">
          <cell r="A2084" t="str">
            <v>CC-WLA-T5</v>
          </cell>
          <cell r="B2084" t="str">
            <v>WLA CPTY 1.01-2.00</v>
          </cell>
        </row>
        <row r="2085">
          <cell r="A2085" t="str">
            <v>CC-WLA-T6</v>
          </cell>
          <cell r="B2085" t="str">
            <v>WLA CPTY 2.01-4.00</v>
          </cell>
        </row>
        <row r="2086">
          <cell r="A2086" t="str">
            <v>CC-WLA-T7</v>
          </cell>
          <cell r="B2086" t="str">
            <v>WLA CPTY 4.01-6.00</v>
          </cell>
        </row>
        <row r="2087">
          <cell r="A2087" t="str">
            <v>CC-WLA-T8</v>
          </cell>
          <cell r="B2087" t="str">
            <v>WLA CPTY 6.01-8.00</v>
          </cell>
        </row>
        <row r="2088">
          <cell r="A2088" t="str">
            <v>CC-WLA-T9</v>
          </cell>
          <cell r="B2088" t="str">
            <v>WLA CPTY 8.01-10.00</v>
          </cell>
        </row>
        <row r="2089">
          <cell r="A2089" t="str">
            <v>CCBAS-T1-4UP</v>
          </cell>
          <cell r="B2089" t="str">
            <v>ECC BASE T1-T4 UPGRAD</v>
          </cell>
        </row>
        <row r="2090">
          <cell r="A2090" t="str">
            <v>CCBAS-T5-12UP</v>
          </cell>
          <cell r="B2090" t="str">
            <v>ECC BASE T5-T12 UPGRAD</v>
          </cell>
        </row>
        <row r="2091">
          <cell r="A2091" t="str">
            <v>CCOPT-T1-4UP</v>
          </cell>
          <cell r="B2091" t="str">
            <v>ECC OPTIMIZER T1-T4 UPGRAD</v>
          </cell>
        </row>
        <row r="2092">
          <cell r="A2092" t="str">
            <v>CCOPT-T5-12UP</v>
          </cell>
          <cell r="B2092" t="str">
            <v>ECC OPTIMIZER T5-T12 UPGRAD</v>
          </cell>
        </row>
        <row r="2093">
          <cell r="A2093" t="str">
            <v>CCPKG-T1-4UP</v>
          </cell>
          <cell r="B2093" t="str">
            <v>ECC PACKAGE T1-T4 UPGRAD</v>
          </cell>
        </row>
        <row r="2094">
          <cell r="A2094" t="str">
            <v>CCPKG-T5-12UP</v>
          </cell>
          <cell r="B2094" t="str">
            <v>ECC PACKAGE T5-T12 UPGRAD</v>
          </cell>
        </row>
        <row r="2095">
          <cell r="A2095" t="str">
            <v>CCSDR-T1-4UP</v>
          </cell>
          <cell r="B2095" t="str">
            <v>ECC SDR T1-T4 UPGRAD</v>
          </cell>
        </row>
        <row r="2096">
          <cell r="A2096" t="str">
            <v>CCSDR-T5-12UP</v>
          </cell>
          <cell r="B2096" t="str">
            <v>ECC SDR T5-T12 UPGRAD</v>
          </cell>
        </row>
        <row r="2097">
          <cell r="A2097" t="str">
            <v>CCSTM-T1-4UP</v>
          </cell>
          <cell r="B2097" t="str">
            <v>ECC STM T1-T4 UPGRAD</v>
          </cell>
        </row>
        <row r="2098">
          <cell r="A2098" t="str">
            <v>CCSTM-T5-12UP</v>
          </cell>
          <cell r="B2098" t="str">
            <v>ECC STM T5-T12 UPGRAD</v>
          </cell>
        </row>
        <row r="2099">
          <cell r="A2099" t="str">
            <v>CCWLA-T1-4UP</v>
          </cell>
          <cell r="B2099" t="str">
            <v>ECC WLA T1-T4 UPGRAD</v>
          </cell>
        </row>
        <row r="2100">
          <cell r="A2100" t="str">
            <v>CCWLA-T5-12UP</v>
          </cell>
          <cell r="B2100" t="str">
            <v>ECC WLA T5-T12 UPGRAD</v>
          </cell>
        </row>
        <row r="2101">
          <cell r="A2101" t="str">
            <v>CNFMGR-T1-4U</v>
          </cell>
          <cell r="B2101" t="str">
            <v>ECC CNFMGR T1-T4 UPGRADE</v>
          </cell>
        </row>
        <row r="2102">
          <cell r="A2102" t="str">
            <v>CNFMGR-T5-12U</v>
          </cell>
          <cell r="B2102" t="str">
            <v>ECC CNFMGR T5-T12 UPGRADE</v>
          </cell>
        </row>
        <row r="2103">
          <cell r="A2103" t="str">
            <v>COM-PAV/MAT1</v>
          </cell>
          <cell r="B2103" t="str">
            <v>COMPAV CPCTY 0-.250</v>
          </cell>
        </row>
        <row r="2104">
          <cell r="A2104" t="str">
            <v>COM-PAV/MAT10</v>
          </cell>
          <cell r="B2104" t="str">
            <v>COMPAV CPCTY 10.01-12.00</v>
          </cell>
        </row>
        <row r="2105">
          <cell r="A2105" t="str">
            <v>COM-PAV/MAT11</v>
          </cell>
          <cell r="B2105" t="str">
            <v>COMPAV CPCTY 12.01-14.00</v>
          </cell>
        </row>
        <row r="2106">
          <cell r="A2106" t="str">
            <v>COM-PAV/MAT12</v>
          </cell>
          <cell r="B2106" t="str">
            <v>COMPAV CPCTY 14.01 And Above</v>
          </cell>
        </row>
        <row r="2107">
          <cell r="A2107" t="str">
            <v>COM-PAV/MAT2</v>
          </cell>
          <cell r="B2107" t="str">
            <v>COMPAV CPCTY .251- .500</v>
          </cell>
        </row>
        <row r="2108">
          <cell r="A2108" t="str">
            <v>COM-PAV/MAT3</v>
          </cell>
          <cell r="B2108" t="str">
            <v>COMPAV CPCTY .501-.750</v>
          </cell>
        </row>
        <row r="2109">
          <cell r="A2109" t="str">
            <v>COM-PAV/MAT4</v>
          </cell>
          <cell r="B2109" t="str">
            <v>COMPAV CPCTY .751-1.00</v>
          </cell>
        </row>
        <row r="2110">
          <cell r="A2110" t="str">
            <v>COM-PAV/MAT5</v>
          </cell>
          <cell r="B2110" t="str">
            <v>COMPAV CPCTY 1.01-2.00</v>
          </cell>
        </row>
        <row r="2111">
          <cell r="A2111" t="str">
            <v>COM-PAV/MAT6</v>
          </cell>
          <cell r="B2111" t="str">
            <v>COMPAV CPCTY 2.01-4.00</v>
          </cell>
        </row>
        <row r="2112">
          <cell r="A2112" t="str">
            <v>COM-PAV/MAT7</v>
          </cell>
          <cell r="B2112" t="str">
            <v>COMPAV CPCTY 4.01-6.00</v>
          </cell>
        </row>
        <row r="2113">
          <cell r="A2113" t="str">
            <v>COM-PAV/MAT8</v>
          </cell>
          <cell r="B2113" t="str">
            <v>COMPAV CPCTY 6.01-8.00</v>
          </cell>
        </row>
        <row r="2114">
          <cell r="A2114" t="str">
            <v>COM-PAV/MAT9</v>
          </cell>
          <cell r="B2114" t="str">
            <v>COMPAV CPCTY 8.01-10.00</v>
          </cell>
        </row>
        <row r="2115">
          <cell r="A2115" t="str">
            <v>COPYPT-AS400</v>
          </cell>
          <cell r="B2115" t="str">
            <v>AS400 COPYPT SET</v>
          </cell>
        </row>
        <row r="2116">
          <cell r="A2116" t="str">
            <v>CPAV-T1-T4UP</v>
          </cell>
          <cell r="B2116" t="str">
            <v>COM PAV T1-T4 UPG</v>
          </cell>
        </row>
        <row r="2117">
          <cell r="A2117" t="str">
            <v>CPAV-T5-12UP</v>
          </cell>
          <cell r="B2117" t="str">
            <v>COM PAV T5-T12 UPG</v>
          </cell>
        </row>
        <row r="2118">
          <cell r="A2118" t="str">
            <v>CSL-MVS</v>
          </cell>
          <cell r="B2118" t="str">
            <v>CSL MVS INSTALL KIT</v>
          </cell>
        </row>
        <row r="2119">
          <cell r="A2119" t="str">
            <v>CSL-MVS-MIP1</v>
          </cell>
          <cell r="B2119" t="str">
            <v>CAT SOL MVS, 1-200 MIPS</v>
          </cell>
        </row>
        <row r="2120">
          <cell r="A2120" t="str">
            <v>CSL-MVS-MIP10</v>
          </cell>
          <cell r="B2120" t="str">
            <v>CAT SOL MVS 1801-2000 MIPS</v>
          </cell>
        </row>
        <row r="2121">
          <cell r="A2121" t="str">
            <v>CSL-MVS-MIP11</v>
          </cell>
          <cell r="B2121" t="str">
            <v>CAT SOL MVS 2001+ MIPS</v>
          </cell>
        </row>
        <row r="2122">
          <cell r="A2122" t="str">
            <v>CSL-MVS-MIP2</v>
          </cell>
          <cell r="B2122" t="str">
            <v>CAT SOL MVS, 201-400 MIPS</v>
          </cell>
        </row>
        <row r="2123">
          <cell r="A2123" t="str">
            <v>CSL-MVS-MIP3</v>
          </cell>
          <cell r="B2123" t="str">
            <v>CAT SOL MVS, 401-600 MIPS</v>
          </cell>
        </row>
        <row r="2124">
          <cell r="A2124" t="str">
            <v>CSL-MVS-MIP4</v>
          </cell>
          <cell r="B2124" t="str">
            <v>CAT SOL MVS, 601-800 MIPS</v>
          </cell>
        </row>
        <row r="2125">
          <cell r="A2125" t="str">
            <v>CSL-MVS-MIP5</v>
          </cell>
          <cell r="B2125" t="str">
            <v>CAT SOL MVS, 801-1000 MIPS</v>
          </cell>
        </row>
        <row r="2126">
          <cell r="A2126" t="str">
            <v>CSL-MVS-MIP6</v>
          </cell>
          <cell r="B2126" t="str">
            <v>CAT SOL MVS, 1000+ MIPS</v>
          </cell>
        </row>
        <row r="2127">
          <cell r="A2127" t="str">
            <v>CSL-MVS-MIP7</v>
          </cell>
          <cell r="B2127" t="str">
            <v>CAT SOL MVS 1201-1400 MIPS</v>
          </cell>
        </row>
        <row r="2128">
          <cell r="A2128" t="str">
            <v>CSL-MVS-MIP8</v>
          </cell>
          <cell r="B2128" t="str">
            <v>CAT SOL MVS 1401-1600 MIPS</v>
          </cell>
        </row>
        <row r="2129">
          <cell r="A2129" t="str">
            <v>CSL-MVS-MIP9</v>
          </cell>
          <cell r="B2129" t="str">
            <v>CAT SOL MVS 1601-1800 MIPS</v>
          </cell>
        </row>
        <row r="2130">
          <cell r="A2130" t="str">
            <v>CSL-MVS-UPG</v>
          </cell>
          <cell r="B2130" t="str">
            <v>CAT SOL MVS, UPGRADE</v>
          </cell>
        </row>
        <row r="2131">
          <cell r="A2131" t="str">
            <v>CTLM-T1-T4UP</v>
          </cell>
          <cell r="B2131" t="str">
            <v>CTL MSP T1-T4UP</v>
          </cell>
        </row>
        <row r="2132">
          <cell r="A2132" t="str">
            <v>CTLM-T5-12UP</v>
          </cell>
          <cell r="B2132" t="str">
            <v>CTL MSP T5-T12UP</v>
          </cell>
        </row>
        <row r="2133">
          <cell r="A2133" t="str">
            <v>CTLV-T1-T4UP</v>
          </cell>
          <cell r="B2133" t="str">
            <v>CTL VOS T1-T4UP</v>
          </cell>
        </row>
        <row r="2134">
          <cell r="A2134" t="str">
            <v>CTLV-T5-12UP</v>
          </cell>
          <cell r="B2134" t="str">
            <v>CTL VOS T5-T12UP</v>
          </cell>
        </row>
        <row r="2135">
          <cell r="A2135" t="str">
            <v>DM-T1-4UP</v>
          </cell>
          <cell r="B2135" t="str">
            <v>SRDF DM T1-T4UPGRADE</v>
          </cell>
        </row>
        <row r="2136">
          <cell r="A2136" t="str">
            <v>DM-T5-12UP</v>
          </cell>
          <cell r="B2136" t="str">
            <v>SRDF DM T5-T12UPGRADE</v>
          </cell>
        </row>
        <row r="2137">
          <cell r="A2137" t="str">
            <v>E-DCHK-NTDEP</v>
          </cell>
          <cell r="B2137" t="str">
            <v>EMC DBLCHECK NT DEPT</v>
          </cell>
        </row>
        <row r="2138">
          <cell r="A2138" t="str">
            <v>E-DCHK-NTENT</v>
          </cell>
          <cell r="B2138" t="str">
            <v>EMC DBLCHECK NT ENTER</v>
          </cell>
        </row>
        <row r="2139">
          <cell r="A2139" t="str">
            <v>E-DCHK-NTWG</v>
          </cell>
          <cell r="B2139" t="str">
            <v>EMC DBLCHECK NT WKGRP</v>
          </cell>
        </row>
        <row r="2140">
          <cell r="A2140" t="str">
            <v>E-DCHK-UDEP</v>
          </cell>
          <cell r="B2140" t="str">
            <v>EMC DBLCHECK UNIX DEPT</v>
          </cell>
        </row>
        <row r="2141">
          <cell r="A2141" t="str">
            <v>E-DCHK-UENT</v>
          </cell>
          <cell r="B2141" t="str">
            <v>EMC DBLCHECK UNIX ENTER</v>
          </cell>
        </row>
        <row r="2142">
          <cell r="A2142" t="str">
            <v>E-DCHK-UGLOB</v>
          </cell>
          <cell r="B2142" t="str">
            <v>EMC DBLCHECK UNIX GLOBL</v>
          </cell>
        </row>
        <row r="2143">
          <cell r="A2143" t="str">
            <v>E-DCHK-UWG</v>
          </cell>
          <cell r="B2143" t="str">
            <v>EMC DBLCHECK UNIX WKGRP</v>
          </cell>
        </row>
        <row r="2144">
          <cell r="A2144" t="str">
            <v>EDESUN-DEP</v>
          </cell>
          <cell r="B2144" t="str">
            <v>EMC DB EDITION DEPARMNT</v>
          </cell>
        </row>
        <row r="2145">
          <cell r="A2145" t="str">
            <v>EDESUN-ENT</v>
          </cell>
          <cell r="B2145" t="str">
            <v>EMC DB EDITION ENTERPRISE</v>
          </cell>
        </row>
        <row r="2146">
          <cell r="A2146" t="str">
            <v>EDESUN-GLB</v>
          </cell>
          <cell r="B2146" t="str">
            <v>EMC DB EDITION GLOBAL</v>
          </cell>
        </row>
        <row r="2147">
          <cell r="A2147" t="str">
            <v>EDESUN-WG</v>
          </cell>
          <cell r="B2147" t="str">
            <v>EMC DB EDITION WORKGRP</v>
          </cell>
        </row>
        <row r="2148">
          <cell r="A2148" t="str">
            <v>EDESUNUPG-DEP</v>
          </cell>
          <cell r="B2148" t="str">
            <v>VRTS TO EDE UPG DEPARTMNT</v>
          </cell>
        </row>
        <row r="2149">
          <cell r="A2149" t="str">
            <v>EDESUNUPG-ENT</v>
          </cell>
          <cell r="B2149" t="str">
            <v>VRTS TO EDE UPG ENTERPRSE</v>
          </cell>
        </row>
        <row r="2150">
          <cell r="A2150" t="str">
            <v>EDESUNUPG-GLB</v>
          </cell>
          <cell r="B2150" t="str">
            <v>VRTS TO EDE UPG GLOBAL</v>
          </cell>
        </row>
        <row r="2151">
          <cell r="A2151" t="str">
            <v>EDESUNUPG-WG</v>
          </cell>
          <cell r="B2151" t="str">
            <v>VRTS TO EDE UPG WORKGRP</v>
          </cell>
        </row>
        <row r="2152">
          <cell r="A2152" t="str">
            <v>EFSSUN-DEP</v>
          </cell>
          <cell r="B2152" t="str">
            <v>EMC FOUNDTN STE DEPARTMNT</v>
          </cell>
        </row>
        <row r="2153">
          <cell r="A2153" t="str">
            <v>EFSSUN-ENT</v>
          </cell>
          <cell r="B2153" t="str">
            <v>EMC FOUNDTN STE ENTERPRSE</v>
          </cell>
        </row>
        <row r="2154">
          <cell r="A2154" t="str">
            <v>EFSSUN-GLB</v>
          </cell>
          <cell r="B2154" t="str">
            <v>EMC FOUNDTN STE GLOBAL</v>
          </cell>
        </row>
        <row r="2155">
          <cell r="A2155" t="str">
            <v>EFSSUN-WG</v>
          </cell>
          <cell r="B2155" t="str">
            <v xml:space="preserve">EMC FOUNDTN STE WORKGROUP </v>
          </cell>
        </row>
        <row r="2156">
          <cell r="A2156" t="str">
            <v>EFSSUNUPG-DEP</v>
          </cell>
          <cell r="B2156" t="str">
            <v>VRTS TO EFS UPG DEPARTMNT</v>
          </cell>
        </row>
        <row r="2157">
          <cell r="A2157" t="str">
            <v>EFSSUNUPG-ENT</v>
          </cell>
          <cell r="B2157" t="str">
            <v>VRTS TO EFS UPG ENTERPRISE</v>
          </cell>
        </row>
        <row r="2158">
          <cell r="A2158" t="str">
            <v>EFSSUNUPG-GLB</v>
          </cell>
          <cell r="B2158" t="str">
            <v>VRTS TO EFS UPG GLOBAL</v>
          </cell>
        </row>
        <row r="2159">
          <cell r="A2159" t="str">
            <v>EFSSUNUPG-WG</v>
          </cell>
          <cell r="B2159" t="str">
            <v>VRTS TO EFS UPG WORKGRP</v>
          </cell>
        </row>
        <row r="2160">
          <cell r="A2160" t="str">
            <v>ELLF-T1</v>
          </cell>
          <cell r="B2160" t="str">
            <v>ELLF CAPACITY 0-.250</v>
          </cell>
        </row>
        <row r="2161">
          <cell r="A2161" t="str">
            <v>ELLF-T10</v>
          </cell>
          <cell r="B2161" t="str">
            <v>ELLF CAPACITY 10.01-12.00</v>
          </cell>
        </row>
        <row r="2162">
          <cell r="A2162" t="str">
            <v>ELLF-T11</v>
          </cell>
          <cell r="B2162" t="str">
            <v>ELLF CAPACITY 12.01-14.00</v>
          </cell>
        </row>
        <row r="2163">
          <cell r="A2163" t="str">
            <v>ELLF-T12</v>
          </cell>
          <cell r="B2163" t="str">
            <v>ELLF CAPACITY 14.01-And Above</v>
          </cell>
        </row>
        <row r="2164">
          <cell r="A2164" t="str">
            <v>ELLF-T2</v>
          </cell>
          <cell r="B2164" t="str">
            <v>ELLF CAPACITY .251-.500</v>
          </cell>
        </row>
        <row r="2165">
          <cell r="A2165" t="str">
            <v>ELLF-T3</v>
          </cell>
          <cell r="B2165" t="str">
            <v>ELLF CAPACITY .501-.750</v>
          </cell>
        </row>
        <row r="2166">
          <cell r="A2166" t="str">
            <v>ELLF-T4</v>
          </cell>
          <cell r="B2166" t="str">
            <v>ELLF CAPACITY .751-1.00</v>
          </cell>
        </row>
        <row r="2167">
          <cell r="A2167" t="str">
            <v>ELLF-T5</v>
          </cell>
          <cell r="B2167" t="str">
            <v>ELLF CAPACITY 1.01-2.00</v>
          </cell>
        </row>
        <row r="2168">
          <cell r="A2168" t="str">
            <v>ELLF-T6</v>
          </cell>
          <cell r="B2168" t="str">
            <v>ELLF CAPACITY 2.01-4.00</v>
          </cell>
        </row>
        <row r="2169">
          <cell r="A2169" t="str">
            <v>ELLF-T7</v>
          </cell>
          <cell r="B2169" t="str">
            <v>ELLF CAPACITY 4.01-6.00</v>
          </cell>
        </row>
        <row r="2170">
          <cell r="A2170" t="str">
            <v>ELLF-T8</v>
          </cell>
          <cell r="B2170" t="str">
            <v>ELLF CAPACITY 6.01-8.00</v>
          </cell>
        </row>
        <row r="2171">
          <cell r="A2171" t="str">
            <v>ELLF-T9</v>
          </cell>
          <cell r="B2171" t="str">
            <v>ELLF CAPACITY 8.01-10.00</v>
          </cell>
        </row>
        <row r="2172">
          <cell r="A2172" t="str">
            <v>EMC-COPYCROSS</v>
          </cell>
          <cell r="B2172" t="str">
            <v>MVS TAPE I/O REDRCTR SYMM</v>
          </cell>
        </row>
        <row r="2173">
          <cell r="A2173" t="str">
            <v>ESN-MGR-T1</v>
          </cell>
          <cell r="B2173" t="str">
            <v>ESN CAPACITY 0-.250</v>
          </cell>
        </row>
        <row r="2174">
          <cell r="A2174" t="str">
            <v>ESN-MGR-T10</v>
          </cell>
          <cell r="B2174" t="str">
            <v>ESN CAPACITY 10.01-12.00</v>
          </cell>
        </row>
        <row r="2175">
          <cell r="A2175" t="str">
            <v>ESN-MGR-T11</v>
          </cell>
          <cell r="B2175" t="str">
            <v>ESN CAPACITY 12.01-14.00</v>
          </cell>
        </row>
        <row r="2176">
          <cell r="A2176" t="str">
            <v>ESN-MGR-T12</v>
          </cell>
          <cell r="B2176" t="str">
            <v>ESN CAPACITY 14.01-And Above</v>
          </cell>
        </row>
        <row r="2177">
          <cell r="A2177" t="str">
            <v>ESN-MGR-T2</v>
          </cell>
          <cell r="B2177" t="str">
            <v>ESN CAPACITY .251-.500</v>
          </cell>
        </row>
        <row r="2178">
          <cell r="A2178" t="str">
            <v>ESN-MGR-T3</v>
          </cell>
          <cell r="B2178" t="str">
            <v>ESN CAPACITY .501-.750</v>
          </cell>
        </row>
        <row r="2179">
          <cell r="A2179" t="str">
            <v>ESN-MGR-T4</v>
          </cell>
          <cell r="B2179" t="str">
            <v>ESN CAPACITY .751-1.00</v>
          </cell>
        </row>
        <row r="2180">
          <cell r="A2180" t="str">
            <v>ESN-MGR-T5</v>
          </cell>
          <cell r="B2180" t="str">
            <v>ESN CAPACITY 1.01-2.00</v>
          </cell>
        </row>
        <row r="2181">
          <cell r="A2181" t="str">
            <v>ESN-MGR-T6</v>
          </cell>
          <cell r="B2181" t="str">
            <v>ESN CAPACITY 2.01-4.00</v>
          </cell>
        </row>
        <row r="2182">
          <cell r="A2182" t="str">
            <v>ESN-MGR-T7</v>
          </cell>
          <cell r="B2182" t="str">
            <v>ESN CAPACITY 4.01-6.00</v>
          </cell>
        </row>
        <row r="2183">
          <cell r="A2183" t="str">
            <v>ESN-MGR-T8</v>
          </cell>
          <cell r="B2183" t="str">
            <v>ESN CAPACITY 6.01-8.00</v>
          </cell>
        </row>
        <row r="2184">
          <cell r="A2184" t="str">
            <v>ESN-MGR-T9</v>
          </cell>
          <cell r="B2184" t="str">
            <v>ESN CAPACITY 8.01-10.00</v>
          </cell>
        </row>
        <row r="2185">
          <cell r="A2185" t="str">
            <v>ESN-T1-4UP</v>
          </cell>
          <cell r="B2185" t="str">
            <v>ESN MGR T1-T4 UPGRADE</v>
          </cell>
        </row>
        <row r="2186">
          <cell r="A2186" t="str">
            <v>ESN-T5-12UP</v>
          </cell>
          <cell r="B2186" t="str">
            <v>ESN MGR T5-T12 UPGRADE</v>
          </cell>
        </row>
        <row r="2187">
          <cell r="A2187" t="str">
            <v>ESP-T1</v>
          </cell>
          <cell r="B2187" t="str">
            <v>ESP CAPACITY 0-.250</v>
          </cell>
        </row>
        <row r="2188">
          <cell r="A2188" t="str">
            <v>ESP-T1-4UP</v>
          </cell>
          <cell r="B2188" t="str">
            <v>ESP T1-T4 UPGRADE</v>
          </cell>
        </row>
        <row r="2189">
          <cell r="A2189" t="str">
            <v>ESP-T10</v>
          </cell>
          <cell r="B2189" t="str">
            <v>ESP CAPACITY 10.01-12.00</v>
          </cell>
        </row>
        <row r="2190">
          <cell r="A2190" t="str">
            <v>ESP-T11</v>
          </cell>
          <cell r="B2190" t="str">
            <v>ESP CAPACITY 12.01-14.00</v>
          </cell>
        </row>
        <row r="2191">
          <cell r="A2191" t="str">
            <v>ESP-T12</v>
          </cell>
          <cell r="B2191" t="str">
            <v>ESP CAPACITY 14.01-And Above</v>
          </cell>
        </row>
        <row r="2192">
          <cell r="A2192" t="str">
            <v>ESP-T2</v>
          </cell>
          <cell r="B2192" t="str">
            <v>ESP CAPACITY .251-.500</v>
          </cell>
        </row>
        <row r="2193">
          <cell r="A2193" t="str">
            <v>ESP-T3</v>
          </cell>
          <cell r="B2193" t="str">
            <v>ESP CAPACITY .501-.750</v>
          </cell>
        </row>
        <row r="2194">
          <cell r="A2194" t="str">
            <v>ESP-T4</v>
          </cell>
          <cell r="B2194" t="str">
            <v>ESP CAPACITY .751-1.00</v>
          </cell>
        </row>
        <row r="2195">
          <cell r="A2195" t="str">
            <v>ESP-T5</v>
          </cell>
          <cell r="B2195" t="str">
            <v>ESP CAPACITY 1.01-2.00</v>
          </cell>
        </row>
        <row r="2196">
          <cell r="A2196" t="str">
            <v>ESP-T5-12UP</v>
          </cell>
          <cell r="B2196" t="str">
            <v>ESP T5-T12 UPGRADE</v>
          </cell>
        </row>
        <row r="2197">
          <cell r="A2197" t="str">
            <v>ESP-T6</v>
          </cell>
          <cell r="B2197" t="str">
            <v>ESP CAPACITY 2.01-4.00</v>
          </cell>
        </row>
        <row r="2198">
          <cell r="A2198" t="str">
            <v>ESP-T7</v>
          </cell>
          <cell r="B2198" t="str">
            <v>ESP CAPACITY 4.01-6.00</v>
          </cell>
        </row>
        <row r="2199">
          <cell r="A2199" t="str">
            <v>ESP-T8</v>
          </cell>
          <cell r="B2199" t="str">
            <v>ESP CAPACITY 6.01-8.00</v>
          </cell>
        </row>
        <row r="2200">
          <cell r="A2200" t="str">
            <v>ESP-T9</v>
          </cell>
          <cell r="B2200" t="str">
            <v>ESP CAPACITY 8.01-10.00</v>
          </cell>
        </row>
        <row r="2201">
          <cell r="A2201" t="str">
            <v>GEO-MSCS-DEP</v>
          </cell>
          <cell r="B2201" t="str">
            <v>GEOSPAN-MSCS-DEP</v>
          </cell>
        </row>
        <row r="2202">
          <cell r="A2202" t="str">
            <v>GEO-MSCS-ENT</v>
          </cell>
          <cell r="B2202" t="str">
            <v>GEOSPAN-MSCS-ENT</v>
          </cell>
        </row>
        <row r="2203">
          <cell r="A2203" t="str">
            <v>GEO-MSCS-WG</v>
          </cell>
          <cell r="B2203" t="str">
            <v>GEOSPAN-MSCS-WG</v>
          </cell>
        </row>
        <row r="2204">
          <cell r="A2204" t="str">
            <v>GEO-VCS-DEP</v>
          </cell>
          <cell r="B2204" t="str">
            <v>GEOSPAN FOR VCS DEP</v>
          </cell>
        </row>
        <row r="2205">
          <cell r="A2205" t="str">
            <v>GEO-VCS-ENT</v>
          </cell>
          <cell r="B2205" t="str">
            <v>GEOSPAN FOR VCS ENT</v>
          </cell>
        </row>
        <row r="2206">
          <cell r="A2206" t="str">
            <v>GEO-VCS-GLB</v>
          </cell>
          <cell r="B2206" t="str">
            <v>GEOSPAN FOR VCS GLB</v>
          </cell>
        </row>
        <row r="2207">
          <cell r="A2207" t="str">
            <v>GEO-VCS-WG</v>
          </cell>
          <cell r="B2207" t="str">
            <v>GEOSPAN FOR VCS-WG</v>
          </cell>
        </row>
        <row r="2208">
          <cell r="A2208" t="str">
            <v>INF-SHAR-ENBL</v>
          </cell>
          <cell r="B2208" t="str">
            <v>INFOSHARING ENABLER RTK</v>
          </cell>
        </row>
        <row r="2209">
          <cell r="A2209" t="str">
            <v>INFOMOV-AS400</v>
          </cell>
          <cell r="B2209" t="str">
            <v>EMC AS400 DB EXTRACTOR</v>
          </cell>
        </row>
        <row r="2210">
          <cell r="A2210" t="str">
            <v>INFOMOV-NTDEP</v>
          </cell>
          <cell r="B2210" t="str">
            <v>EMC INFOMOVER S/W LIC</v>
          </cell>
        </row>
        <row r="2211">
          <cell r="A2211" t="str">
            <v>INFOMOV-NTENT</v>
          </cell>
          <cell r="B2211" t="str">
            <v>EMC INFOMOVER S/W LIC</v>
          </cell>
        </row>
        <row r="2212">
          <cell r="A2212" t="str">
            <v>INFOMOV-NTWG</v>
          </cell>
          <cell r="B2212" t="str">
            <v>EMC INFOMOVER S/W LIC</v>
          </cell>
        </row>
        <row r="2213">
          <cell r="A2213" t="str">
            <v>INFOMOV-UDEP</v>
          </cell>
          <cell r="B2213" t="str">
            <v>EMC INFOMOVER S/W LIC</v>
          </cell>
        </row>
        <row r="2214">
          <cell r="A2214" t="str">
            <v>INFOMOV-UENT</v>
          </cell>
          <cell r="B2214" t="str">
            <v>EMC INFOMOVER S/W LIC</v>
          </cell>
        </row>
        <row r="2215">
          <cell r="A2215" t="str">
            <v>INFOMOV-UGLO</v>
          </cell>
          <cell r="B2215" t="str">
            <v>EMC INFOMOVER S/W LIC</v>
          </cell>
        </row>
        <row r="2216">
          <cell r="A2216" t="str">
            <v>INFOMOV-UWG</v>
          </cell>
          <cell r="B2216" t="str">
            <v>EMC INFOMOVER S/W LIC</v>
          </cell>
        </row>
        <row r="2217">
          <cell r="A2217" t="str">
            <v>MPLF-T1</v>
          </cell>
          <cell r="B2217" t="str">
            <v>MPLF CAPACITY 0-.250</v>
          </cell>
        </row>
        <row r="2218">
          <cell r="A2218" t="str">
            <v>MPLF-T10</v>
          </cell>
          <cell r="B2218" t="str">
            <v>MPLF CAPACITY 10.01-12.00</v>
          </cell>
        </row>
        <row r="2219">
          <cell r="A2219" t="str">
            <v>MPLF-T11</v>
          </cell>
          <cell r="B2219" t="str">
            <v>MPLF CAPACITY 12.01-14.00</v>
          </cell>
        </row>
        <row r="2220">
          <cell r="A2220" t="str">
            <v>MPLF-T12</v>
          </cell>
          <cell r="B2220" t="str">
            <v>MPLF CAPACITY 14.01-And Above</v>
          </cell>
        </row>
        <row r="2221">
          <cell r="A2221" t="str">
            <v>MPLF-T2</v>
          </cell>
          <cell r="B2221" t="str">
            <v>MPLF CAPACITY .251-.500</v>
          </cell>
        </row>
        <row r="2222">
          <cell r="A2222" t="str">
            <v>MPLF-T3</v>
          </cell>
          <cell r="B2222" t="str">
            <v>MPLF CAPACITY .501-.750</v>
          </cell>
        </row>
        <row r="2223">
          <cell r="A2223" t="str">
            <v>MPLF-T4</v>
          </cell>
          <cell r="B2223" t="str">
            <v>MPLF CAPACITY .751-1.00</v>
          </cell>
        </row>
        <row r="2224">
          <cell r="A2224" t="str">
            <v>MPLF-T5</v>
          </cell>
          <cell r="B2224" t="str">
            <v>MPLF CAPACITY 1.01-2.00</v>
          </cell>
        </row>
        <row r="2225">
          <cell r="A2225" t="str">
            <v>MPLF-T6</v>
          </cell>
          <cell r="B2225" t="str">
            <v>MPLF CAPACITY 2.01-4.00</v>
          </cell>
        </row>
        <row r="2226">
          <cell r="A2226" t="str">
            <v>MPLF-T7</v>
          </cell>
          <cell r="B2226" t="str">
            <v>MPLF CAPACITY 4.01-6.00</v>
          </cell>
        </row>
        <row r="2227">
          <cell r="A2227" t="str">
            <v>MPLF-T8</v>
          </cell>
          <cell r="B2227" t="str">
            <v>MPLF CAPACITY 6.01-8.00</v>
          </cell>
        </row>
        <row r="2228">
          <cell r="A2228" t="str">
            <v>MPLF-T9</v>
          </cell>
          <cell r="B2228" t="str">
            <v>MPLF CAPACITY 8.01-10.00</v>
          </cell>
        </row>
        <row r="2229">
          <cell r="A2229" t="str">
            <v>MPLLF-T1</v>
          </cell>
          <cell r="B2229" t="str">
            <v>MPLLF CAPACITY 0-.250</v>
          </cell>
        </row>
        <row r="2230">
          <cell r="A2230" t="str">
            <v>MPLLF-T10</v>
          </cell>
          <cell r="B2230" t="str">
            <v>MPLLF CAPACITY 10.01-12.00</v>
          </cell>
        </row>
        <row r="2231">
          <cell r="A2231" t="str">
            <v>MPLLF-T11</v>
          </cell>
          <cell r="B2231" t="str">
            <v>MPLLF CAPACITY 12.01-14.00</v>
          </cell>
        </row>
        <row r="2232">
          <cell r="A2232" t="str">
            <v>MPLLF-T12</v>
          </cell>
          <cell r="B2232" t="str">
            <v>MPLLF CAPACITY 14.01-And Above</v>
          </cell>
        </row>
        <row r="2233">
          <cell r="A2233" t="str">
            <v>MPLLF-T2</v>
          </cell>
          <cell r="B2233" t="str">
            <v>MPLLF CAPACITY .251-.500</v>
          </cell>
        </row>
        <row r="2234">
          <cell r="A2234" t="str">
            <v>MPLLF-T3</v>
          </cell>
          <cell r="B2234" t="str">
            <v>MPLLF CAPACITY .501-.750</v>
          </cell>
        </row>
        <row r="2235">
          <cell r="A2235" t="str">
            <v>MPLLF-T4</v>
          </cell>
          <cell r="B2235" t="str">
            <v>MPLLF CAPACITY .751-1.00</v>
          </cell>
        </row>
        <row r="2236">
          <cell r="A2236" t="str">
            <v>MPLLF-T5</v>
          </cell>
          <cell r="B2236" t="str">
            <v>MPLLF CAPACITY 1.01-2.00</v>
          </cell>
        </row>
        <row r="2237">
          <cell r="A2237" t="str">
            <v>MPLLF-T6</v>
          </cell>
          <cell r="B2237" t="str">
            <v>MPLLF CAPACITY 2.01-4.00</v>
          </cell>
        </row>
        <row r="2238">
          <cell r="A2238" t="str">
            <v>MPLLF-T7</v>
          </cell>
          <cell r="B2238" t="str">
            <v>MPLLF CAPACITY 4.01-6.00</v>
          </cell>
        </row>
        <row r="2239">
          <cell r="A2239" t="str">
            <v>MPLLF-T8</v>
          </cell>
          <cell r="B2239" t="str">
            <v>MPLLF CAPACITY 6.01-8.00</v>
          </cell>
        </row>
        <row r="2240">
          <cell r="A2240" t="str">
            <v>MPLLF-T9</v>
          </cell>
          <cell r="B2240" t="str">
            <v>MPLLF CAPACITY 8.01-10.00</v>
          </cell>
        </row>
        <row r="2241">
          <cell r="A2241" t="str">
            <v>OPTUPT1-4</v>
          </cell>
          <cell r="B2241" t="str">
            <v>ECC OPT UPGRADE T1-T4</v>
          </cell>
        </row>
        <row r="2242">
          <cell r="A2242" t="str">
            <v>OPTUPT5-12</v>
          </cell>
          <cell r="B2242" t="str">
            <v>ECC OPT UPGRADE T5-T12</v>
          </cell>
        </row>
        <row r="2243">
          <cell r="A2243" t="str">
            <v>PKGUPT1-4</v>
          </cell>
          <cell r="B2243" t="str">
            <v>ECC PKG UPGRADE T1-T4</v>
          </cell>
        </row>
        <row r="2244">
          <cell r="A2244" t="str">
            <v>PKGUPT5-12</v>
          </cell>
          <cell r="B2244" t="str">
            <v>ECC PKG UPGRADE T5-T12</v>
          </cell>
        </row>
        <row r="2245">
          <cell r="A2245" t="str">
            <v>PP-LX-KIT</v>
          </cell>
          <cell r="B2245" t="str">
            <v>POWERPATH LINUX KIT</v>
          </cell>
        </row>
        <row r="2246">
          <cell r="A2246" t="str">
            <v>PP-NW-KIT</v>
          </cell>
          <cell r="B2246" t="str">
            <v>POWERPATH NETWARE KIT</v>
          </cell>
        </row>
        <row r="2247">
          <cell r="A2247" t="str">
            <v>PP-SI-KIT</v>
          </cell>
          <cell r="B2247" t="str">
            <v>POWERPATH SIEMENS KIT</v>
          </cell>
        </row>
        <row r="2248">
          <cell r="A2248" t="str">
            <v>PP-UX-KIT</v>
          </cell>
          <cell r="B2248" t="str">
            <v>POWERPATH UNIX KIT</v>
          </cell>
        </row>
        <row r="2249">
          <cell r="A2249" t="str">
            <v>PP-WN-KIT</v>
          </cell>
          <cell r="B2249" t="str">
            <v>POWERPATH WINDOWS KIT</v>
          </cell>
        </row>
        <row r="2250">
          <cell r="A2250" t="str">
            <v>PPEN-LX-DP</v>
          </cell>
          <cell r="B2250" t="str">
            <v>PPATH ENT LINUX DEP</v>
          </cell>
        </row>
        <row r="2251">
          <cell r="A2251" t="str">
            <v>PPEN-LX-EN</v>
          </cell>
          <cell r="B2251" t="str">
            <v>PPATH ENT LINUX ENT</v>
          </cell>
        </row>
        <row r="2252">
          <cell r="A2252" t="str">
            <v>PPEN-LX-WG</v>
          </cell>
          <cell r="B2252" t="str">
            <v>PPATH ENT LINUX WGR</v>
          </cell>
        </row>
        <row r="2253">
          <cell r="A2253" t="str">
            <v>PPEN-NW-DP</v>
          </cell>
          <cell r="B2253" t="str">
            <v>PPATH ENT NETWARE DEP</v>
          </cell>
        </row>
        <row r="2254">
          <cell r="A2254" t="str">
            <v>PPEN-NW-EN</v>
          </cell>
          <cell r="B2254" t="str">
            <v>PPATH ENT NETWARE ENT</v>
          </cell>
        </row>
        <row r="2255">
          <cell r="A2255" t="str">
            <v>PPEN-NW-WG</v>
          </cell>
          <cell r="B2255" t="str">
            <v>PPATH ENT NETWARE WGR</v>
          </cell>
        </row>
        <row r="2256">
          <cell r="A2256" t="str">
            <v>PPEN-SI-DP</v>
          </cell>
          <cell r="B2256" t="str">
            <v>PPATH ENT SIEMENS DEP</v>
          </cell>
        </row>
        <row r="2257">
          <cell r="A2257" t="str">
            <v>PPEN-SI-EN</v>
          </cell>
          <cell r="B2257" t="str">
            <v>PPATH ENT SIEMENS ENT</v>
          </cell>
        </row>
        <row r="2258">
          <cell r="A2258" t="str">
            <v>PPEN-SI-GB</v>
          </cell>
          <cell r="B2258" t="str">
            <v>PPATH ENT SIEMENS GLB</v>
          </cell>
        </row>
        <row r="2259">
          <cell r="A2259" t="str">
            <v>PPEN-SI-WG</v>
          </cell>
          <cell r="B2259" t="str">
            <v>PPATH ENT SIEMENS WGR</v>
          </cell>
        </row>
        <row r="2260">
          <cell r="A2260" t="str">
            <v>PPEN-UX-DP</v>
          </cell>
          <cell r="B2260" t="str">
            <v>PPATH ENT UNIX DEP</v>
          </cell>
        </row>
        <row r="2261">
          <cell r="A2261" t="str">
            <v>PPEN-UX-EN</v>
          </cell>
          <cell r="B2261" t="str">
            <v>PPATH ENT UNIX ENT</v>
          </cell>
        </row>
        <row r="2262">
          <cell r="A2262" t="str">
            <v>PPEN-UX-GB</v>
          </cell>
          <cell r="B2262" t="str">
            <v>PPATH ENT UNIX GLB</v>
          </cell>
        </row>
        <row r="2263">
          <cell r="A2263" t="str">
            <v>PPEN-UX-WG</v>
          </cell>
          <cell r="B2263" t="str">
            <v>PPATH ENT UNIX WGR</v>
          </cell>
        </row>
        <row r="2264">
          <cell r="A2264" t="str">
            <v>PPEN-WN-DP</v>
          </cell>
          <cell r="B2264" t="str">
            <v>PPATH ENT WINDOWS DEP</v>
          </cell>
        </row>
        <row r="2265">
          <cell r="A2265" t="str">
            <v>PPEN-WN-EN</v>
          </cell>
          <cell r="B2265" t="str">
            <v>PPATH ENT WINDOWS ENT</v>
          </cell>
        </row>
        <row r="2266">
          <cell r="A2266" t="str">
            <v>PPEN-WN-WG</v>
          </cell>
          <cell r="B2266" t="str">
            <v>PPATH ENT WINDOWS WGR</v>
          </cell>
        </row>
        <row r="2267">
          <cell r="A2267" t="str">
            <v>RM-ORA-OPNDP</v>
          </cell>
          <cell r="B2267" t="str">
            <v>RM ORACLE/UNIX FS: DP</v>
          </cell>
        </row>
        <row r="2268">
          <cell r="A2268" t="str">
            <v>RM-ORA-OPNEN</v>
          </cell>
          <cell r="B2268" t="str">
            <v>RM ORACLE/UNIX FS: EN</v>
          </cell>
        </row>
        <row r="2269">
          <cell r="A2269" t="str">
            <v>RM-ORA-OPNGL</v>
          </cell>
          <cell r="B2269" t="str">
            <v>RM ORACLE/UNIX FS: GL</v>
          </cell>
        </row>
        <row r="2270">
          <cell r="A2270" t="str">
            <v>RM-ORA-OPNWG</v>
          </cell>
          <cell r="B2270" t="str">
            <v>RM ORACLE/UNIX FS: WG</v>
          </cell>
        </row>
        <row r="2271">
          <cell r="A2271" t="str">
            <v>RM-SQLS-DP</v>
          </cell>
          <cell r="B2271" t="str">
            <v>RM SQL 2000/NTFS: DP</v>
          </cell>
        </row>
        <row r="2272">
          <cell r="A2272" t="str">
            <v>RM-SQLS-EN</v>
          </cell>
          <cell r="B2272" t="str">
            <v>RM SQL 2000/NTFS: EN</v>
          </cell>
        </row>
        <row r="2273">
          <cell r="A2273" t="str">
            <v>RM-SQLS-WG</v>
          </cell>
          <cell r="B2273" t="str">
            <v>RM SQL 2000/NTFS: WG</v>
          </cell>
        </row>
        <row r="2274">
          <cell r="A2274" t="str">
            <v>RM-SRV-DP</v>
          </cell>
          <cell r="B2274" t="str">
            <v>RM SERVER AND UI: DP</v>
          </cell>
        </row>
        <row r="2275">
          <cell r="A2275" t="str">
            <v>RM-SRV-EN</v>
          </cell>
          <cell r="B2275" t="str">
            <v>RM SERVER AND IU: EN</v>
          </cell>
        </row>
        <row r="2276">
          <cell r="A2276" t="str">
            <v>RM-SRV-GL</v>
          </cell>
          <cell r="B2276" t="str">
            <v>RM SERVER AND UI: GL</v>
          </cell>
        </row>
        <row r="2277">
          <cell r="A2277" t="str">
            <v>RM-SRV-WG</v>
          </cell>
          <cell r="B2277" t="str">
            <v>RM SERVER AND UI: WG</v>
          </cell>
        </row>
        <row r="2278">
          <cell r="A2278" t="str">
            <v>RPAK-S390-BAS</v>
          </cell>
          <cell r="B2278" t="str">
            <v>RESPAK FOR S/390 BASE</v>
          </cell>
        </row>
        <row r="2279">
          <cell r="A2279" t="str">
            <v>RPAK-S390-EXT</v>
          </cell>
          <cell r="B2279" t="str">
            <v>RESPAK FOR S/390 EXTENDED</v>
          </cell>
        </row>
        <row r="2280">
          <cell r="A2280" t="str">
            <v>RPK-WIN-T1</v>
          </cell>
          <cell r="B2280" t="str">
            <v>RESPAK CPCTY 0-.250</v>
          </cell>
        </row>
        <row r="2281">
          <cell r="A2281" t="str">
            <v>RPK-WIN-T10</v>
          </cell>
          <cell r="B2281" t="str">
            <v>RESPAK CPCTY 10.01-12.00</v>
          </cell>
        </row>
        <row r="2282">
          <cell r="A2282" t="str">
            <v>RPK-WIN-T11</v>
          </cell>
          <cell r="B2282" t="str">
            <v>RESPAK CPCTY 12.01-14.00</v>
          </cell>
        </row>
        <row r="2283">
          <cell r="A2283" t="str">
            <v>RPK-WIN-T12</v>
          </cell>
          <cell r="B2283" t="str">
            <v>RESPAK CPCTY 14.01-ABOVE</v>
          </cell>
        </row>
        <row r="2284">
          <cell r="A2284" t="str">
            <v>RPK-WIN-T2</v>
          </cell>
          <cell r="B2284" t="str">
            <v>RESPAK CPCTY .251-.500</v>
          </cell>
        </row>
        <row r="2285">
          <cell r="A2285" t="str">
            <v>RPK-WIN-T3</v>
          </cell>
          <cell r="B2285" t="str">
            <v>RESPAK CPCTY .501 - .750</v>
          </cell>
        </row>
        <row r="2286">
          <cell r="A2286" t="str">
            <v>RPK-WIN-T4</v>
          </cell>
          <cell r="B2286" t="str">
            <v>RESPAK CPCTY .751 - 1.00</v>
          </cell>
        </row>
        <row r="2287">
          <cell r="A2287" t="str">
            <v>RPK-WIN-T5</v>
          </cell>
          <cell r="B2287" t="str">
            <v>RESPAK CPCTY 1.01 - 2.00</v>
          </cell>
        </row>
        <row r="2288">
          <cell r="A2288" t="str">
            <v>RPK-WIN-T6</v>
          </cell>
          <cell r="B2288" t="str">
            <v>RESPAK CPCTY 2.01 - 4.00</v>
          </cell>
        </row>
        <row r="2289">
          <cell r="A2289" t="str">
            <v>RPK-WIN-T7</v>
          </cell>
          <cell r="B2289" t="str">
            <v>RESPAK CPCTY 4.01 - 6.00</v>
          </cell>
        </row>
        <row r="2290">
          <cell r="A2290" t="str">
            <v>RPK-WIN-T8</v>
          </cell>
          <cell r="B2290" t="str">
            <v>RESPAK CPCTY 6.01 - 8.00</v>
          </cell>
        </row>
        <row r="2291">
          <cell r="A2291" t="str">
            <v>RPK-WIN-T9</v>
          </cell>
          <cell r="B2291" t="str">
            <v>RESPAK CPCTY 8.01 - 10.00</v>
          </cell>
        </row>
        <row r="2292">
          <cell r="A2292" t="str">
            <v>RPW-T1-4UPG</v>
          </cell>
          <cell r="B2292" t="str">
            <v>RESPAK T1-T4 UPGRADE</v>
          </cell>
        </row>
        <row r="2293">
          <cell r="A2293" t="str">
            <v>RPW-T5-12UPG</v>
          </cell>
          <cell r="B2293" t="str">
            <v>RESPAK T5-T12 UPGRADE</v>
          </cell>
        </row>
        <row r="2294">
          <cell r="A2294" t="str">
            <v>SDM-CONV</v>
          </cell>
          <cell r="B2294" t="str">
            <v>SDMS PARALLEL CONV KIT</v>
          </cell>
        </row>
        <row r="2295">
          <cell r="A2295" t="str">
            <v>SDM-SVCS</v>
          </cell>
          <cell r="B2295" t="str">
            <v>SYM DATA MIGR.SERVICE</v>
          </cell>
        </row>
        <row r="2296">
          <cell r="A2296" t="str">
            <v>SDM-T1</v>
          </cell>
          <cell r="B2296" t="str">
            <v>SDM CAPACITY 0-.250</v>
          </cell>
        </row>
        <row r="2297">
          <cell r="A2297" t="str">
            <v>SDM-T10</v>
          </cell>
          <cell r="B2297" t="str">
            <v>SDM CAPACITY 10.01-12.00</v>
          </cell>
        </row>
        <row r="2298">
          <cell r="A2298" t="str">
            <v>SDM-T11</v>
          </cell>
          <cell r="B2298" t="str">
            <v>SDM CAPACITY 12.01-14.00</v>
          </cell>
        </row>
        <row r="2299">
          <cell r="A2299" t="str">
            <v>SDM-T12</v>
          </cell>
          <cell r="B2299" t="str">
            <v>SDM CAPACITY 14.01-And Above</v>
          </cell>
        </row>
        <row r="2300">
          <cell r="A2300" t="str">
            <v>SDM-T2</v>
          </cell>
          <cell r="B2300" t="str">
            <v>SDM CAPACITY .251-.500</v>
          </cell>
        </row>
        <row r="2301">
          <cell r="A2301" t="str">
            <v>SDM-T3</v>
          </cell>
          <cell r="B2301" t="str">
            <v>SDM CAPACITY .501-.750</v>
          </cell>
        </row>
        <row r="2302">
          <cell r="A2302" t="str">
            <v>SDM-T4</v>
          </cell>
          <cell r="B2302" t="str">
            <v>SDM CAPACITY .751-1.00</v>
          </cell>
        </row>
        <row r="2303">
          <cell r="A2303" t="str">
            <v>SDM-T5</v>
          </cell>
          <cell r="B2303" t="str">
            <v>SDM CAPACITY 1.01-2.00</v>
          </cell>
        </row>
        <row r="2304">
          <cell r="A2304" t="str">
            <v>SDM-T6</v>
          </cell>
          <cell r="B2304" t="str">
            <v>SDM CAPACITY 2.01-4.00</v>
          </cell>
        </row>
        <row r="2305">
          <cell r="A2305" t="str">
            <v>SDM-T7</v>
          </cell>
          <cell r="B2305" t="str">
            <v>SDM CAPACITY 4.01-6.00</v>
          </cell>
        </row>
        <row r="2306">
          <cell r="A2306" t="str">
            <v>SDM-T8</v>
          </cell>
          <cell r="B2306" t="str">
            <v>SDM CAPACITY 6.01-8.00</v>
          </cell>
        </row>
        <row r="2307">
          <cell r="A2307" t="str">
            <v>SDM-T9</v>
          </cell>
          <cell r="B2307" t="str">
            <v>SDM CAPACITY 8.01-10.00</v>
          </cell>
        </row>
        <row r="2308">
          <cell r="A2308" t="str">
            <v>SE-BMC-BACKUP</v>
          </cell>
          <cell r="B2308" t="str">
            <v>BACKUP ENABLER:  BMC</v>
          </cell>
        </row>
        <row r="2309">
          <cell r="A2309" t="str">
            <v>SE-CA-BACKUP</v>
          </cell>
          <cell r="B2309" t="str">
            <v>BACKUP ENABLER: CA</v>
          </cell>
        </row>
        <row r="2310">
          <cell r="A2310" t="str">
            <v>SE-CMG-BACKUP</v>
          </cell>
          <cell r="B2310" t="str">
            <v>BACKUP ENABLER:  COMVAULT</v>
          </cell>
        </row>
        <row r="2311">
          <cell r="A2311" t="str">
            <v>SE-HP-BACKUP</v>
          </cell>
          <cell r="B2311" t="str">
            <v>BACKUP ENABLER:  HP</v>
          </cell>
        </row>
        <row r="2312">
          <cell r="A2312" t="str">
            <v>SE-LGT-BACKUP</v>
          </cell>
          <cell r="B2312" t="str">
            <v>BACKUP ENABLER:  LEGATO</v>
          </cell>
        </row>
        <row r="2313">
          <cell r="A2313" t="str">
            <v>SE-QRT-BACKUP</v>
          </cell>
          <cell r="B2313" t="str">
            <v>BACKUP ENABLER:  QUADRATEC</v>
          </cell>
        </row>
        <row r="2314">
          <cell r="A2314" t="str">
            <v>SE-TSM-BACKUP</v>
          </cell>
          <cell r="B2314" t="str">
            <v>BACKUP ENABLER:  TIVOLI</v>
          </cell>
        </row>
        <row r="2315">
          <cell r="A2315" t="str">
            <v>SE-VRT-BACKUP</v>
          </cell>
          <cell r="B2315" t="str">
            <v>BACKUP ENABLER;  VERITAS</v>
          </cell>
        </row>
        <row r="2316">
          <cell r="A2316" t="str">
            <v>SGRUPT1-4</v>
          </cell>
          <cell r="B2316" t="str">
            <v>ECC SGR UPGRADE T1-T4</v>
          </cell>
        </row>
        <row r="2317">
          <cell r="A2317" t="str">
            <v>SGRUPT5-12</v>
          </cell>
          <cell r="B2317" t="str">
            <v>ECC SGR UPGRADE T5-T12</v>
          </cell>
        </row>
        <row r="2318">
          <cell r="A2318" t="str">
            <v>SRDF-DM-T1</v>
          </cell>
          <cell r="B2318" t="str">
            <v>DM CPCTY 0-.250</v>
          </cell>
        </row>
        <row r="2319">
          <cell r="A2319" t="str">
            <v>SRDF-DM-T10</v>
          </cell>
          <cell r="B2319" t="str">
            <v>DM CPCTY 10.01-12.00</v>
          </cell>
        </row>
        <row r="2320">
          <cell r="A2320" t="str">
            <v>SRDF-DM-T11</v>
          </cell>
          <cell r="B2320" t="str">
            <v>DM CPCTY 12.01-14.00</v>
          </cell>
        </row>
        <row r="2321">
          <cell r="A2321" t="str">
            <v>SRDF-DM-T12</v>
          </cell>
          <cell r="B2321" t="str">
            <v>DM CPCTY 14.01-And Above</v>
          </cell>
        </row>
        <row r="2322">
          <cell r="A2322" t="str">
            <v>SRDF-DM-T2</v>
          </cell>
          <cell r="B2322" t="str">
            <v>DM CPCTY .251-.500</v>
          </cell>
        </row>
        <row r="2323">
          <cell r="A2323" t="str">
            <v>SRDF-DM-T3</v>
          </cell>
          <cell r="B2323" t="str">
            <v>DM CPCTY .501-.750</v>
          </cell>
        </row>
        <row r="2324">
          <cell r="A2324" t="str">
            <v>SRDF-DM-T4</v>
          </cell>
          <cell r="B2324" t="str">
            <v>DM CPCTY .751-1.00</v>
          </cell>
        </row>
        <row r="2325">
          <cell r="A2325" t="str">
            <v>SRDF-DM-T5</v>
          </cell>
          <cell r="B2325" t="str">
            <v>DM CPCTY 1.01-2.00</v>
          </cell>
        </row>
        <row r="2326">
          <cell r="A2326" t="str">
            <v>SRDF-DM-T6</v>
          </cell>
          <cell r="B2326" t="str">
            <v>DM CPCTY 2.01-4.00</v>
          </cell>
        </row>
        <row r="2327">
          <cell r="A2327" t="str">
            <v>SRDF-DM-T7</v>
          </cell>
          <cell r="B2327" t="str">
            <v>DM CPCTY 4.01-6.00</v>
          </cell>
        </row>
        <row r="2328">
          <cell r="A2328" t="str">
            <v>SRDF-DM-T8</v>
          </cell>
          <cell r="B2328" t="str">
            <v>DM CPCTY 6.01-8.00</v>
          </cell>
        </row>
        <row r="2329">
          <cell r="A2329" t="str">
            <v>SRDF-DM-T9</v>
          </cell>
          <cell r="B2329" t="str">
            <v>DM CPCTY 8.01-10.00</v>
          </cell>
        </row>
        <row r="2330">
          <cell r="A2330" t="str">
            <v>SRDF-HP-MC</v>
          </cell>
          <cell r="B2330" t="str">
            <v>SRDF HP METRO CLUSTER</v>
          </cell>
        </row>
        <row r="2331">
          <cell r="A2331" t="str">
            <v>SRDF-RUN-AS4</v>
          </cell>
          <cell r="B2331" t="str">
            <v>SRDF AS4 RUNTIME NO CHRG</v>
          </cell>
        </row>
        <row r="2332">
          <cell r="A2332" t="str">
            <v>SRDF-RUN-MFCG</v>
          </cell>
          <cell r="B2332" t="str">
            <v>SRDF MFCG RUNTIME NO CHRG</v>
          </cell>
        </row>
        <row r="2333">
          <cell r="A2333" t="str">
            <v>SRDF-RUN-MSP</v>
          </cell>
          <cell r="B2333" t="str">
            <v>SRDF MSP RUNTIME NO CHRG</v>
          </cell>
        </row>
        <row r="2334">
          <cell r="A2334" t="str">
            <v>SRDF-RUN-OPEN</v>
          </cell>
          <cell r="B2334" t="str">
            <v>SRDF OPEN RUNTIME NO CHRG</v>
          </cell>
        </row>
        <row r="2335">
          <cell r="A2335" t="str">
            <v>SRDF-RUN-S390</v>
          </cell>
          <cell r="B2335" t="str">
            <v>SRDF S390 RUNTIME NO CHRG</v>
          </cell>
        </row>
        <row r="2336">
          <cell r="A2336" t="str">
            <v>SRDF-RUN-TPF</v>
          </cell>
          <cell r="B2336" t="str">
            <v>SRDF TPF RUNTIME NO CHRG</v>
          </cell>
        </row>
        <row r="2337">
          <cell r="A2337" t="str">
            <v>SRDF-RUN-VOS</v>
          </cell>
          <cell r="B2337" t="str">
            <v>SRDF VOS RUNTIME NO CHRG</v>
          </cell>
        </row>
        <row r="2338">
          <cell r="A2338" t="str">
            <v>SRDF-T1</v>
          </cell>
          <cell r="B2338" t="str">
            <v>SRDF CAPACITY 0-.250</v>
          </cell>
        </row>
        <row r="2339">
          <cell r="A2339" t="str">
            <v>SRDF-T1-4UP</v>
          </cell>
          <cell r="B2339" t="str">
            <v>SRDF T1-T4 UPGRADE</v>
          </cell>
        </row>
        <row r="2340">
          <cell r="A2340" t="str">
            <v>SRDF-T10</v>
          </cell>
          <cell r="B2340" t="str">
            <v>SRDF CAPACITY 10.01-12.00</v>
          </cell>
        </row>
        <row r="2341">
          <cell r="A2341" t="str">
            <v>SRDF-T11</v>
          </cell>
          <cell r="B2341" t="str">
            <v>SRDF CAPACITY 12.01-14.00</v>
          </cell>
        </row>
        <row r="2342">
          <cell r="A2342" t="str">
            <v>SRDF-T12</v>
          </cell>
          <cell r="B2342" t="str">
            <v>SRDF CAPACITY 14.01-And Ab ove</v>
          </cell>
        </row>
        <row r="2343">
          <cell r="A2343" t="str">
            <v>SRDF-T2</v>
          </cell>
          <cell r="B2343" t="str">
            <v>SRDF CAPACITY .251-500</v>
          </cell>
        </row>
        <row r="2344">
          <cell r="A2344" t="str">
            <v>SRDF-T3</v>
          </cell>
          <cell r="B2344" t="str">
            <v>SRDF CAPACITY .501-.750</v>
          </cell>
        </row>
        <row r="2345">
          <cell r="A2345" t="str">
            <v>SRDF-T4</v>
          </cell>
          <cell r="B2345" t="str">
            <v>SRDF CAPACITY .751-1.00</v>
          </cell>
        </row>
        <row r="2346">
          <cell r="A2346" t="str">
            <v>SRDF-T5</v>
          </cell>
          <cell r="B2346" t="str">
            <v>SRDF CAPACITY 1.01-2.00</v>
          </cell>
        </row>
        <row r="2347">
          <cell r="A2347" t="str">
            <v>SRDF-T5-12UP</v>
          </cell>
          <cell r="B2347" t="str">
            <v>SRDF T5-T12 UPGRADE</v>
          </cell>
        </row>
        <row r="2348">
          <cell r="A2348" t="str">
            <v>SRDF-T6</v>
          </cell>
          <cell r="B2348" t="str">
            <v>SRDF CAPACITY 2.01-4.00</v>
          </cell>
        </row>
        <row r="2349">
          <cell r="A2349" t="str">
            <v>SRDF-T7</v>
          </cell>
          <cell r="B2349" t="str">
            <v>SRDF CAPACITY 4.01-6.00</v>
          </cell>
        </row>
        <row r="2350">
          <cell r="A2350" t="str">
            <v>SRDF-T8</v>
          </cell>
          <cell r="B2350" t="str">
            <v>SRDF CAPACITY 6.01-8.00</v>
          </cell>
        </row>
        <row r="2351">
          <cell r="A2351" t="str">
            <v>SRDF-T9</v>
          </cell>
          <cell r="B2351" t="str">
            <v>SRDF CAPACITY 8.01-10.00</v>
          </cell>
        </row>
        <row r="2352">
          <cell r="A2352" t="str">
            <v>STMUPT1-4</v>
          </cell>
          <cell r="B2352" t="str">
            <v>ECC STM UPGRADE T1-T4</v>
          </cell>
        </row>
        <row r="2353">
          <cell r="A2353" t="str">
            <v>STMUPT5-12</v>
          </cell>
          <cell r="B2353" t="str">
            <v>ECC STM UPGRADE T5-T12</v>
          </cell>
        </row>
        <row r="2354">
          <cell r="A2354" t="str">
            <v>TF-RUN-AS4</v>
          </cell>
          <cell r="B2354" t="str">
            <v>TF AS4 RUNTIME NO CHRG</v>
          </cell>
        </row>
        <row r="2355">
          <cell r="A2355" t="str">
            <v>TF-RUN-MSP</v>
          </cell>
          <cell r="B2355" t="str">
            <v>TF MSP RUNTIME NO CHRG</v>
          </cell>
        </row>
        <row r="2356">
          <cell r="A2356" t="str">
            <v>TF-RUN-OPEN</v>
          </cell>
          <cell r="B2356" t="str">
            <v>TF OPEN RUNTIME NO CHRG</v>
          </cell>
        </row>
        <row r="2357">
          <cell r="A2357" t="str">
            <v>TF-RUN-S390</v>
          </cell>
          <cell r="B2357" t="str">
            <v>TF S390 RUNTIME NO CHRG</v>
          </cell>
        </row>
        <row r="2358">
          <cell r="A2358" t="str">
            <v>TF-RUN-TPF</v>
          </cell>
          <cell r="B2358" t="str">
            <v>TF TPF RUNTIME NO CHRG</v>
          </cell>
        </row>
        <row r="2359">
          <cell r="A2359" t="str">
            <v>TF-RUN-VOS</v>
          </cell>
          <cell r="B2359" t="str">
            <v>TF VOS RUNTIME NO CHRG</v>
          </cell>
        </row>
        <row r="2360">
          <cell r="A2360" t="str">
            <v>TF-T1</v>
          </cell>
          <cell r="B2360" t="str">
            <v>TF CAPACITY 0-.250</v>
          </cell>
        </row>
        <row r="2361">
          <cell r="A2361" t="str">
            <v>TF-T1-4UP</v>
          </cell>
          <cell r="B2361" t="str">
            <v>TF T1-T4 UPGRADE</v>
          </cell>
        </row>
        <row r="2362">
          <cell r="A2362" t="str">
            <v>TF-T10</v>
          </cell>
          <cell r="B2362" t="str">
            <v>TF CAPACITY 10.00-12.00</v>
          </cell>
        </row>
        <row r="2363">
          <cell r="A2363" t="str">
            <v>TF-T11</v>
          </cell>
          <cell r="B2363" t="str">
            <v>TF CAPACITY 12.01-14.00</v>
          </cell>
        </row>
        <row r="2364">
          <cell r="A2364" t="str">
            <v>TF-T12</v>
          </cell>
          <cell r="B2364" t="str">
            <v>TF CAPACITY 14.01-And Above</v>
          </cell>
        </row>
        <row r="2365">
          <cell r="A2365" t="str">
            <v>TF-T2</v>
          </cell>
          <cell r="B2365" t="str">
            <v>TF CAPACITY .251-.500</v>
          </cell>
        </row>
        <row r="2366">
          <cell r="A2366" t="str">
            <v>TF-T3</v>
          </cell>
          <cell r="B2366" t="str">
            <v>TF CAPACITY .501-.750</v>
          </cell>
        </row>
        <row r="2367">
          <cell r="A2367" t="str">
            <v>TF-T4</v>
          </cell>
          <cell r="B2367" t="str">
            <v>TF CAPACITY .751-1.00</v>
          </cell>
        </row>
        <row r="2368">
          <cell r="A2368" t="str">
            <v>TF-T5</v>
          </cell>
          <cell r="B2368" t="str">
            <v>TF CAPACITY 1.01-2.00</v>
          </cell>
        </row>
        <row r="2369">
          <cell r="A2369" t="str">
            <v>TF-T5-12UP</v>
          </cell>
          <cell r="B2369" t="str">
            <v>TF T5-T12 UPGRADE</v>
          </cell>
        </row>
        <row r="2370">
          <cell r="A2370" t="str">
            <v>TF-T6</v>
          </cell>
          <cell r="B2370" t="str">
            <v>TF CAPACITY 2.01-4.00</v>
          </cell>
        </row>
        <row r="2371">
          <cell r="A2371" t="str">
            <v>TF-T7</v>
          </cell>
          <cell r="B2371" t="str">
            <v>TF CAPACITY 4.01-6.00</v>
          </cell>
        </row>
        <row r="2372">
          <cell r="A2372" t="str">
            <v>TF-T8</v>
          </cell>
          <cell r="B2372" t="str">
            <v>TF CAPACITY 6.01-8.00</v>
          </cell>
        </row>
        <row r="2373">
          <cell r="A2373" t="str">
            <v>TF-T9</v>
          </cell>
          <cell r="B2373" t="str">
            <v>TF CAPACITY 8.01-10.00</v>
          </cell>
        </row>
        <row r="2374">
          <cell r="A2374" t="str">
            <v>VLGX-ESN-UPG</v>
          </cell>
          <cell r="B2374" t="str">
            <v>VOL LOGIX TO ESN MGR UPG</v>
          </cell>
        </row>
        <row r="2375">
          <cell r="A2375" t="str">
            <v>VLGX-T1-4UP</v>
          </cell>
          <cell r="B2375" t="str">
            <v>VLGX MGR T1-T4 UPGRADE</v>
          </cell>
        </row>
        <row r="2376">
          <cell r="A2376" t="str">
            <v>VLGX-T5-12UP</v>
          </cell>
          <cell r="B2376" t="str">
            <v>VLGX MGR T5-T12 UPGRADE</v>
          </cell>
        </row>
        <row r="2377">
          <cell r="A2377" t="str">
            <v>WLAUPT1-4</v>
          </cell>
          <cell r="B2377" t="str">
            <v>ECC WLA UPGRADE T1-T4</v>
          </cell>
        </row>
        <row r="2378">
          <cell r="A2378" t="str">
            <v>WLAUPT5-12</v>
          </cell>
          <cell r="B2378" t="str">
            <v>ECC WLA UPGRADE T5-T12</v>
          </cell>
        </row>
        <row r="2379">
          <cell r="A2379" t="str">
            <v>3031-18S3</v>
          </cell>
          <cell r="B2379" t="str">
            <v>SYM 3031 54.3GB RAIDS</v>
          </cell>
        </row>
        <row r="2380">
          <cell r="A2380" t="str">
            <v>PS-CFS-PM</v>
          </cell>
          <cell r="B2380" t="str">
            <v>FILE SERVER DESIGN/IMPLEM</v>
          </cell>
        </row>
        <row r="2381">
          <cell r="A2381" t="str">
            <v>PS-CFSPCSE-PM</v>
          </cell>
          <cell r="B2381" t="str">
            <v>PRECONFIG CFS-SE IMPL SVC</v>
          </cell>
        </row>
        <row r="2382">
          <cell r="A2382" t="str">
            <v>PS-CUS-CDMS</v>
          </cell>
          <cell r="B2382" t="str">
            <v>CELERRA DMS</v>
          </cell>
        </row>
        <row r="2383">
          <cell r="A2383" t="str">
            <v>PS-LVL1-CAVA</v>
          </cell>
          <cell r="B2383" t="str">
            <v>Celerra Antivirus Installation</v>
          </cell>
        </row>
        <row r="2384">
          <cell r="A2384" t="str">
            <v>MSG-CON-SVC</v>
          </cell>
          <cell r="B2384" t="str">
            <v>MSG CONSULTING SERVICES</v>
          </cell>
        </row>
        <row r="2385">
          <cell r="A2385" t="str">
            <v>MSG-DIR-A</v>
          </cell>
          <cell r="B2385" t="str">
            <v>RPL 1OR2 CACHE BD W/CHNDR</v>
          </cell>
        </row>
        <row r="2386">
          <cell r="A2386" t="str">
            <v>MSG-ENG-SVC</v>
          </cell>
          <cell r="B2386" t="str">
            <v>MSG ENGINEERING SERVICES</v>
          </cell>
        </row>
        <row r="2387">
          <cell r="A2387" t="str">
            <v>MSG-INT-SVC</v>
          </cell>
          <cell r="B2387" t="str">
            <v>MSG INTEGRATION SERVICES</v>
          </cell>
        </row>
        <row r="2388">
          <cell r="A2388" t="str">
            <v>PS-CUS-IP4700</v>
          </cell>
          <cell r="B2388" t="str">
            <v>PS CUS SVC IP4700 INTEGRATION</v>
          </cell>
        </row>
        <row r="2389">
          <cell r="A2389" t="str">
            <v>PS-PK-CMLTI16</v>
          </cell>
          <cell r="B2389" t="str">
            <v>PROF SVCS 16PT ACCESS-LGX</v>
          </cell>
        </row>
        <row r="2390">
          <cell r="A2390" t="str">
            <v>PS-PK-CMLTI8</v>
          </cell>
          <cell r="B2390" t="str">
            <v>PROF SVCS 8PT ACCESS-LGX</v>
          </cell>
        </row>
        <row r="2391">
          <cell r="A2391" t="str">
            <v>PSPK-MIRR</v>
          </cell>
          <cell r="B2391" t="str">
            <v>PS FC4700 MIRRORVIEW IMP</v>
          </cell>
        </row>
        <row r="2392">
          <cell r="A2392" t="str">
            <v>PSPK-SNAP</v>
          </cell>
          <cell r="B2392" t="str">
            <v>PS FC4700 SNAPVIEW IMP</v>
          </cell>
        </row>
        <row r="2393">
          <cell r="A2393" t="str">
            <v>PSPKCMLT16</v>
          </cell>
          <cell r="B2393" t="str">
            <v>PROF SVCS 16PT ACCESS LGX</v>
          </cell>
        </row>
        <row r="2394">
          <cell r="A2394" t="str">
            <v>PSPKCMLT8</v>
          </cell>
          <cell r="B2394" t="str">
            <v>PROF SVCS 8PT ACCESS LGX</v>
          </cell>
        </row>
        <row r="2395">
          <cell r="A2395" t="str">
            <v>PSPKIP4700</v>
          </cell>
          <cell r="B2395" t="str">
            <v>PS IP4700 IMPLEMENTATION</v>
          </cell>
        </row>
        <row r="2396">
          <cell r="A2396" t="str">
            <v>PS-ESN-PM</v>
          </cell>
          <cell r="B2396" t="str">
            <v>CONNECTRIX DESIGN/IMPLEM</v>
          </cell>
        </row>
        <row r="2397">
          <cell r="A2397" t="str">
            <v>PS-LV1-DS162G</v>
          </cell>
          <cell r="B2397" t="str">
            <v>PS 16PT 2GB ACCESS LGX</v>
          </cell>
        </row>
        <row r="2398">
          <cell r="A2398" t="str">
            <v>PS-PK-DS16B</v>
          </cell>
          <cell r="B2398" t="str">
            <v>PKG SVC 16-PORT BROCADE</v>
          </cell>
        </row>
        <row r="2399">
          <cell r="A2399" t="str">
            <v>CEPASPRT00</v>
          </cell>
          <cell r="B2399" t="str">
            <v>CustEd Passport 10 Day</v>
          </cell>
        </row>
        <row r="2400">
          <cell r="A2400" t="str">
            <v>CEPASPRT01</v>
          </cell>
          <cell r="B2400" t="str">
            <v>CustEd Passport-1Day</v>
          </cell>
        </row>
        <row r="2401">
          <cell r="A2401" t="str">
            <v>CEPASPRT02</v>
          </cell>
          <cell r="B2401" t="str">
            <v>CustEd Pasprt-2 Trng Days</v>
          </cell>
        </row>
        <row r="2402">
          <cell r="A2402" t="str">
            <v>CEPASPRT03</v>
          </cell>
          <cell r="B2402" t="str">
            <v>CustEd Pasprt-3 Trng Days</v>
          </cell>
        </row>
        <row r="2403">
          <cell r="A2403" t="str">
            <v>CEPASPRT04</v>
          </cell>
          <cell r="B2403" t="str">
            <v>CustEd Pasprt-4Trng Days</v>
          </cell>
        </row>
        <row r="2404">
          <cell r="A2404" t="str">
            <v>CEPASPRT05</v>
          </cell>
          <cell r="B2404" t="str">
            <v>CustEd Pasprt-5 Trng Days</v>
          </cell>
        </row>
        <row r="2405">
          <cell r="A2405" t="str">
            <v>CEPASPRT10</v>
          </cell>
          <cell r="B2405" t="str">
            <v>CustEd Passport-Web Fund</v>
          </cell>
        </row>
        <row r="2406">
          <cell r="A2406" t="str">
            <v>CEPASPRT11</v>
          </cell>
          <cell r="B2406" t="str">
            <v>CustEd Passport-Web-Adv</v>
          </cell>
        </row>
        <row r="2407">
          <cell r="A2407" t="str">
            <v>CEPASPRT12</v>
          </cell>
          <cell r="B2407" t="str">
            <v>CustEd Pasprt Web ePakAdv</v>
          </cell>
        </row>
        <row r="2408">
          <cell r="A2408" t="str">
            <v>CEPASPRTCF</v>
          </cell>
          <cell r="B2408" t="str">
            <v>CustEd Pasprt-CFS FS 3Day</v>
          </cell>
        </row>
        <row r="2409">
          <cell r="A2409" t="str">
            <v>CEPASPRTED</v>
          </cell>
          <cell r="B2409" t="str">
            <v>CustEd Pasprt-EDM Web Adv</v>
          </cell>
        </row>
        <row r="2410">
          <cell r="A2410" t="str">
            <v>PS-FPB-EDMHC</v>
          </cell>
          <cell r="B2410" t="str">
            <v>EDM HEALTH CHECK</v>
          </cell>
        </row>
        <row r="2411">
          <cell r="A2411" t="str">
            <v>PSI-EBR-FSTRX</v>
          </cell>
          <cell r="B2411" t="str">
            <v>CUS PS EBR-FASTRAX</v>
          </cell>
        </row>
        <row r="2412">
          <cell r="A2412" t="str">
            <v>GSFP-ESM-9999</v>
          </cell>
          <cell r="B2412" t="str">
            <v>ESM CUSTOM QUOTE</v>
          </cell>
        </row>
        <row r="2413">
          <cell r="A2413" t="str">
            <v>PS-CON-BIA</v>
          </cell>
          <cell r="B2413" t="str">
            <v>BUSINESS IMPACT ANALYSIS</v>
          </cell>
        </row>
        <row r="2414">
          <cell r="A2414" t="str">
            <v>PS-CON-EOAS</v>
          </cell>
          <cell r="B2414" t="str">
            <v>EMC/ORACLE ASSESSMENT</v>
          </cell>
        </row>
        <row r="2415">
          <cell r="A2415" t="str">
            <v>PS-CON-EOWS</v>
          </cell>
          <cell r="B2415" t="str">
            <v>EMC/ORACLE FACILITATED WORKSHOP</v>
          </cell>
        </row>
        <row r="2416">
          <cell r="A2416" t="str">
            <v>PS-CON-FESUP</v>
          </cell>
          <cell r="B2416" t="str">
            <v>FINANCIAL EXP. SALES PROP</v>
          </cell>
        </row>
        <row r="2417">
          <cell r="A2417" t="str">
            <v>PS-CON-NETDIS</v>
          </cell>
          <cell r="B2417" t="str">
            <v>NETWORK DISCOVERY WORKSHP</v>
          </cell>
        </row>
        <row r="2418">
          <cell r="A2418" t="str">
            <v>PS-CON-SFTHC</v>
          </cell>
          <cell r="B2418" t="str">
            <v>SOFTWARE SERVICES HEALTHCHECK ANALYSIS</v>
          </cell>
        </row>
        <row r="2419">
          <cell r="A2419" t="str">
            <v>PS-CUS-ECCOPE</v>
          </cell>
          <cell r="B2419" t="str">
            <v>EMC CONTROL CENTER 5.0</v>
          </cell>
        </row>
        <row r="2420">
          <cell r="A2420" t="str">
            <v>PS-CUS-NAS</v>
          </cell>
          <cell r="B2420" t="str">
            <v>NET ATT STRG DESIGN &amp; IMP</v>
          </cell>
        </row>
        <row r="2421">
          <cell r="A2421" t="str">
            <v>PS-CUS-OPV</v>
          </cell>
          <cell r="B2421" t="str">
            <v>STOR MGMT REV OPS EVAL</v>
          </cell>
        </row>
        <row r="2422">
          <cell r="A2422" t="str">
            <v>PS-CUS-SC</v>
          </cell>
          <cell r="B2422" t="str">
            <v>PS CUSTOM DP3-SC INSTALL</v>
          </cell>
        </row>
        <row r="2423">
          <cell r="A2423" t="str">
            <v>PS-DG-ENGAGE</v>
          </cell>
          <cell r="B2423" t="str">
            <v>DATA GENERAL PS</v>
          </cell>
        </row>
        <row r="2424">
          <cell r="A2424" t="str">
            <v>PS-EBC-STS</v>
          </cell>
          <cell r="B2424" t="str">
            <v>PS CUSTOM SVC STRGSCOPE</v>
          </cell>
        </row>
        <row r="2425">
          <cell r="A2425" t="str">
            <v>PS-EDMNET-PM</v>
          </cell>
          <cell r="B2425" t="str">
            <v>PROJ MGMT EDM NTWRK INSTL</v>
          </cell>
        </row>
        <row r="2426">
          <cell r="A2426" t="str">
            <v>PS-FPB-AD</v>
          </cell>
          <cell r="B2426" t="str">
            <v>ENT STOR ASSESS/PLAN/DES</v>
          </cell>
        </row>
        <row r="2427">
          <cell r="A2427" t="str">
            <v>PS-FPB-BC</v>
          </cell>
          <cell r="B2427" t="str">
            <v>ENT STOR BUS CONT ASSESS</v>
          </cell>
        </row>
        <row r="2428">
          <cell r="A2428" t="str">
            <v>PS-FPB-BR</v>
          </cell>
          <cell r="B2428" t="str">
            <v>ENT STOR ASSESS/BKUP/RSTR</v>
          </cell>
        </row>
        <row r="2429">
          <cell r="A2429" t="str">
            <v>PS-FPB-DR</v>
          </cell>
          <cell r="B2429" t="str">
            <v>ENT DIAST RECOV INFO PROT</v>
          </cell>
        </row>
        <row r="2430">
          <cell r="A2430" t="str">
            <v>PS-FPB-EM</v>
          </cell>
          <cell r="B2430" t="str">
            <v>ENT STORAGE MANAGEMENT CUSTOM PS</v>
          </cell>
        </row>
        <row r="2431">
          <cell r="A2431" t="str">
            <v>PS-FPB-SN</v>
          </cell>
          <cell r="B2431" t="str">
            <v>ENT STOR NET ASES/PLN/DES</v>
          </cell>
        </row>
        <row r="2432">
          <cell r="A2432" t="str">
            <v>PS-GEO-MSCS</v>
          </cell>
          <cell r="B2432" t="str">
            <v>CUSTOM PS GEOSPAN-MSCS</v>
          </cell>
        </row>
        <row r="2433">
          <cell r="A2433" t="str">
            <v>PS-GEO-VCS</v>
          </cell>
          <cell r="B2433" t="str">
            <v>CUSTOM PS GEOSPAN-VCS</v>
          </cell>
        </row>
        <row r="2434">
          <cell r="A2434" t="str">
            <v>PS-MIG-ECCOPE</v>
          </cell>
          <cell r="B2434" t="str">
            <v>ECC 5.0 MIGRATION SERVICE</v>
          </cell>
        </row>
        <row r="2435">
          <cell r="A2435" t="str">
            <v>PS-MIG-NT</v>
          </cell>
          <cell r="B2435" t="str">
            <v>CUSTOM MIGRATION FOR NT</v>
          </cell>
        </row>
        <row r="2436">
          <cell r="A2436" t="str">
            <v>PS-MIG-SDM</v>
          </cell>
          <cell r="B2436" t="str">
            <v>PS-MIG-SDM</v>
          </cell>
        </row>
        <row r="2437">
          <cell r="A2437" t="str">
            <v>PS-MIG-UNIX</v>
          </cell>
          <cell r="B2437" t="str">
            <v>CUSTOM UNIX MIGRATION SERVICES</v>
          </cell>
        </row>
        <row r="2438">
          <cell r="A2438" t="str">
            <v>PS-OMC-ADDOFF</v>
          </cell>
          <cell r="B2438" t="str">
            <v>OMC-ADDITIONAL OFFERING (BLANKET)</v>
          </cell>
        </row>
        <row r="2439">
          <cell r="A2439" t="str">
            <v>PS-OMC-DISCWS</v>
          </cell>
          <cell r="B2439" t="str">
            <v>STORAGE MGMT REVIEW - DISCOVERY WORKSHOP</v>
          </cell>
        </row>
        <row r="2440">
          <cell r="A2440" t="str">
            <v>PS-OMC-HEALTH</v>
          </cell>
          <cell r="B2440" t="str">
            <v>STORAGE MGMT REVIEW - HEALTH CHECK</v>
          </cell>
        </row>
        <row r="2441">
          <cell r="A2441" t="str">
            <v>PS-OMC-MGDRES</v>
          </cell>
          <cell r="B2441" t="str">
            <v>OMC-MANAGED SERVICES</v>
          </cell>
        </row>
        <row r="2442">
          <cell r="A2442" t="str">
            <v>PS-OMC-ODC</v>
          </cell>
          <cell r="B2442" t="str">
            <v>OPERATIONS DATA CTR CONS</v>
          </cell>
        </row>
        <row r="2443">
          <cell r="A2443" t="str">
            <v>PS-OMC-OPEVAL</v>
          </cell>
          <cell r="B2443" t="str">
            <v>STORAGE MGMT REVIEW - OPERATIONAL EVALUATIONS</v>
          </cell>
        </row>
        <row r="2444">
          <cell r="A2444" t="str">
            <v>PS-OMC-OPSCON</v>
          </cell>
          <cell r="B2444" t="str">
            <v>TRANSITIONAL SERVICE - OPERATIONS CONSULTING</v>
          </cell>
        </row>
        <row r="2445">
          <cell r="A2445" t="str">
            <v>PS-OMC-TRANOP</v>
          </cell>
          <cell r="B2445" t="str">
            <v>TRANS SERV OPS RESIDENCY</v>
          </cell>
        </row>
        <row r="2446">
          <cell r="A2446" t="str">
            <v>PS-TF-EXCH</v>
          </cell>
          <cell r="B2446" t="str">
            <v>CUSTOM PS TF-EXCHANGE</v>
          </cell>
        </row>
        <row r="2447">
          <cell r="A2447" t="str">
            <v>PSCUSECCOE</v>
          </cell>
          <cell r="B2447" t="str">
            <v>PS CUS ENGAGEMENT ECC 5.0</v>
          </cell>
        </row>
        <row r="2448">
          <cell r="A2448" t="str">
            <v>PSI-EBC-RAV</v>
          </cell>
          <cell r="B2448" t="str">
            <v>CUSTOM PS EBC-RAV</v>
          </cell>
        </row>
        <row r="2449">
          <cell r="A2449" t="str">
            <v>PSI-EBC-SDMM</v>
          </cell>
          <cell r="B2449" t="str">
            <v>CUSTOM PS EBC-SDMM</v>
          </cell>
        </row>
        <row r="2450">
          <cell r="A2450" t="str">
            <v>PSI-FPB-BC</v>
          </cell>
          <cell r="B2450" t="str">
            <v>ENT STOR BUS CONT IMP</v>
          </cell>
        </row>
        <row r="2451">
          <cell r="A2451" t="str">
            <v>PSI-FPB-BR</v>
          </cell>
          <cell r="B2451" t="str">
            <v>ENT STOR BKUP/RSTR IMPLEM</v>
          </cell>
        </row>
        <row r="2452">
          <cell r="A2452" t="str">
            <v>PSI-FPB-ERM</v>
          </cell>
          <cell r="B2452" t="str">
            <v>ECC REPLICATION MANAGER</v>
          </cell>
        </row>
        <row r="2453">
          <cell r="A2453" t="str">
            <v>PSI-FPB-SFT</v>
          </cell>
          <cell r="B2453" t="str">
            <v>ENT STOR SFT IMP</v>
          </cell>
        </row>
        <row r="2454">
          <cell r="A2454" t="str">
            <v>PSI-FPB-SN</v>
          </cell>
          <cell r="B2454" t="str">
            <v>ENT STOR NETWRK IMP</v>
          </cell>
        </row>
        <row r="2455">
          <cell r="A2455" t="str">
            <v>ETS-CONF</v>
          </cell>
          <cell r="B2455" t="str">
            <v>ETS CONFERENCE</v>
          </cell>
        </row>
        <row r="2456">
          <cell r="A2456" t="str">
            <v>PS-LV1-ECP</v>
          </cell>
          <cell r="B2456" t="str">
            <v>PS ECC OE BASIC PKG INSTL</v>
          </cell>
        </row>
        <row r="2457">
          <cell r="A2457" t="str">
            <v>PS-LV1-STS</v>
          </cell>
          <cell r="B2457" t="str">
            <v>PS LEVEL 1 STORAGESCOPE</v>
          </cell>
        </row>
        <row r="2458">
          <cell r="A2458" t="str">
            <v>PS-LVL1-DBT</v>
          </cell>
          <cell r="B2458" t="str">
            <v>LEVEL 1 INSTALL DBT TUNE</v>
          </cell>
        </row>
        <row r="2459">
          <cell r="A2459" t="str">
            <v>PS-LVL1-ECCPK</v>
          </cell>
          <cell r="B2459" t="str">
            <v>LEVEL 1 INSTALL CCTR PKG</v>
          </cell>
        </row>
        <row r="2460">
          <cell r="A2460" t="str">
            <v>PS-LVL1-EFS</v>
          </cell>
          <cell r="B2460" t="str">
            <v>LEVEL 1 INSTALL EFS</v>
          </cell>
        </row>
        <row r="2461">
          <cell r="A2461" t="str">
            <v>PS-LVL1-ERM</v>
          </cell>
          <cell r="B2461" t="str">
            <v>LEVEL 1 INSTALL ECC ERM</v>
          </cell>
        </row>
        <row r="2462">
          <cell r="A2462" t="str">
            <v>PS-LVL1-INFO</v>
          </cell>
          <cell r="B2462" t="str">
            <v>LEVEL 1 INSTALL INFOMOVER</v>
          </cell>
        </row>
        <row r="2463">
          <cell r="A2463" t="str">
            <v>PS-LVL1-OPTIM</v>
          </cell>
          <cell r="B2463" t="str">
            <v>LEVEL 1 INSTALL SYMOPT</v>
          </cell>
        </row>
        <row r="2464">
          <cell r="A2464" t="str">
            <v>PS-LVL1-PWP</v>
          </cell>
          <cell r="B2464" t="str">
            <v>LEVEL 1 INSTALL POWERPATH</v>
          </cell>
        </row>
        <row r="2465">
          <cell r="A2465" t="str">
            <v>PS-LVL1-SRDF</v>
          </cell>
          <cell r="B2465" t="str">
            <v>LEVEL 1 INSTALL SRDF</v>
          </cell>
        </row>
        <row r="2466">
          <cell r="A2466" t="str">
            <v>PS-LVL1-TIME</v>
          </cell>
          <cell r="B2466" t="str">
            <v>LEVEL 1 INSTALL TIMEFINDER</v>
          </cell>
        </row>
        <row r="2467">
          <cell r="A2467" t="str">
            <v>PS-LVL1-WLA</v>
          </cell>
          <cell r="B2467" t="str">
            <v>LEVEL 1 INSTALL CCTR WLA</v>
          </cell>
        </row>
        <row r="2468">
          <cell r="A2468" t="str">
            <v>PS-PK-CPYCRS</v>
          </cell>
          <cell r="B2468" t="str">
            <v>PK-SVC FOR COPYCROSS</v>
          </cell>
        </row>
        <row r="2469">
          <cell r="A2469" t="str">
            <v>PS-PK-ESNMGR</v>
          </cell>
          <cell r="B2469" t="str">
            <v>PS ESN MANAGER STD IMP</v>
          </cell>
        </row>
        <row r="2470">
          <cell r="A2470" t="str">
            <v>PS-VLGX-ESN</v>
          </cell>
          <cell r="B2470" t="str">
            <v>PS VLGX TO ESN MGR</v>
          </cell>
        </row>
        <row r="2471">
          <cell r="A2471" t="str">
            <v>PSLV1ECCOE</v>
          </cell>
          <cell r="B2471" t="str">
            <v>EMC CONTROL CENTER 5.0 LEVEL 1</v>
          </cell>
        </row>
        <row r="2472">
          <cell r="A2472" t="str">
            <v>PS-LV1-SC</v>
          </cell>
          <cell r="B2472" t="str">
            <v>INST CNFG 2DP3-SC ESN-MGR</v>
          </cell>
        </row>
        <row r="2473">
          <cell r="A2473" t="str">
            <v>VLGX-T5-12UP</v>
          </cell>
          <cell r="B2473" t="str">
            <v>VLGX MGR T5-T12 UPGRADE</v>
          </cell>
        </row>
        <row r="2474">
          <cell r="A2474" t="str">
            <v>WLAUPT1-4</v>
          </cell>
          <cell r="B2474" t="str">
            <v>ECC WLA UPGRADE T1-T4</v>
          </cell>
        </row>
        <row r="2475">
          <cell r="A2475" t="str">
            <v>WLAUPT5-12</v>
          </cell>
          <cell r="B2475" t="str">
            <v>ECC WLA UPGRADE T5-T12</v>
          </cell>
        </row>
        <row r="2476">
          <cell r="A2476" t="str">
            <v>X1141A</v>
          </cell>
          <cell r="B2476" t="str">
            <v>SUN ETHERNET CARD</v>
          </cell>
        </row>
        <row r="2477">
          <cell r="A2477" t="str">
            <v>X1195A</v>
          </cell>
          <cell r="B2477" t="str">
            <v>SUN CARD</v>
          </cell>
        </row>
        <row r="2478">
          <cell r="A2478" t="str">
            <v>X-3000-182AUP</v>
          </cell>
          <cell r="B2478" t="str">
            <v>SYM 3000 36.2GB 5264 UPG</v>
          </cell>
        </row>
        <row r="2479">
          <cell r="A2479" t="str">
            <v>X-3000-182UPG</v>
          </cell>
          <cell r="B2479" t="str">
            <v>SYM 3000 36.2 5264 UPG</v>
          </cell>
        </row>
        <row r="2480">
          <cell r="A2480" t="str">
            <v>X-3000-472AUP</v>
          </cell>
          <cell r="B2480" t="str">
            <v>SYM 3000 93.64GB 5264 UPG</v>
          </cell>
        </row>
        <row r="2481">
          <cell r="A2481" t="str">
            <v>X-3000-472UPG</v>
          </cell>
          <cell r="B2481" t="str">
            <v>SYM 3000 93.64GB 5264 UPG</v>
          </cell>
        </row>
        <row r="2482">
          <cell r="A2482" t="str">
            <v>X-3030-182AUP</v>
          </cell>
          <cell r="B2482" t="str">
            <v>SYMM 3030 36.2GB 5264 UPG</v>
          </cell>
        </row>
        <row r="2483">
          <cell r="A2483" t="str">
            <v>X-3030-182UPG</v>
          </cell>
          <cell r="B2483" t="str">
            <v>SYM 3030 35.8GB 5264 UPG</v>
          </cell>
        </row>
        <row r="2484">
          <cell r="A2484" t="str">
            <v>X-5000-182UPG</v>
          </cell>
          <cell r="B2484" t="str">
            <v>SYM 3000 36.2GB 5264 UPG</v>
          </cell>
        </row>
        <row r="2485">
          <cell r="A2485" t="str">
            <v>X-5000-472UPG</v>
          </cell>
          <cell r="B2485" t="str">
            <v>SYM 3000 93.64GB 5264 UPG</v>
          </cell>
        </row>
        <row r="2486">
          <cell r="A2486" t="str">
            <v>X-5030-182UPG</v>
          </cell>
          <cell r="B2486" t="str">
            <v>SYM 5030 35.8GB 5264 UPG</v>
          </cell>
        </row>
        <row r="2487">
          <cell r="A2487" t="str">
            <v>X6730A</v>
          </cell>
          <cell r="B2487" t="str">
            <v>SUN CARD</v>
          </cell>
        </row>
        <row r="2488">
          <cell r="A2488" t="str">
            <v>X6731A</v>
          </cell>
          <cell r="B2488" t="str">
            <v>FC-100FC-AL-GBIC MODULE</v>
          </cell>
        </row>
        <row r="2489">
          <cell r="A2489" t="str">
            <v>X6732A</v>
          </cell>
          <cell r="B2489" t="str">
            <v>SUN FIBRE HUB</v>
          </cell>
        </row>
        <row r="2490">
          <cell r="A2490" t="str">
            <v>X7005A</v>
          </cell>
          <cell r="B2490" t="str">
            <v>SUN CARD</v>
          </cell>
        </row>
        <row r="2491">
          <cell r="A2491" t="str">
            <v>XBR-000025</v>
          </cell>
          <cell r="B2491" t="str">
            <v>BROCADE GBICS</v>
          </cell>
        </row>
        <row r="2492">
          <cell r="A2492" t="str">
            <v>XBR-2250-0001</v>
          </cell>
          <cell r="B2492" t="str">
            <v>BROCADE BLADES</v>
          </cell>
        </row>
        <row r="2493">
          <cell r="A2493" t="str">
            <v>XBR-6400-00</v>
          </cell>
          <cell r="B2493" t="str">
            <v>64 PORT BROCADE SWITCH</v>
          </cell>
        </row>
        <row r="2494">
          <cell r="A2494" t="str">
            <v>XTC1P-OPT</v>
          </cell>
          <cell r="B2494" t="str">
            <v>SILICON GRAPHICS HBA</v>
          </cell>
        </row>
        <row r="2495">
          <cell r="A2495" t="str">
            <v>CFSHDWPP</v>
          </cell>
          <cell r="B2495" t="str">
            <v>CFS HDW PREPAID MAINT</v>
          </cell>
        </row>
        <row r="2496">
          <cell r="A2496" t="str">
            <v>CFSSFTPP</v>
          </cell>
          <cell r="B2496" t="str">
            <v>CFS SFT PREPAID MAINT</v>
          </cell>
        </row>
        <row r="2497">
          <cell r="A2497" t="str">
            <v>CLARHDWPP</v>
          </cell>
          <cell r="B2497" t="str">
            <v>CLAR HDW PREPAID MAINT</v>
          </cell>
        </row>
        <row r="2498">
          <cell r="A2498" t="str">
            <v>CLARSFTPP</v>
          </cell>
          <cell r="B2498" t="str">
            <v>CLAR SFT PREPAID MAINT</v>
          </cell>
        </row>
        <row r="2499">
          <cell r="A2499" t="str">
            <v>CTXHDWPP</v>
          </cell>
          <cell r="B2499" t="str">
            <v>CTX HDW PREPAID MAINT</v>
          </cell>
        </row>
        <row r="2500">
          <cell r="A2500" t="str">
            <v>CTXSFTPP</v>
          </cell>
          <cell r="B2500" t="str">
            <v>CTX SFT PREPAID MAINT</v>
          </cell>
        </row>
        <row r="2501">
          <cell r="A2501" t="str">
            <v>EDMHDWPP</v>
          </cell>
          <cell r="B2501" t="str">
            <v>EDM HDW PREPAID MAINT</v>
          </cell>
        </row>
        <row r="2502">
          <cell r="A2502" t="str">
            <v>EDMSFTPP</v>
          </cell>
          <cell r="B2502" t="str">
            <v>EDM SFT PREPAID MAINT</v>
          </cell>
        </row>
        <row r="2503">
          <cell r="A2503" t="str">
            <v>SYMHDWPP</v>
          </cell>
          <cell r="B2503" t="str">
            <v>SYM HDW PREPAID MAINT</v>
          </cell>
        </row>
        <row r="2504">
          <cell r="A2504" t="str">
            <v>SYMSFTPP</v>
          </cell>
          <cell r="B2504" t="str">
            <v>SYM SFT PREPAID MAINT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COM-NS702 vs 960C"/>
      <sheetName val="CX700-두중"/>
      <sheetName val="EMCK KTF CX700"/>
      <sheetName val="CX700"/>
      <sheetName val="EMCK CX700"/>
      <sheetName val="Software"/>
      <sheetName val="CX500"/>
      <sheetName val="EMC CX300(한화Special)"/>
      <sheetName val="NS702"/>
      <sheetName val="NS502"/>
      <sheetName val="NS352C"/>
      <sheetName val="NS704G"/>
      <sheetName val="DMX"/>
      <sheetName val="EMC Switch"/>
      <sheetName val="NWIN"/>
      <sheetName val="유지보수"/>
      <sheetName val="SW Tiers"/>
      <sheetName val="Server Tiers"/>
      <sheetName val="NAS Sizing"/>
      <sheetName val="NDMP"/>
      <sheetName val="Netwin200-CX300"/>
      <sheetName val="NW110"/>
      <sheetName val="AX100 SP"/>
      <sheetName val="AX100 DP"/>
      <sheetName val="AX100-SC"/>
      <sheetName val="AX100-DP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F34">
            <v>50882</v>
          </cell>
          <cell r="G34">
            <v>0.80004716795723441</v>
          </cell>
          <cell r="H34">
            <v>10174</v>
          </cell>
          <cell r="I34">
            <v>5832</v>
          </cell>
        </row>
        <row r="36">
          <cell r="F36">
            <v>0</v>
          </cell>
          <cell r="G36">
            <v>0</v>
          </cell>
          <cell r="H36">
            <v>0</v>
          </cell>
        </row>
        <row r="39">
          <cell r="F39">
            <v>0</v>
          </cell>
          <cell r="G39">
            <v>0</v>
          </cell>
          <cell r="H39">
            <v>0</v>
          </cell>
        </row>
        <row r="41">
          <cell r="F41">
            <v>11664</v>
          </cell>
          <cell r="G41">
            <v>0.45001714677640603</v>
          </cell>
          <cell r="H41">
            <v>6415</v>
          </cell>
        </row>
        <row r="43">
          <cell r="F43">
            <v>0</v>
          </cell>
          <cell r="G43">
            <v>0</v>
          </cell>
          <cell r="H43">
            <v>0</v>
          </cell>
        </row>
        <row r="46">
          <cell r="H46">
            <v>70163</v>
          </cell>
          <cell r="I46">
            <v>77354707.5</v>
          </cell>
        </row>
        <row r="52">
          <cell r="F52">
            <v>0</v>
          </cell>
          <cell r="G52">
            <v>-19678</v>
          </cell>
          <cell r="H52">
            <v>0</v>
          </cell>
          <cell r="I52">
            <v>0</v>
          </cell>
          <cell r="J52">
            <v>-19678</v>
          </cell>
        </row>
        <row r="53">
          <cell r="F53">
            <v>0</v>
          </cell>
          <cell r="G53">
            <v>19678</v>
          </cell>
          <cell r="H53">
            <v>0</v>
          </cell>
          <cell r="I53">
            <v>0</v>
          </cell>
          <cell r="J53">
            <v>19678</v>
          </cell>
        </row>
        <row r="55"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COM-NS702 vs 960C"/>
      <sheetName val="CX700"/>
      <sheetName val="CX700-두중"/>
      <sheetName val="EMCK KTF CX700"/>
      <sheetName val="EMCK CX700"/>
      <sheetName val="CX500"/>
      <sheetName val="EMC CX300(한화Special)"/>
      <sheetName val="NS702"/>
      <sheetName val="NS502"/>
      <sheetName val="NS352C"/>
      <sheetName val="NS704G"/>
      <sheetName val="DMX"/>
      <sheetName val="Software"/>
      <sheetName val="EMC Switch"/>
      <sheetName val="NWIN"/>
      <sheetName val="유지보수"/>
      <sheetName val="SW Tiers"/>
      <sheetName val="Server Tiers"/>
      <sheetName val="NAS Sizing"/>
      <sheetName val="NDMP"/>
      <sheetName val="Netwin200-CX300"/>
      <sheetName val="NW110"/>
      <sheetName val="AX100 SP"/>
      <sheetName val="AX100 DP"/>
      <sheetName val="AX100-SC"/>
      <sheetName val="AX100-DP"/>
    </sheetNames>
    <sheetDataSet>
      <sheetData sheetId="0"/>
      <sheetData sheetId="1"/>
      <sheetData sheetId="2"/>
      <sheetData sheetId="3"/>
      <sheetData sheetId="4">
        <row r="32">
          <cell r="F32">
            <v>50882</v>
          </cell>
          <cell r="G32">
            <v>0.80004716795723441</v>
          </cell>
          <cell r="H32">
            <v>10174</v>
          </cell>
          <cell r="I32">
            <v>5832</v>
          </cell>
        </row>
        <row r="34">
          <cell r="F34">
            <v>50882</v>
          </cell>
          <cell r="G34">
            <v>0.80004716795723441</v>
          </cell>
          <cell r="H34">
            <v>10174</v>
          </cell>
          <cell r="I34">
            <v>5832</v>
          </cell>
        </row>
        <row r="36">
          <cell r="F36">
            <v>0</v>
          </cell>
          <cell r="G36">
            <v>0</v>
          </cell>
          <cell r="H36">
            <v>0</v>
          </cell>
        </row>
        <row r="37">
          <cell r="F37">
            <v>0</v>
          </cell>
          <cell r="G37">
            <v>0</v>
          </cell>
          <cell r="H37">
            <v>0</v>
          </cell>
        </row>
        <row r="39">
          <cell r="F39">
            <v>0</v>
          </cell>
          <cell r="G39">
            <v>0</v>
          </cell>
          <cell r="H39">
            <v>0</v>
          </cell>
        </row>
        <row r="41">
          <cell r="F41">
            <v>11664</v>
          </cell>
          <cell r="G41">
            <v>0.45001714677640603</v>
          </cell>
          <cell r="H41">
            <v>6415</v>
          </cell>
        </row>
        <row r="43">
          <cell r="F43">
            <v>0</v>
          </cell>
          <cell r="G43">
            <v>0</v>
          </cell>
          <cell r="H43">
            <v>0</v>
          </cell>
        </row>
        <row r="44">
          <cell r="H44">
            <v>70163</v>
          </cell>
          <cell r="I44">
            <v>77354707.5</v>
          </cell>
        </row>
        <row r="46">
          <cell r="H46">
            <v>70163</v>
          </cell>
          <cell r="I46">
            <v>77354707.5</v>
          </cell>
        </row>
        <row r="52">
          <cell r="F52">
            <v>0</v>
          </cell>
          <cell r="G52">
            <v>-19678</v>
          </cell>
          <cell r="H52">
            <v>0</v>
          </cell>
          <cell r="I52">
            <v>0</v>
          </cell>
          <cell r="J52">
            <v>-19678</v>
          </cell>
        </row>
        <row r="53">
          <cell r="F53">
            <v>0</v>
          </cell>
          <cell r="G53">
            <v>19678</v>
          </cell>
          <cell r="H53">
            <v>0</v>
          </cell>
          <cell r="I53">
            <v>0</v>
          </cell>
          <cell r="J53">
            <v>19678</v>
          </cell>
        </row>
        <row r="55"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48"/>
  <sheetViews>
    <sheetView showGridLines="0" tabSelected="1" zoomScaleNormal="100" zoomScaleSheetLayoutView="75" workbookViewId="0"/>
  </sheetViews>
  <sheetFormatPr defaultColWidth="8.9140625" defaultRowHeight="18" customHeight="1"/>
  <cols>
    <col min="1" max="1" width="2.4140625" style="55" customWidth="1"/>
    <col min="2" max="2" width="5.58203125" style="55" customWidth="1"/>
    <col min="3" max="3" width="17.6640625" style="55" customWidth="1"/>
    <col min="4" max="4" width="57" style="55" customWidth="1"/>
    <col min="5" max="5" width="6.6640625" style="55" customWidth="1"/>
    <col min="6" max="9" width="13.58203125" style="68" customWidth="1"/>
    <col min="10" max="10" width="9" style="55" customWidth="1"/>
    <col min="11" max="11" width="13.4140625" style="55" customWidth="1"/>
    <col min="12" max="12" width="16.75" style="55" customWidth="1"/>
    <col min="13" max="13" width="14.33203125" style="55" hidden="1" customWidth="1"/>
    <col min="14" max="14" width="12.58203125" style="55" bestFit="1" customWidth="1"/>
    <col min="15" max="15" width="12.4140625" style="55" bestFit="1" customWidth="1"/>
    <col min="16" max="16384" width="8.9140625" style="55"/>
  </cols>
  <sheetData>
    <row r="1" spans="2:12" ht="21.75" customHeight="1">
      <c r="F1" s="51"/>
      <c r="H1" s="51"/>
      <c r="J1" s="2"/>
      <c r="K1" s="2"/>
      <c r="L1" s="2" t="s">
        <v>5</v>
      </c>
    </row>
    <row r="2" spans="2:12" s="3" customFormat="1" ht="21" customHeight="1" thickBot="1">
      <c r="B2" s="104"/>
      <c r="C2" s="105"/>
      <c r="D2" s="105"/>
      <c r="E2" s="105"/>
      <c r="F2" s="54"/>
      <c r="G2" s="53"/>
      <c r="H2" s="54"/>
      <c r="I2" s="53"/>
      <c r="J2" s="4"/>
      <c r="K2" s="4"/>
      <c r="L2" s="4" t="s">
        <v>4</v>
      </c>
    </row>
    <row r="3" spans="2:12" s="3" customFormat="1" ht="79.5" customHeight="1">
      <c r="B3" s="106" t="s">
        <v>0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</row>
    <row r="4" spans="2:12" s="3" customFormat="1" ht="18" customHeight="1">
      <c r="B4" s="42" t="s">
        <v>6</v>
      </c>
      <c r="C4" s="69">
        <v>45573</v>
      </c>
      <c r="D4" s="5"/>
      <c r="E4" s="6"/>
      <c r="F4" s="52"/>
      <c r="G4" s="50"/>
      <c r="H4" s="52"/>
      <c r="I4" s="50"/>
      <c r="J4" s="7"/>
      <c r="K4" s="7"/>
      <c r="L4" s="7"/>
    </row>
    <row r="5" spans="2:12" s="3" customFormat="1" ht="18" customHeight="1">
      <c r="B5" s="3" t="s">
        <v>7</v>
      </c>
      <c r="C5" s="69" t="s">
        <v>28</v>
      </c>
      <c r="D5" s="9"/>
      <c r="E5" s="6"/>
      <c r="F5" s="52"/>
      <c r="G5" s="50"/>
      <c r="H5" s="52"/>
      <c r="I5" s="50"/>
      <c r="J5" s="7"/>
      <c r="K5" s="7"/>
      <c r="L5" s="7"/>
    </row>
    <row r="6" spans="2:12" s="3" customFormat="1" ht="18" customHeight="1">
      <c r="B6" s="3" t="s">
        <v>8</v>
      </c>
      <c r="C6" s="69" t="s">
        <v>27</v>
      </c>
      <c r="D6" s="10"/>
      <c r="E6" s="6"/>
      <c r="F6" s="52"/>
      <c r="G6" s="50"/>
      <c r="H6" s="52"/>
      <c r="I6" s="50"/>
      <c r="J6" s="7"/>
      <c r="K6" s="7"/>
      <c r="L6" s="7"/>
    </row>
    <row r="7" spans="2:12" s="3" customFormat="1" ht="18" customHeight="1">
      <c r="C7" s="69"/>
      <c r="E7" s="10"/>
      <c r="F7" s="52"/>
      <c r="G7" s="50"/>
      <c r="H7" s="52"/>
      <c r="I7" s="50"/>
      <c r="J7" s="7"/>
      <c r="K7" s="7"/>
      <c r="L7" s="7"/>
    </row>
    <row r="8" spans="2:12" s="3" customFormat="1" ht="18" customHeight="1">
      <c r="B8" s="3" t="s">
        <v>29</v>
      </c>
      <c r="C8" s="69" t="s">
        <v>31</v>
      </c>
      <c r="D8" s="10"/>
      <c r="E8" s="6"/>
      <c r="F8" s="52"/>
      <c r="G8" s="50"/>
      <c r="H8" s="52"/>
      <c r="I8" s="50"/>
      <c r="J8" s="7"/>
      <c r="K8" s="7"/>
      <c r="L8" s="7"/>
    </row>
    <row r="9" spans="2:12" s="3" customFormat="1" ht="16.5" customHeight="1">
      <c r="B9" s="8"/>
      <c r="C9" s="9"/>
      <c r="D9" s="9"/>
      <c r="E9" s="10"/>
      <c r="F9" s="52"/>
      <c r="G9" s="50"/>
      <c r="H9" s="52"/>
      <c r="I9" s="50"/>
      <c r="J9" s="11"/>
      <c r="K9" s="11"/>
      <c r="L9" s="11"/>
    </row>
    <row r="10" spans="2:12" ht="41.25" customHeight="1">
      <c r="B10" s="12"/>
      <c r="C10" s="96" t="s">
        <v>26</v>
      </c>
      <c r="D10" s="1">
        <f>I22</f>
        <v>20110000</v>
      </c>
      <c r="E10" s="13"/>
      <c r="J10" s="14"/>
      <c r="K10" s="14"/>
      <c r="L10" s="14"/>
    </row>
    <row r="11" spans="2:12" ht="18" customHeight="1">
      <c r="B11" s="12"/>
      <c r="C11" s="15"/>
      <c r="D11" s="16"/>
      <c r="E11" s="13"/>
      <c r="J11" s="17"/>
      <c r="K11" s="17"/>
      <c r="L11" s="17"/>
    </row>
    <row r="12" spans="2:12" ht="22.5" customHeight="1" thickBot="1">
      <c r="B12" s="112" t="s">
        <v>32</v>
      </c>
      <c r="C12" s="112"/>
      <c r="D12" s="112"/>
      <c r="E12" s="112"/>
      <c r="F12" s="112"/>
      <c r="G12" s="112"/>
      <c r="H12" s="112"/>
      <c r="I12" s="112"/>
      <c r="J12" s="112"/>
      <c r="K12" s="82"/>
      <c r="L12" s="70" t="s">
        <v>21</v>
      </c>
    </row>
    <row r="13" spans="2:12" ht="26.25" customHeight="1">
      <c r="B13" s="56" t="s">
        <v>10</v>
      </c>
      <c r="C13" s="57" t="s">
        <v>11</v>
      </c>
      <c r="D13" s="57" t="s">
        <v>12</v>
      </c>
      <c r="E13" s="57" t="s">
        <v>13</v>
      </c>
      <c r="F13" s="58" t="s">
        <v>19</v>
      </c>
      <c r="G13" s="58" t="s">
        <v>20</v>
      </c>
      <c r="H13" s="58" t="s">
        <v>14</v>
      </c>
      <c r="I13" s="58" t="s">
        <v>15</v>
      </c>
      <c r="J13" s="59" t="s">
        <v>16</v>
      </c>
      <c r="K13" s="59" t="s">
        <v>25</v>
      </c>
      <c r="L13" s="60" t="s">
        <v>17</v>
      </c>
    </row>
    <row r="14" spans="2:12" s="62" customFormat="1" ht="26.25" customHeight="1" thickBot="1">
      <c r="B14" s="61">
        <v>1</v>
      </c>
      <c r="C14" s="63" t="s">
        <v>33</v>
      </c>
      <c r="D14" s="72" t="s">
        <v>30</v>
      </c>
      <c r="E14" s="64">
        <v>28</v>
      </c>
      <c r="F14" s="66">
        <v>1594250</v>
      </c>
      <c r="G14" s="74">
        <f t="shared" ref="G14" si="0">F14*E14</f>
        <v>44639000</v>
      </c>
      <c r="H14" s="66">
        <f>ROUNDDOWN(F14*(1-J14),-2)</f>
        <v>637700</v>
      </c>
      <c r="I14" s="74">
        <f>H14*E14</f>
        <v>17855600</v>
      </c>
      <c r="J14" s="75">
        <v>0.6</v>
      </c>
      <c r="K14" s="75" t="s">
        <v>40</v>
      </c>
      <c r="L14" s="65"/>
    </row>
    <row r="15" spans="2:12" ht="26.25" customHeight="1" thickBot="1">
      <c r="B15" s="107" t="s">
        <v>22</v>
      </c>
      <c r="C15" s="108"/>
      <c r="D15" s="108"/>
      <c r="E15" s="108"/>
      <c r="F15" s="91"/>
      <c r="G15" s="92">
        <f>SUM(G14:G14)</f>
        <v>44639000</v>
      </c>
      <c r="H15" s="93"/>
      <c r="I15" s="92">
        <f>SUM(I14:I14)</f>
        <v>17855600</v>
      </c>
      <c r="J15" s="94"/>
      <c r="K15" s="94"/>
      <c r="L15" s="95"/>
    </row>
    <row r="16" spans="2:12" ht="22.5" customHeight="1" thickBot="1">
      <c r="B16" s="112" t="s">
        <v>39</v>
      </c>
      <c r="C16" s="112"/>
      <c r="D16" s="112"/>
      <c r="E16" s="112"/>
      <c r="F16" s="112"/>
      <c r="G16" s="112"/>
      <c r="H16" s="112"/>
      <c r="I16" s="112"/>
      <c r="J16" s="112"/>
      <c r="K16" s="82"/>
      <c r="L16" s="70" t="s">
        <v>21</v>
      </c>
    </row>
    <row r="17" spans="2:16" ht="26.25" customHeight="1">
      <c r="B17" s="56" t="s">
        <v>10</v>
      </c>
      <c r="C17" s="57" t="s">
        <v>11</v>
      </c>
      <c r="D17" s="57" t="s">
        <v>12</v>
      </c>
      <c r="E17" s="57" t="s">
        <v>13</v>
      </c>
      <c r="F17" s="58" t="s">
        <v>19</v>
      </c>
      <c r="G17" s="58" t="s">
        <v>20</v>
      </c>
      <c r="H17" s="58" t="s">
        <v>14</v>
      </c>
      <c r="I17" s="58" t="s">
        <v>15</v>
      </c>
      <c r="J17" s="59" t="s">
        <v>16</v>
      </c>
      <c r="K17" s="59" t="s">
        <v>25</v>
      </c>
      <c r="L17" s="60" t="s">
        <v>17</v>
      </c>
    </row>
    <row r="18" spans="2:16" s="19" customFormat="1" ht="26.25" customHeight="1" thickBot="1">
      <c r="B18" s="97">
        <v>1</v>
      </c>
      <c r="C18" s="73" t="s">
        <v>38</v>
      </c>
      <c r="D18" s="98" t="s">
        <v>37</v>
      </c>
      <c r="E18" s="99">
        <v>140</v>
      </c>
      <c r="F18" s="66">
        <v>3050</v>
      </c>
      <c r="G18" s="74">
        <f>F18*E18</f>
        <v>427000</v>
      </c>
      <c r="H18" s="66">
        <f>F18</f>
        <v>3050</v>
      </c>
      <c r="I18" s="74">
        <f>H18*E18</f>
        <v>427000</v>
      </c>
      <c r="J18" s="75" t="s">
        <v>35</v>
      </c>
      <c r="K18" s="75" t="s">
        <v>34</v>
      </c>
      <c r="L18" s="67"/>
    </row>
    <row r="19" spans="2:16" ht="26.25" customHeight="1" thickBot="1">
      <c r="B19" s="107" t="s">
        <v>22</v>
      </c>
      <c r="C19" s="108"/>
      <c r="D19" s="108"/>
      <c r="E19" s="108"/>
      <c r="F19" s="91"/>
      <c r="G19" s="92">
        <f>SUM(G18:G18)</f>
        <v>427000</v>
      </c>
      <c r="H19" s="93"/>
      <c r="I19" s="92">
        <f>SUM(I18:I18)</f>
        <v>427000</v>
      </c>
      <c r="J19" s="94"/>
      <c r="K19" s="94"/>
      <c r="L19" s="95"/>
    </row>
    <row r="20" spans="2:16" ht="18" customHeight="1" thickBot="1">
      <c r="B20" s="12"/>
      <c r="C20" s="15"/>
      <c r="D20" s="16"/>
      <c r="E20" s="13"/>
      <c r="J20" s="17"/>
      <c r="K20" s="17"/>
      <c r="L20" s="17"/>
    </row>
    <row r="21" spans="2:16" s="3" customFormat="1" ht="26.25" customHeight="1">
      <c r="B21" s="109" t="s">
        <v>23</v>
      </c>
      <c r="C21" s="110"/>
      <c r="D21" s="110"/>
      <c r="E21" s="110"/>
      <c r="F21" s="111"/>
      <c r="G21" s="87">
        <f>G15+G19</f>
        <v>45066000</v>
      </c>
      <c r="H21" s="88"/>
      <c r="I21" s="87">
        <f>I15+I19</f>
        <v>18282600</v>
      </c>
      <c r="J21" s="89"/>
      <c r="K21" s="89"/>
      <c r="L21" s="90"/>
    </row>
    <row r="22" spans="2:16" s="3" customFormat="1" ht="26.25" customHeight="1" thickBot="1">
      <c r="B22" s="101" t="s">
        <v>24</v>
      </c>
      <c r="C22" s="102"/>
      <c r="D22" s="102"/>
      <c r="E22" s="102"/>
      <c r="F22" s="103"/>
      <c r="G22" s="83">
        <f>G21*1.1</f>
        <v>49572600.000000007</v>
      </c>
      <c r="H22" s="84"/>
      <c r="I22" s="83">
        <f>ROUNDDOWN(I21*1.1,-4)</f>
        <v>20110000</v>
      </c>
      <c r="J22" s="85"/>
      <c r="K22" s="85" t="s">
        <v>36</v>
      </c>
      <c r="L22" s="86"/>
    </row>
    <row r="23" spans="2:16" s="19" customFormat="1" ht="22.5" customHeight="1" thickBot="1">
      <c r="B23" s="20"/>
      <c r="C23" s="20"/>
      <c r="D23" s="20"/>
      <c r="E23" s="21"/>
      <c r="F23" s="45"/>
      <c r="G23" s="43"/>
      <c r="H23" s="45"/>
      <c r="I23" s="43"/>
      <c r="J23" s="41"/>
      <c r="K23" s="41"/>
      <c r="L23" s="22"/>
    </row>
    <row r="24" spans="2:16" ht="26.25" customHeight="1" thickBot="1">
      <c r="B24" s="23" t="s">
        <v>1</v>
      </c>
      <c r="C24" s="24"/>
      <c r="D24" s="25"/>
      <c r="E24" s="26"/>
      <c r="F24" s="49"/>
      <c r="G24" s="49"/>
      <c r="H24" s="49"/>
      <c r="I24" s="49"/>
      <c r="J24" s="49"/>
      <c r="K24" s="49"/>
      <c r="L24" s="78"/>
      <c r="M24" s="27"/>
    </row>
    <row r="25" spans="2:16" ht="17.25" customHeight="1">
      <c r="B25" s="28"/>
      <c r="C25" s="29"/>
      <c r="D25" s="29"/>
      <c r="E25" s="29"/>
      <c r="F25" s="48"/>
      <c r="H25" s="48"/>
      <c r="I25" s="48"/>
      <c r="J25" s="100"/>
      <c r="K25" s="48"/>
      <c r="L25" s="79"/>
      <c r="M25" s="30"/>
    </row>
    <row r="26" spans="2:16" s="18" customFormat="1" ht="26.25" customHeight="1">
      <c r="B26" s="31"/>
      <c r="C26" s="32" t="s">
        <v>2</v>
      </c>
      <c r="D26" s="33">
        <f>C4+15</f>
        <v>45588</v>
      </c>
      <c r="E26" s="34"/>
      <c r="F26" s="48"/>
      <c r="G26" s="68"/>
      <c r="H26" s="48"/>
      <c r="I26" s="48"/>
      <c r="J26" s="100"/>
      <c r="K26" s="47"/>
      <c r="L26" s="80"/>
      <c r="M26" s="35"/>
    </row>
    <row r="27" spans="2:16" s="18" customFormat="1" ht="26.25" customHeight="1">
      <c r="B27" s="31"/>
      <c r="C27" s="32" t="s">
        <v>18</v>
      </c>
      <c r="D27" s="32" t="s">
        <v>41</v>
      </c>
      <c r="E27" s="34"/>
      <c r="F27" s="47"/>
      <c r="G27" s="47"/>
      <c r="H27" s="47"/>
      <c r="I27" s="47"/>
      <c r="J27" s="47"/>
      <c r="K27" s="47"/>
      <c r="L27" s="80"/>
      <c r="M27" s="35"/>
    </row>
    <row r="28" spans="2:16" s="18" customFormat="1" ht="26.25" customHeight="1">
      <c r="B28" s="31"/>
      <c r="C28" s="32" t="s">
        <v>3</v>
      </c>
      <c r="D28" s="32" t="s">
        <v>42</v>
      </c>
      <c r="E28" s="34"/>
      <c r="F28" s="47"/>
      <c r="G28" s="47"/>
      <c r="H28" s="47"/>
      <c r="I28" s="47"/>
      <c r="J28" s="47"/>
      <c r="K28" s="47"/>
      <c r="L28" s="80"/>
      <c r="M28" s="35"/>
    </row>
    <row r="29" spans="2:16" s="18" customFormat="1" ht="26.25" customHeight="1" thickBot="1">
      <c r="B29" s="36"/>
      <c r="C29" s="37"/>
      <c r="D29" s="37" t="s">
        <v>9</v>
      </c>
      <c r="E29" s="38"/>
      <c r="F29" s="46"/>
      <c r="G29" s="46"/>
      <c r="H29" s="46"/>
      <c r="I29" s="46"/>
      <c r="J29" s="46"/>
      <c r="K29" s="46"/>
      <c r="L29" s="81"/>
      <c r="M29" s="39"/>
    </row>
    <row r="30" spans="2:16" ht="18" customHeight="1">
      <c r="B30" s="40"/>
      <c r="C30" s="40"/>
      <c r="D30" s="40"/>
      <c r="E30" s="40"/>
      <c r="F30" s="44"/>
      <c r="G30" s="44"/>
      <c r="H30" s="44"/>
      <c r="I30" s="44"/>
      <c r="J30" s="40"/>
      <c r="K30" s="40"/>
      <c r="L30" s="40"/>
      <c r="N30" s="71"/>
      <c r="O30" s="71"/>
      <c r="P30" s="71"/>
    </row>
    <row r="31" spans="2:16" ht="18" customHeight="1">
      <c r="B31" s="40"/>
      <c r="C31" s="40"/>
      <c r="D31" s="40"/>
      <c r="E31" s="40"/>
      <c r="F31" s="44"/>
      <c r="G31" s="44"/>
      <c r="H31" s="44"/>
      <c r="I31" s="44"/>
      <c r="J31" s="40"/>
      <c r="K31" s="40"/>
      <c r="L31" s="40"/>
      <c r="N31" s="71"/>
      <c r="O31" s="71"/>
      <c r="P31" s="71"/>
    </row>
    <row r="32" spans="2:16" ht="18" customHeight="1">
      <c r="B32" s="40"/>
      <c r="C32" s="40"/>
      <c r="D32" s="40"/>
      <c r="F32" s="55"/>
      <c r="G32" s="55"/>
      <c r="H32" s="44"/>
      <c r="I32" s="77"/>
      <c r="J32" s="40"/>
      <c r="K32" s="40"/>
      <c r="L32" s="40"/>
      <c r="N32" s="71"/>
      <c r="O32" s="71"/>
      <c r="P32" s="71"/>
    </row>
    <row r="33" spans="6:16" ht="18" customHeight="1">
      <c r="F33" s="55"/>
      <c r="G33" s="55"/>
      <c r="N33" s="71"/>
      <c r="O33" s="71"/>
      <c r="P33" s="71"/>
    </row>
    <row r="34" spans="6:16" ht="18" customHeight="1">
      <c r="F34" s="55"/>
      <c r="G34" s="55"/>
      <c r="N34" s="71"/>
      <c r="O34" s="71"/>
      <c r="P34" s="71"/>
    </row>
    <row r="35" spans="6:16" ht="18" customHeight="1">
      <c r="F35" s="55"/>
      <c r="G35" s="55"/>
      <c r="N35" s="71"/>
      <c r="O35" s="71"/>
      <c r="P35" s="71"/>
    </row>
    <row r="36" spans="6:16" ht="18" customHeight="1">
      <c r="F36" s="55"/>
      <c r="G36" s="55"/>
      <c r="N36" s="71"/>
      <c r="O36" s="71"/>
      <c r="P36" s="71"/>
    </row>
    <row r="37" spans="6:16" ht="18" customHeight="1">
      <c r="F37" s="55"/>
      <c r="G37" s="55"/>
      <c r="N37" s="71"/>
      <c r="O37" s="71"/>
      <c r="P37" s="71"/>
    </row>
    <row r="38" spans="6:16" ht="18" customHeight="1">
      <c r="F38" s="55"/>
      <c r="G38" s="55"/>
      <c r="I38" s="76"/>
      <c r="N38" s="71"/>
      <c r="O38" s="71"/>
      <c r="P38" s="71"/>
    </row>
    <row r="39" spans="6:16" ht="18" customHeight="1">
      <c r="F39" s="55"/>
      <c r="G39" s="55"/>
      <c r="N39" s="71"/>
      <c r="O39" s="71"/>
      <c r="P39" s="71"/>
    </row>
    <row r="40" spans="6:16" ht="18" customHeight="1">
      <c r="F40" s="55"/>
      <c r="G40" s="55"/>
      <c r="N40" s="71"/>
      <c r="O40" s="71"/>
      <c r="P40" s="71"/>
    </row>
    <row r="41" spans="6:16" ht="18" customHeight="1">
      <c r="N41" s="71"/>
      <c r="O41" s="71"/>
      <c r="P41" s="71"/>
    </row>
    <row r="42" spans="6:16" ht="18" customHeight="1">
      <c r="N42" s="71"/>
      <c r="O42" s="71"/>
      <c r="P42" s="71"/>
    </row>
    <row r="43" spans="6:16" ht="18" customHeight="1">
      <c r="N43" s="71"/>
      <c r="O43" s="71"/>
      <c r="P43" s="71"/>
    </row>
    <row r="44" spans="6:16" ht="18" customHeight="1">
      <c r="N44" s="71"/>
      <c r="O44" s="71"/>
      <c r="P44" s="71"/>
    </row>
    <row r="45" spans="6:16" ht="18" customHeight="1">
      <c r="N45" s="71"/>
      <c r="O45" s="71"/>
      <c r="P45" s="71"/>
    </row>
    <row r="46" spans="6:16" ht="18" customHeight="1">
      <c r="N46" s="71"/>
      <c r="O46" s="71"/>
      <c r="P46" s="71"/>
    </row>
    <row r="47" spans="6:16" ht="18" customHeight="1">
      <c r="N47" s="71"/>
      <c r="O47" s="71"/>
      <c r="P47" s="71"/>
    </row>
    <row r="48" spans="6:16" ht="18" customHeight="1">
      <c r="N48" s="71"/>
      <c r="O48" s="71"/>
      <c r="P48" s="71"/>
    </row>
  </sheetData>
  <sheetProtection formatCells="0" formatColumns="0" formatRows="0" insertColumns="0" insertRows="0" insertHyperlinks="0" deleteColumns="0" deleteRows="0" sort="0" autoFilter="0" pivotTables="0"/>
  <mergeCells count="8">
    <mergeCell ref="B22:F22"/>
    <mergeCell ref="B2:E2"/>
    <mergeCell ref="B3:L3"/>
    <mergeCell ref="B15:E15"/>
    <mergeCell ref="B21:F21"/>
    <mergeCell ref="B12:J12"/>
    <mergeCell ref="B16:J16"/>
    <mergeCell ref="B19:E19"/>
  </mergeCells>
  <phoneticPr fontId="8" type="noConversion"/>
  <printOptions horizontalCentered="1"/>
  <pageMargins left="0" right="0" top="0.59055118110236227" bottom="0.39370078740157483" header="0.43307086614173229" footer="0"/>
  <pageSetup paperSize="9" scale="48" fitToHeight="0" orientation="portrait" r:id="rId1"/>
  <headerFooter alignWithMargins="0">
    <oddFooter>&amp;CPage &amp;P of &amp;N&amp;R(주)데이타솔루션 견적서</oddFooter>
  </headerFooter>
  <ignoredErrors>
    <ignoredError sqref="D26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</vt:lpstr>
      <vt:lpstr>견적!Print_Area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</dc:creator>
  <cp:lastModifiedBy>vdiadmin</cp:lastModifiedBy>
  <cp:lastPrinted>2024-10-10T02:31:49Z</cp:lastPrinted>
  <dcterms:created xsi:type="dcterms:W3CDTF">2007-08-22T23:52:14Z</dcterms:created>
  <dcterms:modified xsi:type="dcterms:W3CDTF">2024-10-14T00:39:03Z</dcterms:modified>
</cp:coreProperties>
</file>