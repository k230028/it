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40\hjlee\이형진 백업_20230914\이형진 자료\복구자료\복구1\Enterprise\2024 견적서\한국산업은행_장비교체\"/>
    </mc:Choice>
  </mc:AlternateContent>
  <xr:revisionPtr revIDLastSave="0" documentId="13_ncr:1_{E60EA2F0-2546-410D-8D66-648A3EAE73D9}" xr6:coauthVersionLast="47" xr6:coauthVersionMax="47" xr10:uidLastSave="{00000000-0000-0000-0000-000000000000}"/>
  <bookViews>
    <workbookView xWindow="-24060" yWindow="1005" windowWidth="28755" windowHeight="11925" activeTab="1" xr2:uid="{00000000-000D-0000-FFFF-FFFF00000000}"/>
  </bookViews>
  <sheets>
    <sheet name="산업은행(장비교체)_12c" sheetId="3" r:id="rId1"/>
    <sheet name="컨설팅 상주 서비스_12c" sheetId="8" r:id="rId2"/>
    <sheet name="other_12c" sheetId="2" r:id="rId3"/>
    <sheet name="ZFS1.17PB" sheetId="16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16" l="1"/>
  <c r="G29" i="16"/>
  <c r="G28" i="16"/>
  <c r="G27" i="16"/>
  <c r="G26" i="16"/>
  <c r="G25" i="16"/>
  <c r="H25" i="16" s="1"/>
  <c r="G24" i="16"/>
  <c r="H24" i="16" s="1"/>
  <c r="G23" i="16"/>
  <c r="G21" i="16"/>
  <c r="H21" i="16" s="1"/>
  <c r="G20" i="16"/>
  <c r="H20" i="16" s="1"/>
  <c r="G19" i="16"/>
  <c r="G18" i="16"/>
  <c r="H18" i="16" s="1"/>
  <c r="G17" i="16"/>
  <c r="G16" i="16"/>
  <c r="G15" i="16"/>
  <c r="H15" i="16" s="1"/>
  <c r="G14" i="16"/>
  <c r="G13" i="16"/>
  <c r="H13" i="16" s="1"/>
  <c r="H31" i="16"/>
  <c r="H29" i="16"/>
  <c r="H34" i="16"/>
  <c r="F34" i="16"/>
  <c r="H32" i="16"/>
  <c r="F32" i="16"/>
  <c r="F31" i="16"/>
  <c r="F30" i="16"/>
  <c r="H30" i="16" s="1"/>
  <c r="H28" i="16"/>
  <c r="F28" i="16"/>
  <c r="F25" i="16"/>
  <c r="G22" i="16"/>
  <c r="F19" i="16"/>
  <c r="F17" i="16"/>
  <c r="F16" i="16"/>
  <c r="F13" i="16"/>
  <c r="B11" i="16"/>
  <c r="H16" i="16" l="1"/>
  <c r="H19" i="16"/>
  <c r="F26" i="16"/>
  <c r="H26" i="16"/>
  <c r="F15" i="16"/>
  <c r="F18" i="16"/>
  <c r="F21" i="16"/>
  <c r="F24" i="16"/>
  <c r="F20" i="16"/>
  <c r="F23" i="16"/>
  <c r="F29" i="16"/>
  <c r="H17" i="16"/>
  <c r="H23" i="16"/>
  <c r="I15" i="8"/>
  <c r="I14" i="8"/>
  <c r="I17" i="8" s="1"/>
  <c r="I18" i="8" s="1"/>
  <c r="H25" i="8" s="1"/>
  <c r="H22" i="16" l="1"/>
  <c r="D14" i="16"/>
  <c r="F22" i="16"/>
  <c r="H27" i="16"/>
  <c r="D18" i="2"/>
  <c r="H14" i="16" l="1"/>
  <c r="F14" i="16"/>
  <c r="H26" i="3"/>
  <c r="H25" i="3"/>
  <c r="H23" i="3"/>
  <c r="H29" i="3" s="1"/>
  <c r="H30" i="3" s="1"/>
  <c r="H27" i="3"/>
  <c r="H18" i="3"/>
  <c r="H17" i="3"/>
  <c r="H16" i="3"/>
  <c r="H14" i="3"/>
  <c r="E33" i="16" l="1"/>
  <c r="H20" i="3"/>
  <c r="H21" i="3" s="1"/>
  <c r="F33" i="16" l="1"/>
  <c r="D35" i="16" s="1"/>
  <c r="D36" i="16" s="1"/>
  <c r="H33" i="16"/>
  <c r="G35" i="16" s="1"/>
  <c r="G36" i="16" s="1"/>
  <c r="H33" i="3"/>
  <c r="H34" i="3" l="1"/>
  <c r="H48" i="3" s="1"/>
</calcChain>
</file>

<file path=xl/sharedStrings.xml><?xml version="1.0" encoding="utf-8"?>
<sst xmlns="http://schemas.openxmlformats.org/spreadsheetml/2006/main" count="160" uniqueCount="136">
  <si>
    <r>
      <t xml:space="preserve">   [</t>
    </r>
    <r>
      <rPr>
        <b/>
        <sz val="11"/>
        <rFont val="돋움"/>
        <family val="3"/>
        <charset val="129"/>
      </rPr>
      <t>주</t>
    </r>
    <r>
      <rPr>
        <b/>
        <sz val="11"/>
        <rFont val="Times New Roman"/>
        <family val="1"/>
      </rPr>
      <t xml:space="preserve">] </t>
    </r>
    <r>
      <rPr>
        <b/>
        <sz val="11"/>
        <rFont val="돋움"/>
        <family val="3"/>
        <charset val="129"/>
      </rPr>
      <t>데</t>
    </r>
    <r>
      <rPr>
        <b/>
        <sz val="11"/>
        <rFont val="Times New Roman"/>
        <family val="1"/>
      </rPr>
      <t xml:space="preserve"> </t>
    </r>
    <r>
      <rPr>
        <b/>
        <sz val="11"/>
        <rFont val="돋움"/>
        <family val="3"/>
        <charset val="129"/>
      </rPr>
      <t>이</t>
    </r>
    <r>
      <rPr>
        <b/>
        <sz val="11"/>
        <rFont val="Times New Roman"/>
        <family val="1"/>
      </rPr>
      <t xml:space="preserve"> </t>
    </r>
    <r>
      <rPr>
        <b/>
        <sz val="11"/>
        <rFont val="돋움"/>
        <family val="3"/>
        <charset val="129"/>
      </rPr>
      <t>타</t>
    </r>
    <r>
      <rPr>
        <b/>
        <sz val="11"/>
        <rFont val="Times New Roman"/>
        <family val="1"/>
      </rPr>
      <t xml:space="preserve"> </t>
    </r>
    <r>
      <rPr>
        <b/>
        <sz val="11"/>
        <rFont val="돋움"/>
        <family val="3"/>
        <charset val="129"/>
      </rPr>
      <t>헤</t>
    </r>
    <r>
      <rPr>
        <b/>
        <sz val="11"/>
        <rFont val="Times New Roman"/>
        <family val="1"/>
      </rPr>
      <t xml:space="preserve"> </t>
    </r>
    <r>
      <rPr>
        <b/>
        <sz val="11"/>
        <rFont val="돋움"/>
        <family val="3"/>
        <charset val="129"/>
      </rPr>
      <t>븐</t>
    </r>
    <r>
      <rPr>
        <b/>
        <sz val="11"/>
        <rFont val="Times New Roman"/>
        <family val="1"/>
      </rPr>
      <t xml:space="preserve"> </t>
    </r>
    <phoneticPr fontId="10" type="noConversion"/>
  </si>
  <si>
    <r>
      <t xml:space="preserve">   </t>
    </r>
    <r>
      <rPr>
        <b/>
        <sz val="10"/>
        <rFont val="바탕"/>
        <family val="1"/>
        <charset val="129"/>
      </rPr>
      <t>경기도</t>
    </r>
    <r>
      <rPr>
        <b/>
        <sz val="10"/>
        <rFont val="Times New Roman"/>
        <family val="1"/>
      </rPr>
      <t xml:space="preserve"> </t>
    </r>
    <r>
      <rPr>
        <b/>
        <sz val="10"/>
        <rFont val="바탕"/>
        <family val="1"/>
        <charset val="129"/>
      </rPr>
      <t>성남시</t>
    </r>
    <r>
      <rPr>
        <b/>
        <sz val="10"/>
        <rFont val="Times New Roman"/>
        <family val="1"/>
      </rPr>
      <t xml:space="preserve"> </t>
    </r>
    <r>
      <rPr>
        <b/>
        <sz val="10"/>
        <rFont val="바탕"/>
        <family val="1"/>
        <charset val="129"/>
      </rPr>
      <t>분당구</t>
    </r>
    <r>
      <rPr>
        <b/>
        <sz val="10"/>
        <rFont val="Times New Roman"/>
        <family val="1"/>
      </rPr>
      <t xml:space="preserve"> </t>
    </r>
    <r>
      <rPr>
        <b/>
        <sz val="10"/>
        <rFont val="바탕"/>
        <family val="1"/>
        <charset val="129"/>
      </rPr>
      <t>판교역로</t>
    </r>
    <r>
      <rPr>
        <b/>
        <sz val="10"/>
        <rFont val="Times New Roman"/>
        <family val="1"/>
      </rPr>
      <t xml:space="preserve"> 230 B-517</t>
    </r>
    <phoneticPr fontId="10" type="noConversion"/>
  </si>
  <si>
    <r>
      <t xml:space="preserve">   </t>
    </r>
    <r>
      <rPr>
        <b/>
        <sz val="10"/>
        <rFont val="돋움"/>
        <family val="3"/>
        <charset val="129"/>
      </rPr>
      <t>대</t>
    </r>
    <r>
      <rPr>
        <b/>
        <sz val="10"/>
        <rFont val="Times New Roman"/>
        <family val="1"/>
      </rPr>
      <t xml:space="preserve"> </t>
    </r>
    <r>
      <rPr>
        <b/>
        <sz val="10"/>
        <rFont val="돋움"/>
        <family val="3"/>
        <charset val="129"/>
      </rPr>
      <t>표</t>
    </r>
    <r>
      <rPr>
        <b/>
        <sz val="10"/>
        <rFont val="Times New Roman"/>
        <family val="1"/>
      </rPr>
      <t xml:space="preserve"> </t>
    </r>
    <r>
      <rPr>
        <b/>
        <sz val="10"/>
        <rFont val="돋움"/>
        <family val="3"/>
        <charset val="129"/>
      </rPr>
      <t>전</t>
    </r>
    <r>
      <rPr>
        <b/>
        <sz val="10"/>
        <rFont val="Times New Roman"/>
        <family val="1"/>
      </rPr>
      <t xml:space="preserve"> </t>
    </r>
    <r>
      <rPr>
        <b/>
        <sz val="10"/>
        <rFont val="돋움"/>
        <family val="3"/>
        <charset val="129"/>
      </rPr>
      <t>화</t>
    </r>
    <r>
      <rPr>
        <b/>
        <sz val="10"/>
        <rFont val="Times New Roman"/>
        <family val="1"/>
      </rPr>
      <t xml:space="preserve"> : 02) 3454-1112</t>
    </r>
    <phoneticPr fontId="10" type="noConversion"/>
  </si>
  <si>
    <r>
      <t>금</t>
    </r>
    <r>
      <rPr>
        <sz val="10"/>
        <rFont val="Arial Narrow"/>
        <family val="2"/>
      </rPr>
      <t xml:space="preserve">  </t>
    </r>
    <r>
      <rPr>
        <sz val="10"/>
        <rFont val="굴림체"/>
        <family val="3"/>
        <charset val="129"/>
      </rPr>
      <t>액</t>
    </r>
    <r>
      <rPr>
        <sz val="10"/>
        <rFont val="Arial Narrow"/>
        <family val="2"/>
      </rPr>
      <t xml:space="preserve"> : </t>
    </r>
    <r>
      <rPr>
        <sz val="10"/>
        <rFont val="굴림체"/>
        <family val="3"/>
        <charset val="129"/>
      </rPr>
      <t>하</t>
    </r>
    <r>
      <rPr>
        <sz val="10"/>
        <rFont val="Arial Narrow"/>
        <family val="2"/>
      </rPr>
      <t xml:space="preserve"> </t>
    </r>
    <r>
      <rPr>
        <sz val="10"/>
        <rFont val="굴림체"/>
        <family val="3"/>
        <charset val="129"/>
      </rPr>
      <t>기</t>
    </r>
    <r>
      <rPr>
        <sz val="10"/>
        <rFont val="Arial Narrow"/>
        <family val="2"/>
      </rPr>
      <t xml:space="preserve"> </t>
    </r>
    <r>
      <rPr>
        <sz val="10"/>
        <rFont val="굴림체"/>
        <family val="3"/>
        <charset val="129"/>
      </rPr>
      <t>참</t>
    </r>
    <r>
      <rPr>
        <sz val="10"/>
        <rFont val="Arial Narrow"/>
        <family val="2"/>
      </rPr>
      <t xml:space="preserve"> </t>
    </r>
    <r>
      <rPr>
        <sz val="10"/>
        <rFont val="굴림체"/>
        <family val="3"/>
        <charset val="129"/>
      </rPr>
      <t>조</t>
    </r>
  </si>
  <si>
    <r>
      <t>하</t>
    </r>
    <r>
      <rPr>
        <sz val="10"/>
        <rFont val="Arial Narrow"/>
        <family val="2"/>
      </rPr>
      <t xml:space="preserve"> </t>
    </r>
    <r>
      <rPr>
        <sz val="10"/>
        <rFont val="굴림체"/>
        <family val="3"/>
        <charset val="129"/>
      </rPr>
      <t>기</t>
    </r>
    <r>
      <rPr>
        <sz val="10"/>
        <rFont val="Arial Narrow"/>
        <family val="2"/>
      </rPr>
      <t xml:space="preserve"> </t>
    </r>
    <r>
      <rPr>
        <sz val="10"/>
        <rFont val="굴림체"/>
        <family val="3"/>
        <charset val="129"/>
      </rPr>
      <t>와</t>
    </r>
    <r>
      <rPr>
        <sz val="10"/>
        <rFont val="Arial Narrow"/>
        <family val="2"/>
      </rPr>
      <t xml:space="preserve"> </t>
    </r>
    <r>
      <rPr>
        <sz val="10"/>
        <rFont val="굴림체"/>
        <family val="3"/>
        <charset val="129"/>
      </rPr>
      <t>같</t>
    </r>
    <r>
      <rPr>
        <sz val="10"/>
        <rFont val="Arial Narrow"/>
        <family val="2"/>
      </rPr>
      <t xml:space="preserve"> </t>
    </r>
    <r>
      <rPr>
        <sz val="10"/>
        <rFont val="굴림체"/>
        <family val="3"/>
        <charset val="129"/>
      </rPr>
      <t>이</t>
    </r>
    <r>
      <rPr>
        <sz val="10"/>
        <rFont val="Arial Narrow"/>
        <family val="2"/>
      </rPr>
      <t xml:space="preserve"> </t>
    </r>
    <r>
      <rPr>
        <sz val="10"/>
        <rFont val="굴림체"/>
        <family val="3"/>
        <charset val="129"/>
      </rPr>
      <t>견</t>
    </r>
    <r>
      <rPr>
        <sz val="10"/>
        <rFont val="Arial Narrow"/>
        <family val="2"/>
      </rPr>
      <t xml:space="preserve"> </t>
    </r>
    <r>
      <rPr>
        <sz val="10"/>
        <rFont val="굴림체"/>
        <family val="3"/>
        <charset val="129"/>
      </rPr>
      <t>적</t>
    </r>
    <r>
      <rPr>
        <sz val="10"/>
        <rFont val="Arial Narrow"/>
        <family val="2"/>
      </rPr>
      <t xml:space="preserve"> </t>
    </r>
    <r>
      <rPr>
        <sz val="10"/>
        <rFont val="굴림체"/>
        <family val="3"/>
        <charset val="129"/>
      </rPr>
      <t>합</t>
    </r>
    <r>
      <rPr>
        <sz val="10"/>
        <rFont val="Arial Narrow"/>
        <family val="2"/>
      </rPr>
      <t xml:space="preserve"> </t>
    </r>
    <r>
      <rPr>
        <sz val="10"/>
        <rFont val="굴림체"/>
        <family val="3"/>
        <charset val="129"/>
      </rPr>
      <t>니</t>
    </r>
    <r>
      <rPr>
        <sz val="10"/>
        <rFont val="Arial Narrow"/>
        <family val="2"/>
      </rPr>
      <t xml:space="preserve"> </t>
    </r>
    <r>
      <rPr>
        <sz val="10"/>
        <rFont val="굴림체"/>
        <family val="3"/>
        <charset val="129"/>
      </rPr>
      <t>다</t>
    </r>
  </si>
  <si>
    <r>
      <t>(</t>
    </r>
    <r>
      <rPr>
        <sz val="10"/>
        <rFont val="굴림체"/>
        <family val="3"/>
        <charset val="129"/>
      </rPr>
      <t>단위</t>
    </r>
    <r>
      <rPr>
        <sz val="10"/>
        <rFont val="Arial Narrow"/>
        <family val="2"/>
      </rPr>
      <t xml:space="preserve"> : </t>
    </r>
    <r>
      <rPr>
        <sz val="10"/>
        <rFont val="굴림체"/>
        <family val="3"/>
        <charset val="129"/>
      </rPr>
      <t>원</t>
    </r>
    <r>
      <rPr>
        <sz val="10"/>
        <rFont val="Arial Narrow"/>
        <family val="2"/>
      </rPr>
      <t>)</t>
    </r>
    <phoneticPr fontId="5" type="noConversion"/>
  </si>
  <si>
    <t>NO</t>
  </si>
  <si>
    <t>DESCRIPTION</t>
  </si>
  <si>
    <t>Unit Price</t>
    <phoneticPr fontId="21" type="noConversion"/>
  </si>
  <si>
    <t>Licensing Metric</t>
    <phoneticPr fontId="21" type="noConversion"/>
  </si>
  <si>
    <t>Q'ty</t>
  </si>
  <si>
    <t>TOTAL/PRICE</t>
  </si>
  <si>
    <t>Sales Representative</t>
    <phoneticPr fontId="10" type="noConversion"/>
  </si>
  <si>
    <t>Customer Signature</t>
  </si>
  <si>
    <t>이 형 진</t>
    <phoneticPr fontId="10" type="noConversion"/>
  </si>
  <si>
    <t>최종 제안 금액(VAT 별도)</t>
    <phoneticPr fontId="21" type="noConversion"/>
  </si>
  <si>
    <t>최종 제안 금액(VAT 포함)</t>
    <phoneticPr fontId="21" type="noConversion"/>
  </si>
  <si>
    <t>Item</t>
  </si>
  <si>
    <t>Description</t>
  </si>
  <si>
    <t>Others</t>
  </si>
  <si>
    <t>Unit</t>
  </si>
  <si>
    <r>
      <rPr>
        <b/>
        <sz val="13"/>
        <rFont val="굴림체"/>
        <family val="3"/>
        <charset val="129"/>
      </rPr>
      <t>견</t>
    </r>
    <r>
      <rPr>
        <b/>
        <sz val="13"/>
        <rFont val="Arial Narrow"/>
        <family val="2"/>
      </rPr>
      <t xml:space="preserve"> </t>
    </r>
    <r>
      <rPr>
        <b/>
        <sz val="13"/>
        <rFont val="굴림체"/>
        <family val="3"/>
        <charset val="129"/>
      </rPr>
      <t>적</t>
    </r>
    <r>
      <rPr>
        <b/>
        <sz val="13"/>
        <rFont val="Arial Narrow"/>
        <family val="2"/>
      </rPr>
      <t xml:space="preserve"> </t>
    </r>
    <r>
      <rPr>
        <b/>
        <sz val="13"/>
        <rFont val="굴림체"/>
        <family val="3"/>
        <charset val="129"/>
      </rPr>
      <t>금</t>
    </r>
    <r>
      <rPr>
        <b/>
        <sz val="13"/>
        <rFont val="Arial Narrow"/>
        <family val="2"/>
      </rPr>
      <t xml:space="preserve"> </t>
    </r>
    <r>
      <rPr>
        <b/>
        <sz val="13"/>
        <rFont val="굴림체"/>
        <family val="3"/>
        <charset val="129"/>
      </rPr>
      <t>액</t>
    </r>
    <r>
      <rPr>
        <b/>
        <sz val="13"/>
        <rFont val="Arial Narrow"/>
        <family val="2"/>
      </rPr>
      <t xml:space="preserve"> (VAT </t>
    </r>
    <r>
      <rPr>
        <b/>
        <sz val="13"/>
        <rFont val="굴림체"/>
        <family val="3"/>
        <charset val="129"/>
      </rPr>
      <t>별도</t>
    </r>
    <r>
      <rPr>
        <b/>
        <sz val="13"/>
        <rFont val="Arial Narrow"/>
        <family val="2"/>
      </rPr>
      <t>)</t>
    </r>
    <phoneticPr fontId="5" type="noConversion"/>
  </si>
  <si>
    <t>Others</t>
    <phoneticPr fontId="4" type="noConversion"/>
  </si>
  <si>
    <r>
      <t>고</t>
    </r>
    <r>
      <rPr>
        <b/>
        <sz val="11"/>
        <rFont val="Times New Roman"/>
        <family val="1"/>
      </rPr>
      <t xml:space="preserve">  </t>
    </r>
    <r>
      <rPr>
        <b/>
        <sz val="11"/>
        <rFont val="돋움"/>
        <family val="3"/>
        <charset val="129"/>
      </rPr>
      <t>객</t>
    </r>
    <r>
      <rPr>
        <b/>
        <sz val="11"/>
        <rFont val="Times New Roman"/>
        <family val="1"/>
      </rPr>
      <t xml:space="preserve">  </t>
    </r>
    <r>
      <rPr>
        <b/>
        <sz val="11"/>
        <rFont val="돋움"/>
        <family val="3"/>
        <charset val="129"/>
      </rPr>
      <t>명</t>
    </r>
    <r>
      <rPr>
        <b/>
        <sz val="11"/>
        <rFont val="Times New Roman"/>
        <family val="1"/>
      </rPr>
      <t xml:space="preserve">:  </t>
    </r>
    <r>
      <rPr>
        <b/>
        <sz val="11"/>
        <rFont val="돋움"/>
        <family val="3"/>
        <charset val="129"/>
      </rPr>
      <t>한국산업은행</t>
    </r>
    <phoneticPr fontId="10" type="noConversion"/>
  </si>
  <si>
    <r>
      <t xml:space="preserve">   </t>
    </r>
    <r>
      <rPr>
        <b/>
        <sz val="11"/>
        <rFont val="돋움"/>
        <family val="3"/>
        <charset val="129"/>
      </rPr>
      <t>대</t>
    </r>
    <r>
      <rPr>
        <b/>
        <sz val="11"/>
        <rFont val="Times New Roman"/>
        <family val="1"/>
      </rPr>
      <t xml:space="preserve"> </t>
    </r>
    <r>
      <rPr>
        <b/>
        <sz val="11"/>
        <rFont val="돋움"/>
        <family val="3"/>
        <charset val="129"/>
      </rPr>
      <t>표</t>
    </r>
    <r>
      <rPr>
        <b/>
        <sz val="11"/>
        <rFont val="Times New Roman"/>
        <family val="1"/>
      </rPr>
      <t xml:space="preserve"> </t>
    </r>
    <r>
      <rPr>
        <b/>
        <sz val="11"/>
        <rFont val="돋움"/>
        <family val="3"/>
        <charset val="129"/>
      </rPr>
      <t>이</t>
    </r>
    <r>
      <rPr>
        <b/>
        <sz val="11"/>
        <rFont val="Times New Roman"/>
        <family val="1"/>
      </rPr>
      <t xml:space="preserve"> </t>
    </r>
    <r>
      <rPr>
        <b/>
        <sz val="11"/>
        <rFont val="돋움"/>
        <family val="3"/>
        <charset val="129"/>
      </rPr>
      <t>사</t>
    </r>
    <r>
      <rPr>
        <b/>
        <sz val="11"/>
        <rFont val="Times New Roman"/>
        <family val="1"/>
      </rPr>
      <t xml:space="preserve">     홍</t>
    </r>
    <r>
      <rPr>
        <b/>
        <sz val="11"/>
        <rFont val="맑은 고딕"/>
        <family val="1"/>
        <charset val="129"/>
      </rPr>
      <t xml:space="preserve"> 승 민</t>
    </r>
    <phoneticPr fontId="10" type="noConversion"/>
  </si>
  <si>
    <t>견 적 서</t>
    <phoneticPr fontId="5" type="noConversion"/>
  </si>
  <si>
    <t>Exadata X10M-2(HC)Quarter Rack(1/4) Base</t>
    <phoneticPr fontId="18" type="noConversion"/>
  </si>
  <si>
    <t>(1.5TB Memory / DB node=Total 3.0TB Memory)</t>
    <phoneticPr fontId="18" type="noConversion"/>
  </si>
  <si>
    <t>Storage node(HC)</t>
    <phoneticPr fontId="18" type="noConversion"/>
  </si>
  <si>
    <t>[7604168] Oracle Quad Port 10Gbase-T Adapter v2</t>
    <phoneticPr fontId="18" type="noConversion"/>
  </si>
  <si>
    <t>[7120053] Dual rate transceiver: SFP+ SR. 1Gb, 10Gb/sec</t>
    <phoneticPr fontId="18" type="noConversion"/>
  </si>
  <si>
    <t xml:space="preserve">[7605973] Exadata Storage Server X10M (HC) </t>
  </si>
  <si>
    <r>
      <t>X10M QR H/W_</t>
    </r>
    <r>
      <rPr>
        <b/>
        <sz val="12"/>
        <rFont val="Arial Unicode MS"/>
        <family val="2"/>
        <charset val="129"/>
      </rPr>
      <t>정보계 운영</t>
    </r>
    <phoneticPr fontId="18" type="noConversion"/>
  </si>
  <si>
    <r>
      <t>X10M QR H/W_</t>
    </r>
    <r>
      <rPr>
        <b/>
        <sz val="12"/>
        <rFont val="Arial Unicode MS"/>
        <family val="2"/>
        <charset val="129"/>
      </rPr>
      <t>정보계 DR</t>
    </r>
    <phoneticPr fontId="18" type="noConversion"/>
  </si>
  <si>
    <t>{B51555] Oracle Exadata Configuration Service (1rack)</t>
    <phoneticPr fontId="10" type="noConversion"/>
  </si>
  <si>
    <t>[B74194] H/W System Installation service - Basic service</t>
    <phoneticPr fontId="18" type="noConversion"/>
  </si>
  <si>
    <t>[B63939] Oracle Standard System Installation Service,
             Basic: Upgrade - Group III</t>
    <phoneticPr fontId="18" type="noConversion"/>
  </si>
  <si>
    <t>[B63937] H/W System Installation service - NIC &amp; GBIC</t>
    <phoneticPr fontId="18" type="noConversion"/>
  </si>
  <si>
    <t>Hardware Freight Fee</t>
    <phoneticPr fontId="18" type="noConversion"/>
  </si>
  <si>
    <t>무진동차량</t>
    <phoneticPr fontId="18" type="noConversion"/>
  </si>
  <si>
    <t>금액</t>
    <phoneticPr fontId="18" type="noConversion"/>
  </si>
  <si>
    <t>DB 이관비용, Oracle DB 버전 마이그레이션 비용등의 추가 지원은 기술료를 별도로 산정 하여야 합니다.</t>
    <phoneticPr fontId="10" type="noConversion"/>
  </si>
  <si>
    <t>Warranty 는 delivery 일자 기준 1년(+Additional Support 구매 월수)이며 이후 HW 12% / SW 22%의 유지보수 (PS) 비용이 발생합니다</t>
    <phoneticPr fontId="10" type="noConversion"/>
  </si>
  <si>
    <t>HW Delivery 기간은 발주 후 약 6주 소요됩니다.</t>
    <phoneticPr fontId="10" type="noConversion"/>
  </si>
  <si>
    <t>Advanced Customer Service (Time &amp; Materials) - Oracle Onsite Support는 필요시 별도로 구매 하셔야 합니다</t>
    <phoneticPr fontId="10" type="noConversion"/>
  </si>
  <si>
    <t>Exadata 2안</t>
    <phoneticPr fontId="18" type="noConversion"/>
  </si>
  <si>
    <t>Total</t>
    <phoneticPr fontId="18" type="noConversion"/>
  </si>
  <si>
    <t xml:space="preserve">  T&amp;Cs</t>
    <phoneticPr fontId="18" type="noConversion"/>
  </si>
  <si>
    <t xml:space="preserve"> </t>
    <phoneticPr fontId="18" type="noConversion"/>
  </si>
  <si>
    <t>Rerocation serveice</t>
    <phoneticPr fontId="18" type="noConversion"/>
  </si>
  <si>
    <t>[B82707] ACS Estimated T&amp;E (Travel &amp; Expense)</t>
    <phoneticPr fontId="18" type="noConversion"/>
  </si>
  <si>
    <t>DH H/W,OGG 기술 지원시간_240시간</t>
    <phoneticPr fontId="18" type="noConversion"/>
  </si>
  <si>
    <t>Additional Support HW (Month)_1개월</t>
    <phoneticPr fontId="18" type="noConversion"/>
  </si>
  <si>
    <t>컨설팅 상주 비용(DBA,SQL Tunner)</t>
    <phoneticPr fontId="4" type="noConversion"/>
  </si>
  <si>
    <t xml:space="preserve">견       적       서 </t>
    <phoneticPr fontId="5" type="noConversion"/>
  </si>
  <si>
    <t>일      자:</t>
    <phoneticPr fontId="10" type="noConversion"/>
  </si>
  <si>
    <t xml:space="preserve">[주] 데 이 타 헤 븐 </t>
    <phoneticPr fontId="10" type="noConversion"/>
  </si>
  <si>
    <t xml:space="preserve">견적번호: </t>
    <phoneticPr fontId="10" type="noConversion"/>
  </si>
  <si>
    <t>대표이사   홍 승 민</t>
    <phoneticPr fontId="10" type="noConversion"/>
  </si>
  <si>
    <t>고객사명:</t>
    <phoneticPr fontId="10" type="noConversion"/>
  </si>
  <si>
    <t>한국산업은행</t>
    <phoneticPr fontId="18" type="noConversion"/>
  </si>
  <si>
    <t>경기도 성남시 분당구 판교역로 230</t>
    <phoneticPr fontId="18" type="noConversion"/>
  </si>
  <si>
    <t>삼환하이펙스 B동 517호</t>
    <phoneticPr fontId="18" type="noConversion"/>
  </si>
  <si>
    <t>대 표 전 화 : 02) 3454-1112</t>
    <phoneticPr fontId="10" type="noConversion"/>
  </si>
  <si>
    <t>금  액 : 하 기 참 조</t>
  </si>
  <si>
    <t>하 기 와 같 이 견 적 합 니 다</t>
  </si>
  <si>
    <t xml:space="preserve">*프로젝트명 : </t>
    <phoneticPr fontId="18" type="noConversion"/>
  </si>
  <si>
    <t>(단위 : 원)</t>
    <phoneticPr fontId="5" type="noConversion"/>
  </si>
  <si>
    <t>Consulting Level</t>
    <phoneticPr fontId="21" type="noConversion"/>
  </si>
  <si>
    <t>List Price</t>
    <phoneticPr fontId="21" type="noConversion"/>
  </si>
  <si>
    <t>Proposal Price</t>
    <phoneticPr fontId="21" type="noConversion"/>
  </si>
  <si>
    <t>M/M</t>
    <phoneticPr fontId="18" type="noConversion"/>
  </si>
  <si>
    <t xml:space="preserve">컨설팅 상주 서비스 </t>
    <phoneticPr fontId="21" type="noConversion"/>
  </si>
  <si>
    <t>DBA</t>
    <phoneticPr fontId="18" type="noConversion"/>
  </si>
  <si>
    <t>수석컨설턴트</t>
    <phoneticPr fontId="18" type="noConversion"/>
  </si>
  <si>
    <t>SQL 튜너</t>
    <phoneticPr fontId="18" type="noConversion"/>
  </si>
  <si>
    <t>컨설팅 상주 서비스 견 적 금 액 (VAT 별도)</t>
    <phoneticPr fontId="5" type="noConversion"/>
  </si>
  <si>
    <t>컨설팅 총 견 적 금 액 (VAT 별도)</t>
    <phoneticPr fontId="5" type="noConversion"/>
  </si>
  <si>
    <t>- 조   건 -</t>
    <phoneticPr fontId="5" type="noConversion"/>
  </si>
  <si>
    <t>1. 견적유효기간 : 견적일로부터 30일</t>
    <phoneticPr fontId="5" type="noConversion"/>
  </si>
  <si>
    <t>2. 대금지불 : 세금계산서 발행일로부터 30일이내 현금</t>
    <phoneticPr fontId="18" type="noConversion"/>
  </si>
  <si>
    <t>3. 컨설팅 상주 인력의 투입 시기는 양사 간 일정을 조정하여 투입될 수 있습니다.</t>
    <phoneticPr fontId="18" type="noConversion"/>
  </si>
  <si>
    <t>제    안    금    액 ( VAT 포함 )</t>
    <phoneticPr fontId="10" type="noConversion"/>
  </si>
  <si>
    <t>* 담당자 : 이형진 부장 (010-3313-2340, hjlee@dataheaven.co.kr)</t>
    <phoneticPr fontId="18" type="noConversion"/>
  </si>
  <si>
    <t>Oracle ACS 10일</t>
    <phoneticPr fontId="18" type="noConversion"/>
  </si>
  <si>
    <t>구분</t>
    <phoneticPr fontId="10" type="noConversion"/>
  </si>
  <si>
    <t>모델번호</t>
    <phoneticPr fontId="10" type="noConversion"/>
  </si>
  <si>
    <t>상세내역</t>
    <phoneticPr fontId="10" type="noConversion"/>
  </si>
  <si>
    <t>수량</t>
    <phoneticPr fontId="10" type="noConversion"/>
  </si>
  <si>
    <t>소비자단가</t>
    <phoneticPr fontId="10" type="noConversion"/>
  </si>
  <si>
    <t>소비자금액</t>
    <phoneticPr fontId="10" type="noConversion"/>
  </si>
  <si>
    <t>제안단가</t>
    <phoneticPr fontId="10" type="noConversion"/>
  </si>
  <si>
    <t>제안금액</t>
    <phoneticPr fontId="10" type="noConversion"/>
  </si>
  <si>
    <t>ZS9-2</t>
    <phoneticPr fontId="4" type="noConversion"/>
  </si>
  <si>
    <t>ZS9-2
Appliance
( 주센터 )</t>
    <phoneticPr fontId="4" type="noConversion"/>
  </si>
  <si>
    <t>Oracle ZFS Storage ZS9-2 mid-range controller: ATO model family</t>
    <phoneticPr fontId="4" type="noConversion"/>
  </si>
  <si>
    <t>DC Rate</t>
    <phoneticPr fontId="4" type="noConversion"/>
  </si>
  <si>
    <t>Oracle ZFS Storage ZS9-2: controller, mid-range</t>
    <phoneticPr fontId="4" type="noConversion"/>
  </si>
  <si>
    <t xml:space="preserve">Cable: 3 meters, mini-SAS HD to mini-SAS HD, active optical (for factory installation)			</t>
    <phoneticPr fontId="4" type="noConversion"/>
  </si>
  <si>
    <t xml:space="preserve">Oracle Dual Port 100 Gb Ethernet Adapter, Mellanox (for factory installation)		</t>
    <phoneticPr fontId="4" type="noConversion"/>
  </si>
  <si>
    <t xml:space="preserve">QSFP28 short-range transceiver (for factory installation)		</t>
    <phoneticPr fontId="4" type="noConversion"/>
  </si>
  <si>
    <t xml:space="preserve">Optical cable assembly: 20 meters, MT ferrule terminated, 12-fiber, multimode, MPO connectors		</t>
    <phoneticPr fontId="4" type="noConversion"/>
  </si>
  <si>
    <t xml:space="preserve">Oracle Dual Port 25 Gb Ethernet Adapter, Mellanox (for factory installation)		</t>
    <phoneticPr fontId="4" type="noConversion"/>
  </si>
  <si>
    <t>Oracle 1/10 GbE Dual Rate SFP+ Short Range (SR) Transceiver (for factory installation)</t>
    <phoneticPr fontId="4" type="noConversion"/>
  </si>
  <si>
    <t>SR-JUMP-2MC13</t>
    <phoneticPr fontId="4" type="noConversion"/>
  </si>
  <si>
    <t>Power code: Sun  Rack 2 Jumper, 1meter, C14RA plug, C13 (for factory installation)</t>
    <phoneticPr fontId="4" type="noConversion"/>
  </si>
  <si>
    <t>Oracle ZFS Storage Appliance Cloning - Integrated Software Option - per Management Controller Metric</t>
    <phoneticPr fontId="4" type="noConversion"/>
  </si>
  <si>
    <t>Oracle Storage Drive Enclosure DE3-24C</t>
    <phoneticPr fontId="4" type="noConversion"/>
  </si>
  <si>
    <t xml:space="preserve">Oracle Storage Drive Enclosure DE3-24C: base chassis (for factory installation)	</t>
    <phoneticPr fontId="4" type="noConversion"/>
  </si>
  <si>
    <t>One 22 TB 7200 rpm 3.5-inch SAS-3 HDD with coral bracket (for factory installation)</t>
    <phoneticPr fontId="4" type="noConversion"/>
  </si>
  <si>
    <t xml:space="preserve">One 3.5-inch eMLC SAS SSD write flash accelerator with coral-dory bracket (for factory installation)		</t>
    <phoneticPr fontId="4" type="noConversion"/>
  </si>
  <si>
    <t xml:space="preserve">Cable: 3 meter, mini SAS HD to mini SAS HD (for factory installation)		</t>
    <phoneticPr fontId="4" type="noConversion"/>
  </si>
  <si>
    <t>Rack</t>
    <phoneticPr fontId="4" type="noConversion"/>
  </si>
  <si>
    <t>Oracle Rack Cabinet 1242</t>
  </si>
  <si>
    <t>1-phase high voltage 22 kVA PDU with 4P5W-IP44 plugs for Korea only</t>
  </si>
  <si>
    <t>Service</t>
    <phoneticPr fontId="4" type="noConversion"/>
  </si>
  <si>
    <t>B59411</t>
  </si>
  <si>
    <t>Hardware Freight Fee</t>
  </si>
  <si>
    <t>B61473</t>
  </si>
  <si>
    <t>Oracle Standard System Installation Service, Basic: Storage Disk - Group I</t>
  </si>
  <si>
    <t>B61971</t>
  </si>
  <si>
    <t>Oracle Standard System Installation Service, Without Site Audit: Storage Disk - Group III</t>
  </si>
  <si>
    <t>B58121</t>
  </si>
  <si>
    <t>Oracle Premier Support for Systems (1 Year)</t>
    <phoneticPr fontId="4" type="noConversion"/>
  </si>
  <si>
    <t>ACS</t>
  </si>
  <si>
    <t>Advanced Customer Service - ZFS authorized partner execution</t>
  </si>
  <si>
    <t>소     계</t>
    <phoneticPr fontId="10" type="noConversion"/>
  </si>
  <si>
    <t>소     계 (부가세포함)</t>
    <phoneticPr fontId="10" type="noConversion"/>
  </si>
  <si>
    <t xml:space="preserve"> (*) 무상유지보수 : 1년</t>
    <phoneticPr fontId="10" type="noConversion"/>
  </si>
  <si>
    <t xml:space="preserve">ZS9-2 Appliance* 1 Set </t>
    <phoneticPr fontId="10" type="noConversion"/>
  </si>
  <si>
    <r>
      <t>일</t>
    </r>
    <r>
      <rPr>
        <b/>
        <sz val="11"/>
        <rFont val="돋움"/>
        <family val="1"/>
        <charset val="129"/>
      </rPr>
      <t xml:space="preserve">        </t>
    </r>
    <r>
      <rPr>
        <b/>
        <sz val="11"/>
        <rFont val="돋움"/>
        <family val="3"/>
        <charset val="129"/>
      </rPr>
      <t>자</t>
    </r>
    <r>
      <rPr>
        <b/>
        <sz val="11"/>
        <rFont val="돋움"/>
        <family val="1"/>
        <charset val="129"/>
      </rPr>
      <t>: 2024.10.17</t>
    </r>
    <phoneticPr fontId="10" type="noConversion"/>
  </si>
  <si>
    <r>
      <t>견적번호</t>
    </r>
    <r>
      <rPr>
        <b/>
        <sz val="11"/>
        <rFont val="Times New Roman"/>
        <family val="1"/>
      </rPr>
      <t>: DH202410-1782</t>
    </r>
    <phoneticPr fontId="10" type="noConversion"/>
  </si>
  <si>
    <t>일        자: 2024.10.17</t>
  </si>
  <si>
    <r>
      <t>견적번호</t>
    </r>
    <r>
      <rPr>
        <b/>
        <sz val="11"/>
        <rFont val="Times New Roman"/>
        <family val="1"/>
      </rPr>
      <t>: DH202410-1781</t>
    </r>
    <phoneticPr fontId="10" type="noConversion"/>
  </si>
  <si>
    <t xml:space="preserve">Usable : 1,170 TB </t>
    <phoneticPr fontId="10" type="noConversion"/>
  </si>
  <si>
    <t>DH2410-1781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</si>
</sst>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₩&quot;* #,##0_-;\-&quot;₩&quot;* #,##0_-;_-&quot;₩&quot;* &quot;-&quot;_-;_-@_-"/>
    <numFmt numFmtId="41" formatCode="_-* #,##0_-;\-* #,##0_-;_-* &quot;-&quot;_-;_-@_-"/>
    <numFmt numFmtId="176" formatCode="#,##0;[Red]&quot;-&quot;#,##0"/>
    <numFmt numFmtId="177" formatCode="#,##0_);[Red]\(#,##0\)"/>
    <numFmt numFmtId="178" formatCode="&quot;₩&quot;#,##0"/>
    <numFmt numFmtId="179" formatCode="&quot;₩&quot;#,##0.00;&quot;₩&quot;&quot;₩&quot;&quot;₩&quot;\!\-&quot;₩&quot;#,##0.00"/>
    <numFmt numFmtId="180" formatCode="&quot;₩&quot;#,##0.00;[Red]&quot;₩&quot;&quot;₩&quot;&quot;₩&quot;\!\-&quot;₩&quot;#,##0.00"/>
    <numFmt numFmtId="181" formatCode="mmm&quot;-&quot;yy"/>
    <numFmt numFmtId="182" formatCode="#,##0_);&quot;₩&quot;&quot;₩&quot;&quot;₩&quot;&quot;₩&quot;\(#,##0&quot;₩&quot;&quot;₩&quot;&quot;₩&quot;&quot;₩&quot;\)"/>
    <numFmt numFmtId="183" formatCode="_-* #,##0.00_-;&quot;₩&quot;\-* #,##0.00_-;_-* &quot;-&quot;??_-;_-@_-"/>
    <numFmt numFmtId="184" formatCode="_ * #,##0_ ;_ * \-#,##0_ ;_ * &quot;-&quot;_ ;_ @_ "/>
    <numFmt numFmtId="185" formatCode="_ * #,##0.00_ ;_ * \-#,##0.00_ ;_ * &quot;-&quot;??_ ;_ @_ "/>
    <numFmt numFmtId="186" formatCode="_-* #,##0_-;\-* #,##0_-;_-* \-_-;_-@_-"/>
    <numFmt numFmtId="187" formatCode="_-&quot;₩&quot;* #,##0_-;&quot;-\&quot;* #,##0_-;_-&quot;₩&quot;* \-_-;_-@_-"/>
    <numFmt numFmtId="188" formatCode="#,##0.00;[Red]&quot;-&quot;#,##0.00"/>
    <numFmt numFmtId="189" formatCode="yyyy&quot;년&quot;\ m&quot;월&quot;\ d&quot;일&quot;;@"/>
    <numFmt numFmtId="191" formatCode="&quot; ZS9-2 Appliance * &quot;\ #\ &quot;Set&quot;"/>
    <numFmt numFmtId="192" formatCode="&quot;Usable :&quot;\ #,##0\ &quot;TB&quot;"/>
  </numFmts>
  <fonts count="77">
    <font>
      <sz val="12"/>
      <name val="바탕체"/>
      <family val="1"/>
      <charset val="129"/>
    </font>
    <font>
      <sz val="11"/>
      <name val="돋움"/>
      <family val="3"/>
      <charset val="129"/>
    </font>
    <font>
      <b/>
      <u/>
      <sz val="24"/>
      <name val="굴림체"/>
      <family val="3"/>
      <charset val="129"/>
    </font>
    <font>
      <b/>
      <u/>
      <sz val="24"/>
      <name val="Arial Narrow"/>
      <family val="2"/>
    </font>
    <font>
      <sz val="8"/>
      <name val="맑은 고딕"/>
      <family val="2"/>
      <charset val="129"/>
      <scheme val="minor"/>
    </font>
    <font>
      <sz val="8"/>
      <name val="바탕"/>
      <family val="1"/>
      <charset val="129"/>
    </font>
    <font>
      <sz val="12"/>
      <name val="바탕체"/>
      <family val="1"/>
      <charset val="129"/>
    </font>
    <font>
      <sz val="12"/>
      <name val="Arial Narrow"/>
      <family val="2"/>
    </font>
    <font>
      <b/>
      <sz val="11"/>
      <name val="돋움"/>
      <family val="3"/>
      <charset val="129"/>
    </font>
    <font>
      <b/>
      <sz val="11"/>
      <name val="Times New Roman"/>
      <family val="1"/>
    </font>
    <font>
      <sz val="8"/>
      <name val="돋움"/>
      <family val="3"/>
      <charset val="129"/>
    </font>
    <font>
      <b/>
      <sz val="11"/>
      <name val="바탕"/>
      <family val="1"/>
      <charset val="129"/>
    </font>
    <font>
      <b/>
      <sz val="10"/>
      <name val="Times New Roman"/>
      <family val="1"/>
    </font>
    <font>
      <b/>
      <sz val="10"/>
      <name val="바탕"/>
      <family val="1"/>
      <charset val="129"/>
    </font>
    <font>
      <b/>
      <sz val="10"/>
      <name val="돋움"/>
      <family val="3"/>
      <charset val="129"/>
    </font>
    <font>
      <sz val="10"/>
      <name val="굴림체"/>
      <family val="3"/>
      <charset val="129"/>
    </font>
    <font>
      <sz val="10"/>
      <name val="Arial Narrow"/>
      <family val="2"/>
    </font>
    <font>
      <b/>
      <sz val="11"/>
      <name val="Arial Narrow"/>
      <family val="2"/>
    </font>
    <font>
      <sz val="8"/>
      <name val="바탕체"/>
      <family val="1"/>
      <charset val="129"/>
    </font>
    <font>
      <b/>
      <sz val="12"/>
      <name val="Arial Narrow"/>
      <family val="2"/>
    </font>
    <font>
      <b/>
      <sz val="13"/>
      <name val="Arial Narrow"/>
      <family val="2"/>
    </font>
    <font>
      <sz val="11"/>
      <name val="Arial Narrow"/>
      <family val="2"/>
    </font>
    <font>
      <b/>
      <sz val="13"/>
      <name val="굴림체"/>
      <family val="3"/>
      <charset val="129"/>
    </font>
    <font>
      <b/>
      <sz val="13"/>
      <color indexed="9"/>
      <name val="굴림체"/>
      <family val="3"/>
      <charset val="129"/>
    </font>
    <font>
      <b/>
      <sz val="13"/>
      <color indexed="9"/>
      <name val="Arial Narrow"/>
      <family val="2"/>
    </font>
    <font>
      <sz val="8"/>
      <name val="Arial Narrow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9"/>
      <name val="Times New Roman"/>
      <family val="1"/>
    </font>
    <font>
      <sz val="10"/>
      <name val="바탕"/>
      <family val="1"/>
      <charset val="129"/>
    </font>
    <font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0"/>
      <name val="Helv"/>
      <family val="2"/>
    </font>
    <font>
      <sz val="10"/>
      <name val="MS Sans Serif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20"/>
      <name val="HP Logo LG"/>
      <family val="2"/>
    </font>
    <font>
      <u/>
      <sz val="10"/>
      <color indexed="12"/>
      <name val="MS Sans Serif"/>
      <family val="2"/>
    </font>
    <font>
      <sz val="12"/>
      <name val="돋움"/>
      <family val="3"/>
      <charset val="129"/>
    </font>
    <font>
      <b/>
      <sz val="12"/>
      <name val="돋움"/>
      <family val="3"/>
      <charset val="129"/>
    </font>
    <font>
      <b/>
      <sz val="11"/>
      <name val="맑은 고딕"/>
      <family val="1"/>
      <charset val="129"/>
    </font>
    <font>
      <b/>
      <sz val="10"/>
      <name val="맑은 고딕"/>
      <family val="2"/>
      <charset val="129"/>
    </font>
    <font>
      <b/>
      <sz val="12"/>
      <name val="Arial Unicode MS"/>
      <family val="2"/>
      <charset val="129"/>
    </font>
    <font>
      <sz val="10"/>
      <color rgb="FFFF0000"/>
      <name val="Malgun Gothic Semilight"/>
      <family val="3"/>
      <charset val="129"/>
    </font>
    <font>
      <b/>
      <sz val="11"/>
      <name val="돋움"/>
      <family val="1"/>
      <charset val="129"/>
    </font>
    <font>
      <sz val="12"/>
      <name val="새굴림"/>
      <family val="2"/>
      <charset val="129"/>
    </font>
    <font>
      <b/>
      <u/>
      <sz val="24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indexed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name val="Arial"/>
      <family val="2"/>
    </font>
    <font>
      <b/>
      <sz val="10"/>
      <color rgb="FF33333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333333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b/>
      <sz val="10"/>
      <color rgb="FF333333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ajor"/>
    </font>
    <font>
      <b/>
      <sz val="10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name val="맑은 고딕"/>
      <family val="3"/>
      <charset val="129"/>
    </font>
    <font>
      <sz val="1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 diagonalUp="1" diagonalDown="1"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/>
      <top style="medium">
        <color indexed="8"/>
      </top>
      <bottom style="double">
        <color indexed="8"/>
      </bottom>
      <diagonal/>
    </border>
    <border>
      <left/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double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7">
    <xf numFmtId="0" fontId="0" fillId="0" borderId="0"/>
    <xf numFmtId="176" fontId="6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6" fillId="0" borderId="0"/>
    <xf numFmtId="0" fontId="6" fillId="0" borderId="0"/>
    <xf numFmtId="0" fontId="32" fillId="0" borderId="0"/>
    <xf numFmtId="0" fontId="32" fillId="0" borderId="0"/>
    <xf numFmtId="0" fontId="33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9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0" fontId="34" fillId="0" borderId="0"/>
    <xf numFmtId="0" fontId="32" fillId="0" borderId="20" quotePrefix="1">
      <alignment horizontal="justify" vertical="justify" textRotation="127" wrapText="1" justifyLastLine="1"/>
      <protection hidden="1"/>
    </xf>
    <xf numFmtId="0" fontId="32" fillId="0" borderId="0"/>
    <xf numFmtId="3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8" fontId="35" fillId="2" borderId="0" applyNumberFormat="0" applyBorder="0" applyAlignment="0" applyProtection="0"/>
    <xf numFmtId="0" fontId="36" fillId="0" borderId="21" applyFill="0" applyBorder="0"/>
    <xf numFmtId="0" fontId="35" fillId="0" borderId="21" applyBorder="0">
      <alignment horizontal="center" vertical="center"/>
    </xf>
    <xf numFmtId="0" fontId="37" fillId="0" borderId="21" applyBorder="0">
      <alignment horizontal="center" vertical="center"/>
    </xf>
    <xf numFmtId="0" fontId="38" fillId="0" borderId="19" applyNumberFormat="0" applyAlignment="0" applyProtection="0">
      <alignment horizontal="left" vertical="center"/>
    </xf>
    <xf numFmtId="0" fontId="38" fillId="0" borderId="11">
      <alignment horizontal="left" vertical="center"/>
    </xf>
    <xf numFmtId="0" fontId="39" fillId="0" borderId="21" applyBorder="0">
      <alignment horizontal="center" vertical="center"/>
    </xf>
    <xf numFmtId="0" fontId="40" fillId="0" borderId="0" applyNumberFormat="0" applyFill="0" applyBorder="0" applyAlignment="0" applyProtection="0"/>
    <xf numFmtId="10" fontId="35" fillId="4" borderId="13" applyNumberFormat="0" applyBorder="0" applyAlignment="0" applyProtection="0"/>
    <xf numFmtId="181" fontId="32" fillId="0" borderId="0"/>
    <xf numFmtId="182" fontId="33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183" fontId="1" fillId="0" borderId="22">
      <alignment horizontal="right" vertical="center"/>
    </xf>
    <xf numFmtId="0" fontId="33" fillId="0" borderId="0"/>
    <xf numFmtId="184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42" fontId="6" fillId="0" borderId="0" applyFont="0" applyFill="0" applyBorder="0" applyAlignment="0" applyProtection="0">
      <alignment vertical="center"/>
    </xf>
    <xf numFmtId="187" fontId="1" fillId="0" borderId="0" applyFill="0" applyBorder="0" applyAlignment="0" applyProtection="0"/>
    <xf numFmtId="0" fontId="1" fillId="0" borderId="0"/>
    <xf numFmtId="9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1" fillId="0" borderId="0"/>
  </cellStyleXfs>
  <cellXfs count="303">
    <xf numFmtId="0" fontId="0" fillId="0" borderId="0" xfId="0"/>
    <xf numFmtId="176" fontId="7" fillId="0" borderId="0" xfId="1" applyFont="1" applyAlignment="1">
      <alignment vertical="center"/>
    </xf>
    <xf numFmtId="0" fontId="7" fillId="0" borderId="0" xfId="2" applyFont="1" applyAlignment="1">
      <alignment vertical="center"/>
    </xf>
    <xf numFmtId="0" fontId="7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14" fontId="9" fillId="0" borderId="0" xfId="2" applyNumberFormat="1" applyFont="1" applyAlignment="1">
      <alignment vertical="center"/>
    </xf>
    <xf numFmtId="177" fontId="9" fillId="0" borderId="0" xfId="2" applyNumberFormat="1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1" fillId="0" borderId="0" xfId="2" applyFont="1" applyAlignment="1">
      <alignment horizontal="left" vertical="center"/>
    </xf>
    <xf numFmtId="177" fontId="12" fillId="0" borderId="0" xfId="2" applyNumberFormat="1" applyFont="1" applyAlignment="1">
      <alignment horizontal="left" vertical="center"/>
    </xf>
    <xf numFmtId="0" fontId="15" fillId="0" borderId="0" xfId="2" applyFont="1" applyAlignment="1">
      <alignment vertical="center"/>
    </xf>
    <xf numFmtId="0" fontId="16" fillId="0" borderId="0" xfId="2" applyFont="1" applyAlignment="1">
      <alignment vertical="center"/>
    </xf>
    <xf numFmtId="0" fontId="16" fillId="0" borderId="0" xfId="2" applyFont="1" applyAlignment="1">
      <alignment horizontal="center" vertical="center"/>
    </xf>
    <xf numFmtId="176" fontId="16" fillId="0" borderId="0" xfId="1" applyFont="1" applyAlignment="1">
      <alignment vertical="center"/>
    </xf>
    <xf numFmtId="31" fontId="16" fillId="0" borderId="0" xfId="2" applyNumberFormat="1" applyFont="1" applyAlignment="1">
      <alignment vertical="center"/>
    </xf>
    <xf numFmtId="0" fontId="17" fillId="0" borderId="1" xfId="2" applyFont="1" applyBorder="1" applyAlignment="1">
      <alignment vertical="center"/>
    </xf>
    <xf numFmtId="0" fontId="16" fillId="0" borderId="0" xfId="2" applyFont="1" applyAlignment="1">
      <alignment horizontal="right" vertical="center"/>
    </xf>
    <xf numFmtId="0" fontId="7" fillId="0" borderId="5" xfId="2" applyFont="1" applyBorder="1" applyAlignment="1">
      <alignment vertical="center"/>
    </xf>
    <xf numFmtId="0" fontId="7" fillId="0" borderId="7" xfId="2" applyFont="1" applyBorder="1" applyAlignment="1">
      <alignment vertical="center"/>
    </xf>
    <xf numFmtId="3" fontId="7" fillId="0" borderId="6" xfId="2" applyNumberFormat="1" applyFont="1" applyBorder="1" applyAlignment="1">
      <alignment vertical="center"/>
    </xf>
    <xf numFmtId="3" fontId="7" fillId="0" borderId="6" xfId="2" applyNumberFormat="1" applyFont="1" applyBorder="1" applyAlignment="1">
      <alignment horizontal="right" vertical="center"/>
    </xf>
    <xf numFmtId="3" fontId="7" fillId="0" borderId="7" xfId="2" applyNumberFormat="1" applyFont="1" applyBorder="1" applyAlignment="1">
      <alignment horizontal="center" vertical="center"/>
    </xf>
    <xf numFmtId="3" fontId="7" fillId="0" borderId="6" xfId="2" applyNumberFormat="1" applyFont="1" applyBorder="1" applyAlignment="1">
      <alignment horizontal="center" vertical="center" wrapText="1"/>
    </xf>
    <xf numFmtId="3" fontId="7" fillId="0" borderId="6" xfId="2" applyNumberFormat="1" applyFont="1" applyBorder="1" applyAlignment="1">
      <alignment vertical="center" wrapText="1"/>
    </xf>
    <xf numFmtId="41" fontId="24" fillId="3" borderId="18" xfId="3" applyFont="1" applyFill="1" applyBorder="1" applyAlignment="1">
      <alignment vertical="center"/>
    </xf>
    <xf numFmtId="176" fontId="16" fillId="0" borderId="0" xfId="1" applyFont="1"/>
    <xf numFmtId="0" fontId="16" fillId="0" borderId="0" xfId="2" applyFont="1"/>
    <xf numFmtId="0" fontId="16" fillId="0" borderId="0" xfId="2" quotePrefix="1" applyFont="1" applyAlignment="1">
      <alignment horizontal="left" vertical="center"/>
    </xf>
    <xf numFmtId="0" fontId="16" fillId="0" borderId="0" xfId="2" applyFont="1" applyAlignment="1">
      <alignment horizontal="left" vertical="center"/>
    </xf>
    <xf numFmtId="178" fontId="16" fillId="0" borderId="0" xfId="2" applyNumberFormat="1" applyFont="1" applyAlignment="1">
      <alignment vertical="center"/>
    </xf>
    <xf numFmtId="176" fontId="16" fillId="0" borderId="0" xfId="2" applyNumberFormat="1" applyFont="1"/>
    <xf numFmtId="176" fontId="25" fillId="0" borderId="0" xfId="1" applyFont="1"/>
    <xf numFmtId="0" fontId="25" fillId="0" borderId="0" xfId="2" applyFont="1"/>
    <xf numFmtId="0" fontId="27" fillId="0" borderId="0" xfId="2" applyFont="1" applyAlignment="1">
      <alignment horizontal="center" vertical="center"/>
    </xf>
    <xf numFmtId="9" fontId="26" fillId="0" borderId="0" xfId="2" applyNumberFormat="1" applyFont="1" applyAlignment="1">
      <alignment horizontal="center" vertical="center"/>
    </xf>
    <xf numFmtId="41" fontId="28" fillId="0" borderId="0" xfId="2" applyNumberFormat="1" applyFont="1" applyAlignment="1">
      <alignment horizontal="center" vertical="center"/>
    </xf>
    <xf numFmtId="0" fontId="13" fillId="0" borderId="1" xfId="2" applyFont="1" applyBorder="1" applyAlignment="1">
      <alignment horizontal="centerContinuous" vertical="center"/>
    </xf>
    <xf numFmtId="0" fontId="29" fillId="0" borderId="1" xfId="2" applyFont="1" applyBorder="1" applyAlignment="1">
      <alignment horizontal="centerContinuous" vertical="center"/>
    </xf>
    <xf numFmtId="0" fontId="30" fillId="0" borderId="0" xfId="2" applyFont="1" applyAlignment="1">
      <alignment vertical="center"/>
    </xf>
    <xf numFmtId="0" fontId="30" fillId="0" borderId="1" xfId="2" applyFont="1" applyBorder="1" applyAlignment="1">
      <alignment horizontal="center" vertical="center"/>
    </xf>
    <xf numFmtId="0" fontId="31" fillId="0" borderId="1" xfId="2" applyFont="1" applyBorder="1" applyAlignment="1">
      <alignment horizontal="center" vertical="center"/>
    </xf>
    <xf numFmtId="0" fontId="28" fillId="0" borderId="1" xfId="2" applyFont="1" applyBorder="1" applyAlignment="1">
      <alignment vertical="center"/>
    </xf>
    <xf numFmtId="0" fontId="12" fillId="0" borderId="0" xfId="2" applyFont="1" applyAlignment="1">
      <alignment horizontal="centerContinuous" vertical="center"/>
    </xf>
    <xf numFmtId="176" fontId="16" fillId="0" borderId="0" xfId="2" applyNumberFormat="1" applyFont="1" applyAlignment="1">
      <alignment vertical="center"/>
    </xf>
    <xf numFmtId="0" fontId="20" fillId="0" borderId="23" xfId="2" applyFont="1" applyBorder="1" applyAlignment="1">
      <alignment horizontal="center" vertical="center"/>
    </xf>
    <xf numFmtId="0" fontId="7" fillId="0" borderId="8" xfId="2" applyFont="1" applyBorder="1" applyAlignment="1">
      <alignment vertical="center"/>
    </xf>
    <xf numFmtId="3" fontId="7" fillId="0" borderId="9" xfId="2" applyNumberFormat="1" applyFont="1" applyBorder="1" applyAlignment="1">
      <alignment horizontal="right" vertical="center"/>
    </xf>
    <xf numFmtId="3" fontId="7" fillId="0" borderId="8" xfId="2" applyNumberFormat="1" applyFont="1" applyBorder="1" applyAlignment="1">
      <alignment horizontal="center" vertical="center"/>
    </xf>
    <xf numFmtId="3" fontId="7" fillId="0" borderId="9" xfId="2" applyNumberFormat="1" applyFont="1" applyBorder="1" applyAlignment="1">
      <alignment vertical="center" wrapText="1"/>
    </xf>
    <xf numFmtId="0" fontId="14" fillId="0" borderId="0" xfId="2" applyFont="1" applyAlignment="1">
      <alignment horizontal="left" vertical="center"/>
    </xf>
    <xf numFmtId="0" fontId="7" fillId="0" borderId="3" xfId="2" applyFont="1" applyBorder="1" applyAlignment="1">
      <alignment vertical="center"/>
    </xf>
    <xf numFmtId="3" fontId="7" fillId="0" borderId="2" xfId="2" applyNumberFormat="1" applyFont="1" applyBorder="1" applyAlignment="1">
      <alignment horizontal="right" vertical="center"/>
    </xf>
    <xf numFmtId="186" fontId="32" fillId="6" borderId="0" xfId="38" applyNumberFormat="1" applyFont="1" applyFill="1" applyBorder="1" applyAlignment="1" applyProtection="1">
      <alignment horizontal="left" vertical="center"/>
    </xf>
    <xf numFmtId="3" fontId="20" fillId="2" borderId="6" xfId="2" applyNumberFormat="1" applyFont="1" applyFill="1" applyBorder="1" applyAlignment="1">
      <alignment vertical="center" wrapText="1"/>
    </xf>
    <xf numFmtId="41" fontId="24" fillId="3" borderId="39" xfId="3" applyFont="1" applyFill="1" applyBorder="1" applyAlignment="1">
      <alignment vertical="center"/>
    </xf>
    <xf numFmtId="3" fontId="20" fillId="2" borderId="13" xfId="2" applyNumberFormat="1" applyFont="1" applyFill="1" applyBorder="1" applyAlignment="1">
      <alignment vertical="center" wrapText="1"/>
    </xf>
    <xf numFmtId="0" fontId="7" fillId="0" borderId="3" xfId="2" applyFont="1" applyBorder="1" applyAlignment="1">
      <alignment horizontal="center" vertical="center"/>
    </xf>
    <xf numFmtId="186" fontId="32" fillId="6" borderId="0" xfId="38" applyNumberFormat="1" applyFont="1" applyFill="1" applyBorder="1" applyAlignment="1" applyProtection="1">
      <alignment vertical="center"/>
    </xf>
    <xf numFmtId="0" fontId="42" fillId="0" borderId="0" xfId="2" applyFont="1" applyAlignment="1">
      <alignment vertical="center"/>
    </xf>
    <xf numFmtId="0" fontId="36" fillId="7" borderId="25" xfId="40" applyFont="1" applyFill="1" applyBorder="1" applyAlignment="1">
      <alignment horizontal="center" vertical="center"/>
    </xf>
    <xf numFmtId="0" fontId="36" fillId="7" borderId="24" xfId="40" applyFont="1" applyFill="1" applyBorder="1" applyAlignment="1">
      <alignment horizontal="center" vertical="center" wrapText="1"/>
    </xf>
    <xf numFmtId="177" fontId="32" fillId="0" borderId="35" xfId="40" applyNumberFormat="1" applyFont="1" applyBorder="1" applyAlignment="1">
      <alignment horizontal="center" vertical="center" wrapText="1"/>
    </xf>
    <xf numFmtId="177" fontId="32" fillId="0" borderId="34" xfId="40" applyNumberFormat="1" applyFont="1" applyBorder="1" applyAlignment="1">
      <alignment horizontal="center" vertical="center" wrapText="1"/>
    </xf>
    <xf numFmtId="177" fontId="32" fillId="0" borderId="34" xfId="39" applyNumberFormat="1" applyFont="1" applyFill="1" applyBorder="1" applyAlignment="1" applyProtection="1">
      <alignment horizontal="center" vertical="center" wrapText="1"/>
    </xf>
    <xf numFmtId="177" fontId="32" fillId="5" borderId="34" xfId="39" applyNumberFormat="1" applyFont="1" applyFill="1" applyBorder="1" applyAlignment="1" applyProtection="1">
      <alignment horizontal="center" vertical="center" wrapText="1"/>
    </xf>
    <xf numFmtId="186" fontId="36" fillId="0" borderId="31" xfId="39" applyNumberFormat="1" applyFont="1" applyFill="1" applyBorder="1" applyAlignment="1" applyProtection="1">
      <alignment horizontal="left" vertical="center" wrapText="1"/>
    </xf>
    <xf numFmtId="186" fontId="44" fillId="0" borderId="30" xfId="39" applyNumberFormat="1" applyFont="1" applyFill="1" applyBorder="1" applyAlignment="1" applyProtection="1">
      <alignment horizontal="left" vertical="center" wrapText="1"/>
    </xf>
    <xf numFmtId="176" fontId="16" fillId="0" borderId="0" xfId="1" applyFont="1" applyAlignment="1">
      <alignment horizontal="center" vertical="center"/>
    </xf>
    <xf numFmtId="176" fontId="41" fillId="0" borderId="0" xfId="1" applyFont="1" applyAlignment="1">
      <alignment vertical="center"/>
    </xf>
    <xf numFmtId="0" fontId="41" fillId="0" borderId="0" xfId="2" applyFont="1" applyAlignment="1">
      <alignment vertical="center"/>
    </xf>
    <xf numFmtId="176" fontId="7" fillId="0" borderId="0" xfId="2" applyNumberFormat="1" applyFont="1" applyAlignment="1">
      <alignment vertical="center"/>
    </xf>
    <xf numFmtId="176" fontId="10" fillId="0" borderId="0" xfId="1" applyFont="1" applyAlignment="1">
      <alignment horizontal="center"/>
    </xf>
    <xf numFmtId="186" fontId="36" fillId="8" borderId="41" xfId="39" applyNumberFormat="1" applyFont="1" applyFill="1" applyBorder="1" applyAlignment="1" applyProtection="1">
      <alignment horizontal="center" vertical="center"/>
    </xf>
    <xf numFmtId="186" fontId="36" fillId="8" borderId="42" xfId="39" applyNumberFormat="1" applyFont="1" applyFill="1" applyBorder="1" applyAlignment="1" applyProtection="1">
      <alignment horizontal="center" vertical="center"/>
    </xf>
    <xf numFmtId="0" fontId="7" fillId="0" borderId="1" xfId="2" applyFont="1" applyBorder="1" applyAlignment="1">
      <alignment vertical="center"/>
    </xf>
    <xf numFmtId="0" fontId="20" fillId="0" borderId="44" xfId="2" applyFont="1" applyBorder="1" applyAlignment="1">
      <alignment horizontal="center" vertical="center"/>
    </xf>
    <xf numFmtId="0" fontId="19" fillId="0" borderId="23" xfId="2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7" fillId="0" borderId="4" xfId="2" applyNumberFormat="1" applyFont="1" applyBorder="1" applyAlignment="1">
      <alignment vertical="center"/>
    </xf>
    <xf numFmtId="3" fontId="7" fillId="0" borderId="4" xfId="2" applyNumberFormat="1" applyFont="1" applyBorder="1" applyAlignment="1">
      <alignment horizontal="right" vertical="center"/>
    </xf>
    <xf numFmtId="3" fontId="7" fillId="0" borderId="5" xfId="2" applyNumberFormat="1" applyFont="1" applyBorder="1" applyAlignment="1">
      <alignment horizontal="center" vertical="center"/>
    </xf>
    <xf numFmtId="3" fontId="7" fillId="0" borderId="4" xfId="2" applyNumberFormat="1" applyFont="1" applyBorder="1" applyAlignment="1">
      <alignment horizontal="center" vertical="center" wrapText="1"/>
    </xf>
    <xf numFmtId="3" fontId="7" fillId="0" borderId="4" xfId="2" applyNumberFormat="1" applyFont="1" applyBorder="1" applyAlignment="1">
      <alignment vertical="center" wrapText="1"/>
    </xf>
    <xf numFmtId="0" fontId="19" fillId="0" borderId="45" xfId="2" applyFont="1" applyBorder="1" applyAlignment="1">
      <alignment vertical="center"/>
    </xf>
    <xf numFmtId="0" fontId="7" fillId="0" borderId="11" xfId="2" applyFont="1" applyBorder="1" applyAlignment="1">
      <alignment vertical="center"/>
    </xf>
    <xf numFmtId="0" fontId="7" fillId="0" borderId="12" xfId="2" applyFont="1" applyBorder="1" applyAlignment="1">
      <alignment vertical="center"/>
    </xf>
    <xf numFmtId="3" fontId="7" fillId="0" borderId="13" xfId="2" applyNumberFormat="1" applyFont="1" applyBorder="1" applyAlignment="1">
      <alignment vertical="center"/>
    </xf>
    <xf numFmtId="3" fontId="7" fillId="0" borderId="13" xfId="2" applyNumberFormat="1" applyFont="1" applyBorder="1" applyAlignment="1">
      <alignment horizontal="right" vertical="center"/>
    </xf>
    <xf numFmtId="3" fontId="7" fillId="0" borderId="6" xfId="2" applyNumberFormat="1" applyFont="1" applyBorder="1" applyAlignment="1">
      <alignment horizontal="center" vertical="center"/>
    </xf>
    <xf numFmtId="3" fontId="7" fillId="0" borderId="9" xfId="2" applyNumberFormat="1" applyFont="1" applyBorder="1" applyAlignment="1">
      <alignment horizontal="center" vertical="center"/>
    </xf>
    <xf numFmtId="3" fontId="7" fillId="0" borderId="13" xfId="2" applyNumberFormat="1" applyFont="1" applyBorder="1" applyAlignment="1">
      <alignment horizontal="center" vertical="center"/>
    </xf>
    <xf numFmtId="3" fontId="7" fillId="0" borderId="13" xfId="2" applyNumberFormat="1" applyFont="1" applyBorder="1" applyAlignment="1">
      <alignment horizontal="center" vertical="center" wrapText="1"/>
    </xf>
    <xf numFmtId="3" fontId="7" fillId="0" borderId="13" xfId="2" applyNumberFormat="1" applyFont="1" applyBorder="1" applyAlignment="1">
      <alignment vertical="center" wrapText="1"/>
    </xf>
    <xf numFmtId="3" fontId="7" fillId="0" borderId="2" xfId="2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9" fillId="0" borderId="14" xfId="2" applyFont="1" applyBorder="1" applyAlignment="1">
      <alignment vertical="center"/>
    </xf>
    <xf numFmtId="0" fontId="7" fillId="0" borderId="46" xfId="0" applyFont="1" applyBorder="1" applyAlignment="1">
      <alignment horizontal="center" vertical="center"/>
    </xf>
    <xf numFmtId="0" fontId="7" fillId="0" borderId="47" xfId="2" applyFont="1" applyBorder="1" applyAlignment="1">
      <alignment vertical="center"/>
    </xf>
    <xf numFmtId="0" fontId="7" fillId="0" borderId="46" xfId="2" applyFont="1" applyBorder="1" applyAlignment="1">
      <alignment vertical="center"/>
    </xf>
    <xf numFmtId="3" fontId="7" fillId="0" borderId="48" xfId="2" applyNumberFormat="1" applyFont="1" applyBorder="1" applyAlignment="1">
      <alignment horizontal="right" vertical="center"/>
    </xf>
    <xf numFmtId="3" fontId="7" fillId="0" borderId="48" xfId="2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19" fillId="0" borderId="0" xfId="2" applyFont="1" applyAlignment="1">
      <alignment vertical="center"/>
    </xf>
    <xf numFmtId="0" fontId="20" fillId="2" borderId="50" xfId="2" applyFont="1" applyFill="1" applyBorder="1" applyAlignment="1">
      <alignment horizontal="center" vertical="center"/>
    </xf>
    <xf numFmtId="0" fontId="20" fillId="2" borderId="51" xfId="2" applyFont="1" applyFill="1" applyBorder="1" applyAlignment="1">
      <alignment horizontal="center" vertical="center"/>
    </xf>
    <xf numFmtId="0" fontId="20" fillId="2" borderId="52" xfId="2" applyFont="1" applyFill="1" applyBorder="1" applyAlignment="1">
      <alignment horizontal="center" vertical="center"/>
    </xf>
    <xf numFmtId="3" fontId="20" fillId="2" borderId="49" xfId="2" applyNumberFormat="1" applyFont="1" applyFill="1" applyBorder="1" applyAlignment="1">
      <alignment vertical="center" wrapText="1"/>
    </xf>
    <xf numFmtId="0" fontId="7" fillId="0" borderId="13" xfId="2" applyFont="1" applyBorder="1" applyAlignment="1">
      <alignment horizontal="center" vertical="center"/>
    </xf>
    <xf numFmtId="186" fontId="36" fillId="0" borderId="53" xfId="39" applyNumberFormat="1" applyFont="1" applyFill="1" applyBorder="1" applyAlignment="1" applyProtection="1">
      <alignment horizontal="left" vertical="center" wrapText="1"/>
    </xf>
    <xf numFmtId="186" fontId="44" fillId="7" borderId="27" xfId="39" applyNumberFormat="1" applyFont="1" applyFill="1" applyBorder="1" applyAlignment="1" applyProtection="1">
      <alignment horizontal="center" vertical="center" wrapText="1"/>
    </xf>
    <xf numFmtId="186" fontId="7" fillId="0" borderId="0" xfId="2" applyNumberFormat="1" applyFont="1" applyAlignment="1">
      <alignment vertical="center"/>
    </xf>
    <xf numFmtId="186" fontId="36" fillId="0" borderId="54" xfId="39" applyNumberFormat="1" applyFont="1" applyFill="1" applyBorder="1" applyAlignment="1" applyProtection="1">
      <alignment horizontal="left" vertical="center" wrapText="1"/>
    </xf>
    <xf numFmtId="186" fontId="36" fillId="8" borderId="55" xfId="39" applyNumberFormat="1" applyFont="1" applyFill="1" applyBorder="1" applyAlignment="1" applyProtection="1">
      <alignment horizontal="center" vertical="center"/>
    </xf>
    <xf numFmtId="188" fontId="7" fillId="0" borderId="0" xfId="1" applyNumberFormat="1" applyFont="1" applyAlignment="1">
      <alignment vertical="center"/>
    </xf>
    <xf numFmtId="0" fontId="48" fillId="0" borderId="0" xfId="2" applyFont="1" applyAlignment="1">
      <alignment vertical="center"/>
    </xf>
    <xf numFmtId="0" fontId="50" fillId="0" borderId="0" xfId="2" applyFont="1" applyAlignment="1">
      <alignment vertical="center"/>
    </xf>
    <xf numFmtId="0" fontId="50" fillId="0" borderId="0" xfId="2" applyFont="1" applyAlignment="1">
      <alignment horizontal="center" vertical="center"/>
    </xf>
    <xf numFmtId="0" fontId="51" fillId="0" borderId="0" xfId="2" applyFont="1" applyAlignment="1">
      <alignment vertical="center"/>
    </xf>
    <xf numFmtId="189" fontId="51" fillId="0" borderId="0" xfId="2" applyNumberFormat="1" applyFont="1" applyAlignment="1">
      <alignment horizontal="left" vertical="center"/>
    </xf>
    <xf numFmtId="14" fontId="51" fillId="0" borderId="0" xfId="2" applyNumberFormat="1" applyFont="1" applyAlignment="1">
      <alignment vertical="center"/>
    </xf>
    <xf numFmtId="177" fontId="51" fillId="0" borderId="0" xfId="2" applyNumberFormat="1" applyFont="1" applyAlignment="1">
      <alignment horizontal="left" vertical="center"/>
    </xf>
    <xf numFmtId="0" fontId="51" fillId="0" borderId="0" xfId="2" applyFont="1" applyAlignment="1">
      <alignment horizontal="left" vertical="center"/>
    </xf>
    <xf numFmtId="0" fontId="52" fillId="0" borderId="0" xfId="2" applyFont="1" applyAlignment="1">
      <alignment vertical="center"/>
    </xf>
    <xf numFmtId="0" fontId="52" fillId="0" borderId="0" xfId="2" applyFont="1" applyAlignment="1">
      <alignment horizontal="center" vertical="center"/>
    </xf>
    <xf numFmtId="31" fontId="52" fillId="0" borderId="0" xfId="2" applyNumberFormat="1" applyFont="1" applyAlignment="1">
      <alignment vertical="center"/>
    </xf>
    <xf numFmtId="0" fontId="51" fillId="0" borderId="1" xfId="2" applyFont="1" applyBorder="1" applyAlignment="1">
      <alignment vertical="center"/>
    </xf>
    <xf numFmtId="0" fontId="53" fillId="0" borderId="0" xfId="2" applyFont="1" applyAlignment="1">
      <alignment vertical="center"/>
    </xf>
    <xf numFmtId="0" fontId="52" fillId="0" borderId="0" xfId="2" applyFont="1" applyAlignment="1">
      <alignment horizontal="right" vertical="center"/>
    </xf>
    <xf numFmtId="0" fontId="54" fillId="0" borderId="2" xfId="2" applyFont="1" applyBorder="1" applyAlignment="1">
      <alignment horizontal="center" vertical="center"/>
    </xf>
    <xf numFmtId="0" fontId="54" fillId="0" borderId="10" xfId="2" applyFont="1" applyBorder="1" applyAlignment="1">
      <alignment horizontal="center" vertical="center"/>
    </xf>
    <xf numFmtId="0" fontId="54" fillId="0" borderId="3" xfId="2" applyFont="1" applyBorder="1" applyAlignment="1">
      <alignment horizontal="center" vertical="center"/>
    </xf>
    <xf numFmtId="0" fontId="53" fillId="0" borderId="2" xfId="2" applyFont="1" applyBorder="1" applyAlignment="1">
      <alignment horizontal="center" vertical="center"/>
    </xf>
    <xf numFmtId="0" fontId="50" fillId="0" borderId="2" xfId="2" applyFont="1" applyBorder="1" applyAlignment="1">
      <alignment vertical="center"/>
    </xf>
    <xf numFmtId="0" fontId="55" fillId="0" borderId="2" xfId="2" applyFont="1" applyBorder="1" applyAlignment="1">
      <alignment vertical="center"/>
    </xf>
    <xf numFmtId="0" fontId="55" fillId="0" borderId="3" xfId="2" applyFont="1" applyBorder="1" applyAlignment="1">
      <alignment horizontal="center" vertical="center"/>
    </xf>
    <xf numFmtId="0" fontId="53" fillId="0" borderId="2" xfId="2" applyFont="1" applyBorder="1" applyAlignment="1">
      <alignment vertical="center"/>
    </xf>
    <xf numFmtId="0" fontId="50" fillId="0" borderId="57" xfId="2" applyFont="1" applyBorder="1" applyAlignment="1">
      <alignment horizontal="center" vertical="center"/>
    </xf>
    <xf numFmtId="0" fontId="56" fillId="0" borderId="57" xfId="2" applyFont="1" applyBorder="1" applyAlignment="1">
      <alignment horizontal="left" vertical="center"/>
    </xf>
    <xf numFmtId="177" fontId="56" fillId="0" borderId="57" xfId="2" applyNumberFormat="1" applyFont="1" applyBorder="1" applyAlignment="1">
      <alignment horizontal="right" vertical="center"/>
    </xf>
    <xf numFmtId="177" fontId="56" fillId="0" borderId="60" xfId="2" applyNumberFormat="1" applyFont="1" applyBorder="1" applyAlignment="1">
      <alignment horizontal="right" vertical="center"/>
    </xf>
    <xf numFmtId="177" fontId="56" fillId="0" borderId="57" xfId="2" applyNumberFormat="1" applyFont="1" applyBorder="1" applyAlignment="1">
      <alignment horizontal="center" vertical="center"/>
    </xf>
    <xf numFmtId="177" fontId="56" fillId="0" borderId="57" xfId="2" applyNumberFormat="1" applyFont="1" applyBorder="1" applyAlignment="1">
      <alignment vertical="center"/>
    </xf>
    <xf numFmtId="177" fontId="53" fillId="0" borderId="13" xfId="2" applyNumberFormat="1" applyFont="1" applyBorder="1" applyAlignment="1">
      <alignment vertical="center"/>
    </xf>
    <xf numFmtId="177" fontId="53" fillId="9" borderId="13" xfId="2" applyNumberFormat="1" applyFont="1" applyFill="1" applyBorder="1" applyAlignment="1">
      <alignment vertical="center"/>
    </xf>
    <xf numFmtId="0" fontId="56" fillId="0" borderId="14" xfId="2" applyFont="1" applyBorder="1" applyAlignment="1">
      <alignment horizontal="center" vertical="center"/>
    </xf>
    <xf numFmtId="3" fontId="56" fillId="0" borderId="14" xfId="2" applyNumberFormat="1" applyFont="1" applyBorder="1" applyAlignment="1">
      <alignment vertical="center" wrapText="1"/>
    </xf>
    <xf numFmtId="0" fontId="52" fillId="0" borderId="0" xfId="2" quotePrefix="1" applyFont="1" applyAlignment="1">
      <alignment horizontal="left" vertical="center"/>
    </xf>
    <xf numFmtId="0" fontId="52" fillId="0" borderId="0" xfId="2" applyFont="1" applyAlignment="1">
      <alignment horizontal="left" vertical="center"/>
    </xf>
    <xf numFmtId="178" fontId="52" fillId="0" borderId="0" xfId="2" applyNumberFormat="1" applyFont="1" applyAlignment="1">
      <alignment vertical="center"/>
    </xf>
    <xf numFmtId="176" fontId="52" fillId="0" borderId="0" xfId="1" applyFont="1" applyFill="1" applyBorder="1" applyAlignment="1">
      <alignment vertical="center"/>
    </xf>
    <xf numFmtId="0" fontId="55" fillId="0" borderId="0" xfId="2" applyFont="1" applyAlignment="1">
      <alignment horizontal="center" vertical="center"/>
    </xf>
    <xf numFmtId="9" fontId="53" fillId="0" borderId="0" xfId="2" applyNumberFormat="1" applyFont="1" applyAlignment="1">
      <alignment horizontal="center" vertical="center"/>
    </xf>
    <xf numFmtId="41" fontId="58" fillId="0" borderId="0" xfId="2" applyNumberFormat="1" applyFont="1" applyAlignment="1">
      <alignment horizontal="center" vertical="center"/>
    </xf>
    <xf numFmtId="0" fontId="59" fillId="0" borderId="0" xfId="2" applyFont="1" applyAlignment="1">
      <alignment vertical="center"/>
    </xf>
    <xf numFmtId="0" fontId="20" fillId="2" borderId="10" xfId="2" applyFont="1" applyFill="1" applyBorder="1" applyAlignment="1">
      <alignment horizontal="center" vertical="center"/>
    </xf>
    <xf numFmtId="0" fontId="20" fillId="2" borderId="11" xfId="2" applyFont="1" applyFill="1" applyBorder="1" applyAlignment="1">
      <alignment horizontal="center" vertical="center"/>
    </xf>
    <xf numFmtId="0" fontId="20" fillId="2" borderId="12" xfId="2" applyFont="1" applyFill="1" applyBorder="1" applyAlignment="1">
      <alignment horizontal="center" vertical="center"/>
    </xf>
    <xf numFmtId="0" fontId="23" fillId="3" borderId="36" xfId="2" applyFont="1" applyFill="1" applyBorder="1" applyAlignment="1">
      <alignment horizontal="center" vertical="center"/>
    </xf>
    <xf numFmtId="0" fontId="23" fillId="3" borderId="37" xfId="2" applyFont="1" applyFill="1" applyBorder="1" applyAlignment="1">
      <alignment horizontal="center" vertical="center"/>
    </xf>
    <xf numFmtId="0" fontId="23" fillId="3" borderId="38" xfId="2" applyFont="1" applyFill="1" applyBorder="1" applyAlignment="1">
      <alignment horizontal="center" vertical="center"/>
    </xf>
    <xf numFmtId="0" fontId="23" fillId="3" borderId="15" xfId="2" applyFont="1" applyFill="1" applyBorder="1" applyAlignment="1">
      <alignment horizontal="center" vertical="center"/>
    </xf>
    <xf numFmtId="0" fontId="23" fillId="3" borderId="16" xfId="2" applyFont="1" applyFill="1" applyBorder="1" applyAlignment="1">
      <alignment horizontal="center" vertical="center"/>
    </xf>
    <xf numFmtId="0" fontId="23" fillId="3" borderId="17" xfId="2" applyFont="1" applyFill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14" xfId="2" applyFont="1" applyBorder="1" applyAlignment="1">
      <alignment horizontal="center" vertical="center"/>
    </xf>
    <xf numFmtId="0" fontId="46" fillId="5" borderId="0" xfId="0" applyFont="1" applyFill="1" applyAlignment="1">
      <alignment horizontal="left" vertical="center" wrapText="1" readingOrder="1"/>
    </xf>
    <xf numFmtId="0" fontId="2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20" fillId="0" borderId="43" xfId="2" applyFont="1" applyBorder="1" applyAlignment="1">
      <alignment horizontal="center" vertical="center"/>
    </xf>
    <xf numFmtId="0" fontId="20" fillId="0" borderId="44" xfId="2" applyFont="1" applyBorder="1" applyAlignment="1">
      <alignment horizontal="center" vertical="center"/>
    </xf>
    <xf numFmtId="0" fontId="20" fillId="2" borderId="50" xfId="2" applyFont="1" applyFill="1" applyBorder="1" applyAlignment="1">
      <alignment horizontal="center" vertical="center"/>
    </xf>
    <xf numFmtId="0" fontId="20" fillId="2" borderId="51" xfId="2" applyFont="1" applyFill="1" applyBorder="1" applyAlignment="1">
      <alignment horizontal="center" vertical="center"/>
    </xf>
    <xf numFmtId="0" fontId="20" fillId="2" borderId="52" xfId="2" applyFont="1" applyFill="1" applyBorder="1" applyAlignment="1">
      <alignment horizontal="center" vertical="center"/>
    </xf>
    <xf numFmtId="3" fontId="7" fillId="0" borderId="2" xfId="2" applyNumberFormat="1" applyFont="1" applyBorder="1" applyAlignment="1">
      <alignment vertical="center"/>
    </xf>
    <xf numFmtId="0" fontId="0" fillId="0" borderId="48" xfId="0" applyBorder="1" applyAlignment="1">
      <alignment vertical="center"/>
    </xf>
    <xf numFmtId="3" fontId="7" fillId="0" borderId="6" xfId="2" applyNumberFormat="1" applyFont="1" applyBorder="1" applyAlignment="1">
      <alignment vertical="center"/>
    </xf>
    <xf numFmtId="0" fontId="0" fillId="0" borderId="9" xfId="0" applyBorder="1" applyAlignment="1">
      <alignment vertical="center"/>
    </xf>
    <xf numFmtId="3" fontId="7" fillId="0" borderId="6" xfId="2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3" fontId="7" fillId="0" borderId="2" xfId="2" applyNumberFormat="1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3" fontId="7" fillId="0" borderId="6" xfId="2" applyNumberFormat="1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3" fontId="7" fillId="0" borderId="2" xfId="2" applyNumberFormat="1" applyFont="1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7" fillId="0" borderId="6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6" fillId="0" borderId="58" xfId="2" applyFont="1" applyBorder="1" applyAlignment="1">
      <alignment horizontal="left" vertical="center"/>
    </xf>
    <xf numFmtId="0" fontId="56" fillId="0" borderId="59" xfId="2" applyFont="1" applyBorder="1" applyAlignment="1">
      <alignment horizontal="left" vertical="center"/>
    </xf>
    <xf numFmtId="0" fontId="56" fillId="0" borderId="60" xfId="2" applyFont="1" applyBorder="1" applyAlignment="1">
      <alignment horizontal="left" vertical="center"/>
    </xf>
    <xf numFmtId="0" fontId="49" fillId="0" borderId="0" xfId="2" applyFont="1" applyAlignment="1">
      <alignment horizontal="center" vertical="center"/>
    </xf>
    <xf numFmtId="0" fontId="54" fillId="0" borderId="10" xfId="2" applyFont="1" applyBorder="1" applyAlignment="1">
      <alignment horizontal="center" vertical="center"/>
    </xf>
    <xf numFmtId="0" fontId="54" fillId="0" borderId="11" xfId="2" applyFont="1" applyBorder="1" applyAlignment="1">
      <alignment horizontal="center" vertical="center"/>
    </xf>
    <xf numFmtId="0" fontId="54" fillId="0" borderId="12" xfId="2" applyFont="1" applyBorder="1" applyAlignment="1">
      <alignment horizontal="center" vertical="center"/>
    </xf>
    <xf numFmtId="0" fontId="51" fillId="0" borderId="56" xfId="2" applyFont="1" applyBorder="1" applyAlignment="1">
      <alignment horizontal="left" vertical="center"/>
    </xf>
    <xf numFmtId="0" fontId="51" fillId="0" borderId="14" xfId="2" applyFont="1" applyBorder="1" applyAlignment="1">
      <alignment horizontal="left" vertical="center"/>
    </xf>
    <xf numFmtId="0" fontId="51" fillId="0" borderId="3" xfId="2" applyFont="1" applyBorder="1" applyAlignment="1">
      <alignment horizontal="left" vertical="center"/>
    </xf>
    <xf numFmtId="0" fontId="53" fillId="0" borderId="10" xfId="2" applyFont="1" applyBorder="1" applyAlignment="1">
      <alignment horizontal="center" vertical="center"/>
    </xf>
    <xf numFmtId="0" fontId="53" fillId="0" borderId="11" xfId="2" applyFont="1" applyBorder="1" applyAlignment="1">
      <alignment horizontal="center" vertical="center"/>
    </xf>
    <xf numFmtId="0" fontId="53" fillId="0" borderId="12" xfId="2" applyFont="1" applyBorder="1" applyAlignment="1">
      <alignment horizontal="center" vertical="center"/>
    </xf>
    <xf numFmtId="0" fontId="53" fillId="9" borderId="10" xfId="2" applyFont="1" applyFill="1" applyBorder="1" applyAlignment="1">
      <alignment horizontal="center" vertical="center"/>
    </xf>
    <xf numFmtId="0" fontId="53" fillId="9" borderId="11" xfId="2" applyFont="1" applyFill="1" applyBorder="1" applyAlignment="1">
      <alignment horizontal="center" vertical="center"/>
    </xf>
    <xf numFmtId="0" fontId="53" fillId="9" borderId="12" xfId="2" applyFont="1" applyFill="1" applyBorder="1" applyAlignment="1">
      <alignment horizontal="center" vertical="center"/>
    </xf>
    <xf numFmtId="0" fontId="56" fillId="0" borderId="14" xfId="2" applyFont="1" applyBorder="1" applyAlignment="1">
      <alignment horizontal="center" vertical="center"/>
    </xf>
    <xf numFmtId="0" fontId="57" fillId="3" borderId="61" xfId="2" applyFont="1" applyFill="1" applyBorder="1" applyAlignment="1">
      <alignment horizontal="center" vertical="center"/>
    </xf>
    <xf numFmtId="0" fontId="57" fillId="3" borderId="19" xfId="2" applyFont="1" applyFill="1" applyBorder="1" applyAlignment="1">
      <alignment horizontal="center" vertical="center"/>
    </xf>
    <xf numFmtId="0" fontId="57" fillId="3" borderId="62" xfId="2" applyFont="1" applyFill="1" applyBorder="1" applyAlignment="1">
      <alignment horizontal="center" vertical="center"/>
    </xf>
    <xf numFmtId="41" fontId="53" fillId="0" borderId="61" xfId="3" applyFont="1" applyBorder="1" applyAlignment="1">
      <alignment horizontal="center" vertical="center"/>
    </xf>
    <xf numFmtId="41" fontId="53" fillId="0" borderId="62" xfId="3" applyFont="1" applyBorder="1" applyAlignment="1">
      <alignment horizontal="center" vertical="center"/>
    </xf>
    <xf numFmtId="186" fontId="36" fillId="7" borderId="26" xfId="39" applyNumberFormat="1" applyFont="1" applyFill="1" applyBorder="1" applyAlignment="1" applyProtection="1">
      <alignment horizontal="center" vertical="center" wrapText="1"/>
    </xf>
    <xf numFmtId="186" fontId="36" fillId="7" borderId="27" xfId="39" applyNumberFormat="1" applyFont="1" applyFill="1" applyBorder="1" applyAlignment="1" applyProtection="1">
      <alignment horizontal="center" vertical="center" wrapText="1"/>
    </xf>
    <xf numFmtId="186" fontId="36" fillId="0" borderId="32" xfId="39" applyNumberFormat="1" applyFont="1" applyFill="1" applyBorder="1" applyAlignment="1" applyProtection="1">
      <alignment horizontal="center" vertical="center" wrapText="1"/>
    </xf>
    <xf numFmtId="186" fontId="36" fillId="0" borderId="33" xfId="39" applyNumberFormat="1" applyFont="1" applyFill="1" applyBorder="1" applyAlignment="1" applyProtection="1">
      <alignment horizontal="center" vertical="center" wrapText="1"/>
    </xf>
    <xf numFmtId="186" fontId="36" fillId="0" borderId="40" xfId="39" applyNumberFormat="1" applyFont="1" applyFill="1" applyBorder="1" applyAlignment="1" applyProtection="1">
      <alignment horizontal="center" vertical="center" wrapText="1"/>
    </xf>
    <xf numFmtId="186" fontId="36" fillId="0" borderId="28" xfId="39" applyNumberFormat="1" applyFont="1" applyFill="1" applyBorder="1" applyAlignment="1" applyProtection="1">
      <alignment horizontal="left" vertical="center" wrapText="1"/>
    </xf>
    <xf numFmtId="186" fontId="36" fillId="0" borderId="29" xfId="39" applyNumberFormat="1" applyFont="1" applyFill="1" applyBorder="1" applyAlignment="1" applyProtection="1">
      <alignment horizontal="left" vertical="center" wrapText="1"/>
    </xf>
    <xf numFmtId="186" fontId="36" fillId="0" borderId="30" xfId="39" applyNumberFormat="1" applyFont="1" applyFill="1" applyBorder="1" applyAlignment="1" applyProtection="1">
      <alignment horizontal="left" vertical="center" wrapText="1"/>
    </xf>
    <xf numFmtId="186" fontId="36" fillId="0" borderId="31" xfId="39" applyNumberFormat="1" applyFont="1" applyFill="1" applyBorder="1" applyAlignment="1" applyProtection="1">
      <alignment horizontal="left" vertical="center" wrapText="1"/>
    </xf>
    <xf numFmtId="186" fontId="44" fillId="0" borderId="30" xfId="39" applyNumberFormat="1" applyFont="1" applyFill="1" applyBorder="1" applyAlignment="1" applyProtection="1">
      <alignment horizontal="left" vertical="center" wrapText="1"/>
    </xf>
    <xf numFmtId="191" fontId="60" fillId="0" borderId="63" xfId="42" applyNumberFormat="1" applyFont="1" applyBorder="1" applyAlignment="1">
      <alignment horizontal="left" vertical="center"/>
    </xf>
    <xf numFmtId="192" fontId="51" fillId="6" borderId="0" xfId="42" applyNumberFormat="1" applyFont="1" applyFill="1" applyAlignment="1">
      <alignment horizontal="left" vertical="center" wrapText="1"/>
    </xf>
    <xf numFmtId="0" fontId="58" fillId="0" borderId="0" xfId="43" applyFont="1" applyAlignment="1">
      <alignment horizontal="left" vertical="center" wrapText="1"/>
    </xf>
    <xf numFmtId="41" fontId="59" fillId="0" borderId="0" xfId="44" applyFont="1" applyAlignment="1">
      <alignment horizontal="left" vertical="center"/>
    </xf>
    <xf numFmtId="0" fontId="51" fillId="10" borderId="64" xfId="42" applyFont="1" applyFill="1" applyBorder="1" applyAlignment="1">
      <alignment horizontal="center" vertical="center" wrapText="1"/>
    </xf>
    <xf numFmtId="0" fontId="51" fillId="10" borderId="65" xfId="42" applyFont="1" applyFill="1" applyBorder="1" applyAlignment="1">
      <alignment horizontal="center" vertical="center" wrapText="1"/>
    </xf>
    <xf numFmtId="0" fontId="51" fillId="10" borderId="66" xfId="42" applyFont="1" applyFill="1" applyBorder="1" applyAlignment="1">
      <alignment horizontal="center" vertical="center" wrapText="1"/>
    </xf>
    <xf numFmtId="41" fontId="51" fillId="10" borderId="66" xfId="44" applyFont="1" applyFill="1" applyBorder="1" applyAlignment="1">
      <alignment horizontal="center" vertical="center" wrapText="1"/>
    </xf>
    <xf numFmtId="41" fontId="51" fillId="10" borderId="67" xfId="44" applyFont="1" applyFill="1" applyBorder="1" applyAlignment="1">
      <alignment horizontal="center" vertical="center" wrapText="1"/>
    </xf>
    <xf numFmtId="0" fontId="59" fillId="11" borderId="68" xfId="42" quotePrefix="1" applyFont="1" applyFill="1" applyBorder="1" applyAlignment="1">
      <alignment horizontal="center" vertical="center" wrapText="1"/>
    </xf>
    <xf numFmtId="0" fontId="59" fillId="11" borderId="11" xfId="42" quotePrefix="1" applyFont="1" applyFill="1" applyBorder="1" applyAlignment="1">
      <alignment horizontal="left" vertical="center" wrapText="1"/>
    </xf>
    <xf numFmtId="0" fontId="59" fillId="11" borderId="69" xfId="42" quotePrefix="1" applyFont="1" applyFill="1" applyBorder="1" applyAlignment="1">
      <alignment horizontal="left" vertical="center" wrapText="1"/>
    </xf>
    <xf numFmtId="0" fontId="59" fillId="0" borderId="70" xfId="42" applyFont="1" applyBorder="1" applyAlignment="1">
      <alignment horizontal="center" vertical="center" wrapText="1"/>
    </xf>
    <xf numFmtId="0" fontId="61" fillId="12" borderId="12" xfId="0" applyFont="1" applyFill="1" applyBorder="1" applyAlignment="1">
      <alignment horizontal="center" vertical="center"/>
    </xf>
    <xf numFmtId="0" fontId="62" fillId="12" borderId="13" xfId="0" applyFont="1" applyFill="1" applyBorder="1" applyAlignment="1">
      <alignment horizontal="left" vertical="center"/>
    </xf>
    <xf numFmtId="0" fontId="62" fillId="12" borderId="13" xfId="0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41" fontId="63" fillId="5" borderId="13" xfId="45" applyFont="1" applyFill="1" applyBorder="1" applyAlignment="1">
      <alignment horizontal="right" vertical="center"/>
    </xf>
    <xf numFmtId="9" fontId="63" fillId="5" borderId="13" xfId="41" applyFont="1" applyFill="1" applyBorder="1" applyAlignment="1" applyProtection="1">
      <alignment horizontal="right" vertical="center"/>
    </xf>
    <xf numFmtId="41" fontId="64" fillId="5" borderId="71" xfId="44" applyFont="1" applyFill="1" applyBorder="1" applyAlignment="1">
      <alignment horizontal="center" vertical="center"/>
    </xf>
    <xf numFmtId="0" fontId="59" fillId="0" borderId="72" xfId="42" applyFont="1" applyBorder="1" applyAlignment="1">
      <alignment horizontal="center" vertical="center" wrapText="1"/>
    </xf>
    <xf numFmtId="0" fontId="65" fillId="13" borderId="12" xfId="0" applyFont="1" applyFill="1" applyBorder="1" applyAlignment="1">
      <alignment horizontal="center" vertical="center"/>
    </xf>
    <xf numFmtId="0" fontId="66" fillId="0" borderId="13" xfId="0" applyFont="1" applyBorder="1" applyAlignment="1">
      <alignment horizontal="left" vertical="center"/>
    </xf>
    <xf numFmtId="0" fontId="67" fillId="0" borderId="13" xfId="0" applyFont="1" applyBorder="1" applyAlignment="1">
      <alignment horizontal="center" vertical="center"/>
    </xf>
    <xf numFmtId="41" fontId="66" fillId="0" borderId="13" xfId="1" applyNumberFormat="1" applyFont="1" applyFill="1" applyBorder="1" applyAlignment="1">
      <alignment horizontal="center" vertical="center"/>
    </xf>
    <xf numFmtId="41" fontId="64" fillId="5" borderId="13" xfId="45" applyFont="1" applyFill="1" applyBorder="1" applyAlignment="1">
      <alignment horizontal="right" vertical="center"/>
    </xf>
    <xf numFmtId="41" fontId="64" fillId="5" borderId="13" xfId="44" applyFont="1" applyFill="1" applyBorder="1" applyAlignment="1">
      <alignment horizontal="right" vertical="center"/>
    </xf>
    <xf numFmtId="0" fontId="52" fillId="13" borderId="12" xfId="0" applyFont="1" applyFill="1" applyBorder="1" applyAlignment="1">
      <alignment horizontal="center" vertical="center"/>
    </xf>
    <xf numFmtId="0" fontId="32" fillId="13" borderId="13" xfId="0" applyFont="1" applyFill="1" applyBorder="1" applyAlignment="1">
      <alignment vertical="center" wrapText="1"/>
    </xf>
    <xf numFmtId="0" fontId="52" fillId="0" borderId="13" xfId="0" applyFont="1" applyBorder="1" applyAlignment="1">
      <alignment horizontal="center" vertical="center"/>
    </xf>
    <xf numFmtId="41" fontId="68" fillId="0" borderId="13" xfId="1" applyNumberFormat="1" applyFont="1" applyFill="1" applyBorder="1" applyAlignment="1">
      <alignment horizontal="center" vertical="center"/>
    </xf>
    <xf numFmtId="41" fontId="69" fillId="5" borderId="13" xfId="45" applyFont="1" applyFill="1" applyBorder="1" applyAlignment="1">
      <alignment horizontal="right" vertical="center"/>
    </xf>
    <xf numFmtId="0" fontId="68" fillId="0" borderId="13" xfId="0" applyFont="1" applyBorder="1" applyAlignment="1">
      <alignment horizontal="left" vertical="center"/>
    </xf>
    <xf numFmtId="0" fontId="68" fillId="13" borderId="12" xfId="0" applyFont="1" applyFill="1" applyBorder="1" applyAlignment="1">
      <alignment horizontal="center" vertical="center"/>
    </xf>
    <xf numFmtId="41" fontId="66" fillId="12" borderId="13" xfId="0" applyNumberFormat="1" applyFont="1" applyFill="1" applyBorder="1" applyAlignment="1">
      <alignment horizontal="right" vertical="center"/>
    </xf>
    <xf numFmtId="41" fontId="64" fillId="12" borderId="13" xfId="45" applyFont="1" applyFill="1" applyBorder="1" applyAlignment="1">
      <alignment horizontal="right" vertical="center"/>
    </xf>
    <xf numFmtId="41" fontId="64" fillId="12" borderId="13" xfId="44" applyFont="1" applyFill="1" applyBorder="1" applyAlignment="1">
      <alignment horizontal="right" vertical="center"/>
    </xf>
    <xf numFmtId="41" fontId="64" fillId="12" borderId="71" xfId="44" applyFont="1" applyFill="1" applyBorder="1" applyAlignment="1">
      <alignment horizontal="center" vertical="center"/>
    </xf>
    <xf numFmtId="0" fontId="64" fillId="0" borderId="12" xfId="46" applyFont="1" applyBorder="1" applyAlignment="1">
      <alignment horizontal="center" vertical="center"/>
    </xf>
    <xf numFmtId="0" fontId="64" fillId="0" borderId="13" xfId="42" applyFont="1" applyBorder="1" applyAlignment="1">
      <alignment vertical="center"/>
    </xf>
    <xf numFmtId="0" fontId="65" fillId="13" borderId="3" xfId="0" applyFont="1" applyFill="1" applyBorder="1" applyAlignment="1">
      <alignment horizontal="center" vertical="center"/>
    </xf>
    <xf numFmtId="0" fontId="66" fillId="0" borderId="2" xfId="0" applyFont="1" applyBorder="1" applyAlignment="1">
      <alignment horizontal="left" vertical="center"/>
    </xf>
    <xf numFmtId="0" fontId="65" fillId="13" borderId="2" xfId="0" applyFont="1" applyFill="1" applyBorder="1" applyAlignment="1">
      <alignment horizontal="center" vertical="center" wrapText="1"/>
    </xf>
    <xf numFmtId="0" fontId="59" fillId="0" borderId="73" xfId="42" applyFont="1" applyBorder="1" applyAlignment="1">
      <alignment horizontal="center" vertical="center" wrapText="1"/>
    </xf>
    <xf numFmtId="0" fontId="70" fillId="12" borderId="65" xfId="0" applyFont="1" applyFill="1" applyBorder="1" applyAlignment="1">
      <alignment horizontal="center" vertical="center"/>
    </xf>
    <xf numFmtId="0" fontId="71" fillId="12" borderId="66" xfId="42" applyFont="1" applyFill="1" applyBorder="1" applyAlignment="1">
      <alignment vertical="center"/>
    </xf>
    <xf numFmtId="0" fontId="72" fillId="12" borderId="66" xfId="0" applyFont="1" applyFill="1" applyBorder="1" applyAlignment="1">
      <alignment horizontal="center" vertical="center"/>
    </xf>
    <xf numFmtId="41" fontId="64" fillId="12" borderId="66" xfId="1" applyNumberFormat="1" applyFont="1" applyFill="1" applyBorder="1" applyAlignment="1">
      <alignment horizontal="center" vertical="center"/>
    </xf>
    <xf numFmtId="41" fontId="64" fillId="12" borderId="66" xfId="45" applyFont="1" applyFill="1" applyBorder="1" applyAlignment="1">
      <alignment horizontal="right" vertical="center"/>
    </xf>
    <xf numFmtId="41" fontId="64" fillId="12" borderId="66" xfId="44" applyFont="1" applyFill="1" applyBorder="1" applyAlignment="1">
      <alignment horizontal="right" vertical="center"/>
    </xf>
    <xf numFmtId="41" fontId="64" fillId="12" borderId="67" xfId="44" applyFont="1" applyFill="1" applyBorder="1" applyAlignment="1">
      <alignment horizontal="center" vertical="center"/>
    </xf>
    <xf numFmtId="41" fontId="64" fillId="0" borderId="13" xfId="1" applyNumberFormat="1" applyFont="1" applyFill="1" applyBorder="1" applyAlignment="1">
      <alignment horizontal="center" vertical="center"/>
    </xf>
    <xf numFmtId="0" fontId="59" fillId="0" borderId="73" xfId="42" applyFont="1" applyBorder="1" applyAlignment="1">
      <alignment horizontal="center" vertical="center"/>
    </xf>
    <xf numFmtId="0" fontId="65" fillId="13" borderId="65" xfId="0" applyFont="1" applyFill="1" applyBorder="1" applyAlignment="1">
      <alignment horizontal="center" vertical="center"/>
    </xf>
    <xf numFmtId="0" fontId="64" fillId="0" borderId="66" xfId="42" applyFont="1" applyBorder="1" applyAlignment="1">
      <alignment vertical="center"/>
    </xf>
    <xf numFmtId="0" fontId="67" fillId="0" borderId="66" xfId="0" applyFont="1" applyBorder="1" applyAlignment="1">
      <alignment horizontal="center" vertical="center"/>
    </xf>
    <xf numFmtId="41" fontId="64" fillId="0" borderId="66" xfId="1" applyNumberFormat="1" applyFont="1" applyFill="1" applyBorder="1" applyAlignment="1">
      <alignment horizontal="center" vertical="center"/>
    </xf>
    <xf numFmtId="41" fontId="64" fillId="0" borderId="66" xfId="45" applyFont="1" applyFill="1" applyBorder="1" applyAlignment="1">
      <alignment horizontal="right" vertical="center"/>
    </xf>
    <xf numFmtId="0" fontId="59" fillId="0" borderId="72" xfId="42" applyFont="1" applyBorder="1" applyAlignment="1">
      <alignment horizontal="center" vertical="center"/>
    </xf>
    <xf numFmtId="41" fontId="64" fillId="0" borderId="9" xfId="45" applyFont="1" applyFill="1" applyBorder="1" applyAlignment="1">
      <alignment horizontal="right" vertical="center"/>
    </xf>
    <xf numFmtId="41" fontId="64" fillId="0" borderId="74" xfId="44" applyFont="1" applyFill="1" applyBorder="1" applyAlignment="1">
      <alignment horizontal="center" vertical="center"/>
    </xf>
    <xf numFmtId="0" fontId="64" fillId="0" borderId="9" xfId="45" applyNumberFormat="1" applyFont="1" applyFill="1" applyBorder="1" applyAlignment="1">
      <alignment horizontal="left" vertical="center"/>
    </xf>
    <xf numFmtId="0" fontId="59" fillId="0" borderId="75" xfId="42" applyFont="1" applyBorder="1" applyAlignment="1">
      <alignment horizontal="center" vertical="center"/>
    </xf>
    <xf numFmtId="0" fontId="64" fillId="0" borderId="76" xfId="46" applyFont="1" applyBorder="1" applyAlignment="1">
      <alignment horizontal="center" vertical="center"/>
    </xf>
    <xf numFmtId="0" fontId="64" fillId="0" borderId="55" xfId="45" applyNumberFormat="1" applyFont="1" applyFill="1" applyBorder="1" applyAlignment="1">
      <alignment horizontal="left" vertical="center"/>
    </xf>
    <xf numFmtId="0" fontId="73" fillId="14" borderId="61" xfId="42" applyFont="1" applyFill="1" applyBorder="1" applyAlignment="1">
      <alignment horizontal="center" vertical="center" wrapText="1" shrinkToFit="1"/>
    </xf>
    <xf numFmtId="0" fontId="73" fillId="14" borderId="19" xfId="42" applyFont="1" applyFill="1" applyBorder="1" applyAlignment="1">
      <alignment horizontal="center" vertical="center" wrapText="1" shrinkToFit="1"/>
    </xf>
    <xf numFmtId="41" fontId="74" fillId="14" borderId="77" xfId="44" applyFont="1" applyFill="1" applyBorder="1" applyAlignment="1">
      <alignment horizontal="center" vertical="center"/>
    </xf>
    <xf numFmtId="41" fontId="74" fillId="14" borderId="19" xfId="44" applyFont="1" applyFill="1" applyBorder="1" applyAlignment="1">
      <alignment horizontal="center" vertical="center"/>
    </xf>
    <xf numFmtId="41" fontId="74" fillId="14" borderId="78" xfId="44" applyFont="1" applyFill="1" applyBorder="1" applyAlignment="1">
      <alignment horizontal="center" vertical="center"/>
    </xf>
    <xf numFmtId="41" fontId="74" fillId="14" borderId="62" xfId="44" applyFont="1" applyFill="1" applyBorder="1" applyAlignment="1">
      <alignment horizontal="center" vertical="center"/>
    </xf>
    <xf numFmtId="0" fontId="75" fillId="0" borderId="0" xfId="42" applyFont="1" applyAlignment="1">
      <alignment horizontal="left" vertical="center" wrapText="1" shrinkToFit="1"/>
    </xf>
    <xf numFmtId="41" fontId="76" fillId="0" borderId="0" xfId="44" applyFont="1">
      <alignment vertical="center"/>
    </xf>
    <xf numFmtId="0" fontId="76" fillId="0" borderId="0" xfId="42" applyFont="1" applyAlignment="1">
      <alignment horizontal="center" vertical="center"/>
    </xf>
    <xf numFmtId="41" fontId="52" fillId="0" borderId="0" xfId="44" applyFont="1" applyAlignment="1">
      <alignment horizontal="center" vertical="center"/>
    </xf>
    <xf numFmtId="41" fontId="64" fillId="5" borderId="9" xfId="44" applyFont="1" applyFill="1" applyBorder="1" applyAlignment="1">
      <alignment horizontal="right" vertical="center"/>
    </xf>
    <xf numFmtId="41" fontId="64" fillId="5" borderId="55" xfId="45" applyFont="1" applyFill="1" applyBorder="1" applyAlignment="1">
      <alignment horizontal="right" vertical="center"/>
    </xf>
    <xf numFmtId="41" fontId="64" fillId="5" borderId="79" xfId="44" applyFont="1" applyFill="1" applyBorder="1" applyAlignment="1">
      <alignment horizontal="center" vertical="center"/>
    </xf>
    <xf numFmtId="41" fontId="64" fillId="5" borderId="55" xfId="44" applyFont="1" applyFill="1" applyBorder="1" applyAlignment="1">
      <alignment horizontal="right" vertical="center"/>
    </xf>
    <xf numFmtId="176" fontId="64" fillId="5" borderId="55" xfId="1" applyFont="1" applyFill="1" applyBorder="1" applyAlignment="1">
      <alignment horizontal="right" vertical="center"/>
    </xf>
  </cellXfs>
  <cellStyles count="47">
    <cellStyle name="??&amp;O?&amp;H?_x0008__x000f__x0007_?_x0007__x0001__x0001_" xfId="4" xr:uid="{00000000-0005-0000-0000-000000000000}"/>
    <cellStyle name="??&amp;O?&amp;H?_x0008_??_x0007__x0001__x0001_" xfId="5" xr:uid="{00000000-0005-0000-0000-000001000000}"/>
    <cellStyle name="?W?_laroux" xfId="6" xr:uid="{00000000-0005-0000-0000-000002000000}"/>
    <cellStyle name="_백화점 유지보수 내역" xfId="7" xr:uid="{00000000-0005-0000-0000-000003000000}"/>
    <cellStyle name="_보수명세3 2004년 롯데카드 장비 유지보수 내역v8_1" xfId="8" xr:uid="{00000000-0005-0000-0000-000004000000}"/>
    <cellStyle name="’E‰Y [0.00]_laroux" xfId="9" xr:uid="{00000000-0005-0000-0000-000005000000}"/>
    <cellStyle name="’E‰Y_laroux" xfId="10" xr:uid="{00000000-0005-0000-0000-000006000000}"/>
    <cellStyle name="AeE­ [0]_PERSONAL" xfId="11" xr:uid="{00000000-0005-0000-0000-000007000000}"/>
    <cellStyle name="AeE­_PERSONAL" xfId="12" xr:uid="{00000000-0005-0000-0000-000008000000}"/>
    <cellStyle name="ALIGNMENT" xfId="13" xr:uid="{00000000-0005-0000-0000-000009000000}"/>
    <cellStyle name="C:\Data\MS\Excel" xfId="14" xr:uid="{00000000-0005-0000-0000-00000A000000}"/>
    <cellStyle name="C￥AØ_PERSONAL" xfId="15" xr:uid="{00000000-0005-0000-0000-00000B000000}"/>
    <cellStyle name="Comma [0]" xfId="16" xr:uid="{00000000-0005-0000-0000-00000C000000}"/>
    <cellStyle name="Comma [0] 2" xfId="45" xr:uid="{B1B6C487-CE2D-4757-BD8B-AD6D28F4A298}"/>
    <cellStyle name="Comma_제조1부1과 현황 " xfId="17" xr:uid="{00000000-0005-0000-0000-00000D000000}"/>
    <cellStyle name="Currency [0]" xfId="18" xr:uid="{00000000-0005-0000-0000-00000E000000}"/>
    <cellStyle name="Currency_제조1부1과 현황 " xfId="19" xr:uid="{00000000-0005-0000-0000-00000F000000}"/>
    <cellStyle name="Grey" xfId="20" xr:uid="{00000000-0005-0000-0000-000010000000}"/>
    <cellStyle name="Header 1" xfId="21" xr:uid="{00000000-0005-0000-0000-000011000000}"/>
    <cellStyle name="Header 2" xfId="22" xr:uid="{00000000-0005-0000-0000-000012000000}"/>
    <cellStyle name="Header Center" xfId="23" xr:uid="{00000000-0005-0000-0000-000013000000}"/>
    <cellStyle name="Header1" xfId="24" xr:uid="{00000000-0005-0000-0000-000014000000}"/>
    <cellStyle name="Header2" xfId="25" xr:uid="{00000000-0005-0000-0000-000015000000}"/>
    <cellStyle name="HP Logo" xfId="26" xr:uid="{00000000-0005-0000-0000-000016000000}"/>
    <cellStyle name="Hyperlink_NEGS" xfId="27" xr:uid="{00000000-0005-0000-0000-000017000000}"/>
    <cellStyle name="Input [yellow]" xfId="28" xr:uid="{00000000-0005-0000-0000-000018000000}"/>
    <cellStyle name="Normal - Style1" xfId="29" xr:uid="{00000000-0005-0000-0000-000019000000}"/>
    <cellStyle name="Normal 2 2" xfId="46" xr:uid="{704F60B3-B1D7-4A3E-A55D-4AC9EC71F8AA}"/>
    <cellStyle name="Normal_0315(96)" xfId="30" xr:uid="{00000000-0005-0000-0000-00001A000000}"/>
    <cellStyle name="Œ…?æ맖?e [0.00]_laroux" xfId="31" xr:uid="{00000000-0005-0000-0000-00001B000000}"/>
    <cellStyle name="Œ…?æ맖?e_laroux" xfId="32" xr:uid="{00000000-0005-0000-0000-00001C000000}"/>
    <cellStyle name="Percent [2]" xfId="33" xr:uid="{00000000-0005-0000-0000-00001D000000}"/>
    <cellStyle name="백분율" xfId="41" builtinId="5"/>
    <cellStyle name="백창콤마" xfId="34" xr:uid="{00000000-0005-0000-0000-00001E000000}"/>
    <cellStyle name="쉼표 [0]" xfId="1" builtinId="6"/>
    <cellStyle name="쉼표 [0] 2" xfId="44" xr:uid="{C5A40467-EFD2-4A18-94EF-5AF57D55C1D2}"/>
    <cellStyle name="쉼표 [0]_물품명세서 정원" xfId="3" xr:uid="{00000000-0005-0000-0000-000020000000}"/>
    <cellStyle name="스타일 1" xfId="35" xr:uid="{00000000-0005-0000-0000-000021000000}"/>
    <cellStyle name="콤마 [0]_0e82ylkxXssowSHLUGHT4e8Qq" xfId="36" xr:uid="{00000000-0005-0000-0000-000022000000}"/>
    <cellStyle name="콤마_0e82ylkxXssowSHLUGHT4e8Qq" xfId="37" xr:uid="{00000000-0005-0000-0000-000023000000}"/>
    <cellStyle name="통화 [0]" xfId="38" builtinId="7"/>
    <cellStyle name="통화 [0] 3" xfId="39" xr:uid="{00000000-0005-0000-0000-000025000000}"/>
    <cellStyle name="표준" xfId="0" builtinId="0"/>
    <cellStyle name="표준 2" xfId="40" xr:uid="{00000000-0005-0000-0000-000027000000}"/>
    <cellStyle name="표준 3" xfId="42" xr:uid="{487CB419-BB62-4244-B4C1-4820CD255F6D}"/>
    <cellStyle name="표준_견적20050523-01" xfId="43" xr:uid="{36A9548C-EF1F-4C10-A99B-85FE994BC156}"/>
    <cellStyle name="표준_물품명세서 정원" xfId="2" xr:uid="{00000000-0005-0000-0000-00002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jlee\AppData\Local\Microsoft\Windows\INetCache\Content.Outlook\16FIC6GD\Copy%20of%20&#49328;&#50629;&#51008;&#54665;_ZS9-2_Sizing_08Oct2024_v2.xlsx" TargetMode="External"/><Relationship Id="rId1" Type="http://schemas.openxmlformats.org/officeDocument/2006/relationships/externalLinkPath" Target="file:///C:\Users\hjlee\AppData\Local\Microsoft\Windows\INetCache\Content.Outlook\16FIC6GD\Copy%20of%20&#49328;&#50629;&#51008;&#54665;_ZS9-2_Sizing_08Oct2024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S9-2견적"/>
      <sheetName val="ZFS_백업용량산정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opLeftCell="A7" workbookViewId="0">
      <selection activeCell="H34" sqref="H34"/>
    </sheetView>
  </sheetViews>
  <sheetFormatPr defaultColWidth="10" defaultRowHeight="15.75"/>
  <cols>
    <col min="1" max="1" width="3.625" style="2" customWidth="1"/>
    <col min="2" max="2" width="17.375" style="2" customWidth="1"/>
    <col min="3" max="3" width="27" style="2" customWidth="1"/>
    <col min="4" max="4" width="11.25" style="2" customWidth="1"/>
    <col min="5" max="5" width="5.25" style="2" customWidth="1"/>
    <col min="6" max="6" width="16.625" style="3" bestFit="1" customWidth="1"/>
    <col min="7" max="7" width="4.875" style="2" customWidth="1"/>
    <col min="8" max="8" width="18.625" style="2" customWidth="1"/>
    <col min="9" max="9" width="16.25" style="1" customWidth="1"/>
    <col min="10" max="10" width="16.625" style="2" customWidth="1"/>
    <col min="11" max="11" width="11.375" style="2" customWidth="1"/>
    <col min="12" max="12" width="10.375" style="2" bestFit="1" customWidth="1"/>
    <col min="13" max="16384" width="10" style="2"/>
  </cols>
  <sheetData>
    <row r="1" spans="1:12" ht="31.5">
      <c r="A1" s="168" t="s">
        <v>25</v>
      </c>
      <c r="B1" s="169"/>
      <c r="C1" s="169"/>
      <c r="D1" s="169"/>
      <c r="E1" s="169"/>
      <c r="F1" s="169"/>
      <c r="G1" s="169"/>
      <c r="H1" s="169"/>
    </row>
    <row r="2" spans="1:12" ht="23.25" customHeight="1"/>
    <row r="3" spans="1:12" ht="16.5" customHeight="1">
      <c r="A3" s="4" t="s">
        <v>132</v>
      </c>
      <c r="B3" s="5"/>
      <c r="C3" s="6"/>
      <c r="D3" s="5"/>
      <c r="E3" s="5"/>
      <c r="F3" s="7" t="s">
        <v>0</v>
      </c>
      <c r="H3" s="5"/>
    </row>
    <row r="4" spans="1:12" ht="16.5">
      <c r="A4" s="4" t="s">
        <v>133</v>
      </c>
      <c r="B4" s="5"/>
      <c r="C4" s="8"/>
      <c r="D4" s="8"/>
      <c r="E4" s="5"/>
      <c r="F4" s="7" t="s">
        <v>24</v>
      </c>
      <c r="H4" s="5"/>
    </row>
    <row r="5" spans="1:12">
      <c r="A5" s="4" t="s">
        <v>23</v>
      </c>
      <c r="B5" s="5"/>
      <c r="C5" s="9"/>
      <c r="D5" s="5"/>
      <c r="E5" s="5"/>
      <c r="F5" s="10" t="s">
        <v>1</v>
      </c>
      <c r="H5" s="5"/>
    </row>
    <row r="6" spans="1:12">
      <c r="A6" s="4"/>
      <c r="B6" s="5"/>
      <c r="C6" s="9"/>
      <c r="D6" s="5"/>
      <c r="E6" s="5"/>
      <c r="F6" s="10" t="s">
        <v>2</v>
      </c>
      <c r="H6" s="5"/>
    </row>
    <row r="7" spans="1:12">
      <c r="A7" s="4"/>
      <c r="B7" s="5"/>
      <c r="C7" s="9"/>
      <c r="D7" s="5"/>
      <c r="E7" s="5"/>
      <c r="F7" s="7"/>
      <c r="H7" s="5"/>
    </row>
    <row r="8" spans="1:12" s="12" customFormat="1" ht="13.5" customHeight="1">
      <c r="A8" s="11" t="s">
        <v>3</v>
      </c>
      <c r="F8" s="13"/>
      <c r="I8" s="14"/>
    </row>
    <row r="9" spans="1:12" ht="5.25" customHeight="1">
      <c r="H9" s="12"/>
    </row>
    <row r="10" spans="1:12" s="12" customFormat="1" ht="12.75" customHeight="1">
      <c r="A10" s="11" t="s">
        <v>4</v>
      </c>
      <c r="F10" s="13"/>
      <c r="G10" s="15"/>
      <c r="I10" s="14"/>
    </row>
    <row r="11" spans="1:12" ht="22.5" customHeight="1">
      <c r="A11" s="16"/>
      <c r="B11" s="59" t="s">
        <v>45</v>
      </c>
      <c r="H11" s="17" t="s">
        <v>5</v>
      </c>
    </row>
    <row r="12" spans="1:12" ht="19.5" customHeight="1" thickBot="1">
      <c r="A12" s="45" t="s">
        <v>6</v>
      </c>
      <c r="B12" s="170" t="s">
        <v>7</v>
      </c>
      <c r="C12" s="171"/>
      <c r="D12" s="76" t="s">
        <v>8</v>
      </c>
      <c r="E12" s="170" t="s">
        <v>9</v>
      </c>
      <c r="F12" s="171"/>
      <c r="G12" s="77" t="s">
        <v>10</v>
      </c>
      <c r="H12" s="45" t="s">
        <v>11</v>
      </c>
      <c r="J12" s="1"/>
      <c r="K12" s="1"/>
      <c r="L12" s="1"/>
    </row>
    <row r="13" spans="1:12" ht="19.5" customHeight="1" thickTop="1">
      <c r="A13" s="78"/>
      <c r="B13" s="84" t="s">
        <v>32</v>
      </c>
      <c r="C13" s="18"/>
      <c r="D13" s="79"/>
      <c r="E13" s="80"/>
      <c r="F13" s="81"/>
      <c r="G13" s="82"/>
      <c r="H13" s="83"/>
      <c r="J13" s="14"/>
      <c r="K13" s="1"/>
      <c r="L13" s="1"/>
    </row>
    <row r="14" spans="1:12" ht="19.5" customHeight="1">
      <c r="A14" s="183">
        <v>1</v>
      </c>
      <c r="B14" s="2" t="s">
        <v>26</v>
      </c>
      <c r="C14" s="19"/>
      <c r="D14" s="177">
        <v>783056368</v>
      </c>
      <c r="E14" s="21"/>
      <c r="F14" s="89"/>
      <c r="G14" s="179">
        <v>1</v>
      </c>
      <c r="H14" s="185">
        <f>D14*G14</f>
        <v>783056368</v>
      </c>
      <c r="J14" s="14"/>
      <c r="K14" s="1"/>
      <c r="L14" s="1"/>
    </row>
    <row r="15" spans="1:12" ht="19.5" customHeight="1">
      <c r="A15" s="184"/>
      <c r="B15" s="75" t="s">
        <v>27</v>
      </c>
      <c r="C15" s="46"/>
      <c r="D15" s="178"/>
      <c r="E15" s="47"/>
      <c r="F15" s="90"/>
      <c r="G15" s="180"/>
      <c r="H15" s="186"/>
      <c r="J15" s="14"/>
      <c r="K15" s="1"/>
      <c r="L15" s="1"/>
    </row>
    <row r="16" spans="1:12" ht="19.5" customHeight="1">
      <c r="A16" s="95">
        <v>2</v>
      </c>
      <c r="B16" s="85" t="s">
        <v>29</v>
      </c>
      <c r="C16" s="86"/>
      <c r="D16" s="87">
        <v>3581110</v>
      </c>
      <c r="E16" s="88"/>
      <c r="F16" s="91"/>
      <c r="G16" s="92">
        <v>2</v>
      </c>
      <c r="H16" s="93">
        <f>D16*G16</f>
        <v>7162220</v>
      </c>
      <c r="J16" s="14"/>
      <c r="K16" s="1"/>
      <c r="L16" s="1"/>
    </row>
    <row r="17" spans="1:12" ht="19.5" customHeight="1">
      <c r="A17" s="95">
        <v>3</v>
      </c>
      <c r="B17" s="85" t="s">
        <v>30</v>
      </c>
      <c r="C17" s="86"/>
      <c r="D17" s="87">
        <v>648188</v>
      </c>
      <c r="E17" s="88"/>
      <c r="F17" s="91"/>
      <c r="G17" s="92">
        <v>8</v>
      </c>
      <c r="H17" s="93">
        <f>D17*G17</f>
        <v>5185504</v>
      </c>
      <c r="J17" s="14"/>
      <c r="K17" s="1"/>
      <c r="L17" s="1"/>
    </row>
    <row r="18" spans="1:12" ht="19.5" customHeight="1">
      <c r="A18" s="96"/>
      <c r="B18" s="97" t="s">
        <v>28</v>
      </c>
      <c r="C18" s="51"/>
      <c r="D18" s="175">
        <v>104623917</v>
      </c>
      <c r="E18" s="52"/>
      <c r="F18" s="94"/>
      <c r="G18" s="181">
        <v>4</v>
      </c>
      <c r="H18" s="187">
        <f>D18*G18</f>
        <v>418495668</v>
      </c>
      <c r="J18" s="14"/>
      <c r="K18" s="1"/>
      <c r="L18" s="1"/>
    </row>
    <row r="19" spans="1:12" ht="19.5" customHeight="1" thickBot="1">
      <c r="A19" s="98">
        <v>4</v>
      </c>
      <c r="B19" s="99" t="s">
        <v>31</v>
      </c>
      <c r="C19" s="100"/>
      <c r="D19" s="176"/>
      <c r="E19" s="101"/>
      <c r="F19" s="102"/>
      <c r="G19" s="182"/>
      <c r="H19" s="188"/>
      <c r="J19" s="14"/>
      <c r="K19" s="1"/>
      <c r="L19" s="1"/>
    </row>
    <row r="20" spans="1:12" ht="19.5" customHeight="1" thickTop="1" thickBot="1">
      <c r="A20" s="172" t="s">
        <v>21</v>
      </c>
      <c r="B20" s="173"/>
      <c r="C20" s="173"/>
      <c r="D20" s="173"/>
      <c r="E20" s="173"/>
      <c r="F20" s="173"/>
      <c r="G20" s="174"/>
      <c r="H20" s="108">
        <f>SUM(H14:H19)</f>
        <v>1213899760</v>
      </c>
      <c r="J20" s="14"/>
      <c r="K20" s="1"/>
      <c r="L20" s="71"/>
    </row>
    <row r="21" spans="1:12" ht="19.5" customHeight="1" thickTop="1" thickBot="1">
      <c r="A21" s="105"/>
      <c r="B21" s="106"/>
      <c r="C21" s="106"/>
      <c r="D21" s="106"/>
      <c r="E21" s="106"/>
      <c r="F21" s="106"/>
      <c r="G21" s="107"/>
      <c r="H21" s="108">
        <f>H20*0.83</f>
        <v>1007536800.8</v>
      </c>
      <c r="I21" s="115"/>
      <c r="J21" s="14"/>
      <c r="K21" s="1"/>
      <c r="L21" s="71"/>
    </row>
    <row r="22" spans="1:12" ht="19.5" customHeight="1" thickTop="1">
      <c r="A22" s="103"/>
      <c r="B22" s="104" t="s">
        <v>33</v>
      </c>
      <c r="C22" s="19"/>
      <c r="D22" s="20"/>
      <c r="E22" s="21"/>
      <c r="F22" s="22"/>
      <c r="G22" s="23"/>
      <c r="H22" s="24"/>
      <c r="J22" s="14"/>
      <c r="K22" s="1"/>
    </row>
    <row r="23" spans="1:12" ht="19.5" customHeight="1">
      <c r="A23" s="189">
        <v>1</v>
      </c>
      <c r="B23" s="2" t="s">
        <v>26</v>
      </c>
      <c r="C23" s="19"/>
      <c r="D23" s="177">
        <v>783056368</v>
      </c>
      <c r="E23" s="21"/>
      <c r="F23" s="22"/>
      <c r="G23" s="179">
        <v>1</v>
      </c>
      <c r="H23" s="185">
        <f>D23*G23</f>
        <v>783056368</v>
      </c>
      <c r="J23" s="14"/>
      <c r="K23" s="1"/>
    </row>
    <row r="24" spans="1:12" ht="19.5" customHeight="1">
      <c r="A24" s="190"/>
      <c r="B24" s="75" t="s">
        <v>27</v>
      </c>
      <c r="C24" s="46"/>
      <c r="D24" s="178"/>
      <c r="E24" s="47"/>
      <c r="F24" s="48"/>
      <c r="G24" s="180"/>
      <c r="H24" s="186"/>
      <c r="J24" s="14"/>
      <c r="K24" s="1"/>
    </row>
    <row r="25" spans="1:12" ht="19.5" customHeight="1">
      <c r="B25" s="85" t="s">
        <v>29</v>
      </c>
      <c r="C25" s="86"/>
      <c r="D25" s="87">
        <v>3581110</v>
      </c>
      <c r="E25" s="88"/>
      <c r="F25" s="91"/>
      <c r="G25" s="92">
        <v>2</v>
      </c>
      <c r="H25" s="93">
        <f>D25*G25</f>
        <v>7162220</v>
      </c>
      <c r="J25" s="14"/>
      <c r="K25" s="1"/>
    </row>
    <row r="26" spans="1:12" ht="19.5" customHeight="1">
      <c r="A26" s="109">
        <v>3</v>
      </c>
      <c r="B26" s="85" t="s">
        <v>30</v>
      </c>
      <c r="C26" s="86"/>
      <c r="D26" s="87">
        <v>648188</v>
      </c>
      <c r="E26" s="88"/>
      <c r="F26" s="91"/>
      <c r="G26" s="92">
        <v>8</v>
      </c>
      <c r="H26" s="93">
        <f>D26*G26</f>
        <v>5185504</v>
      </c>
      <c r="J26" s="14"/>
      <c r="K26" s="1"/>
    </row>
    <row r="27" spans="1:12" ht="19.5" customHeight="1">
      <c r="A27" s="96"/>
      <c r="B27" s="97" t="s">
        <v>28</v>
      </c>
      <c r="C27" s="51"/>
      <c r="D27" s="175">
        <v>104623917</v>
      </c>
      <c r="E27" s="52"/>
      <c r="F27" s="94"/>
      <c r="G27" s="181">
        <v>2</v>
      </c>
      <c r="H27" s="187">
        <f>D27*G27</f>
        <v>209247834</v>
      </c>
      <c r="J27" s="14"/>
      <c r="K27" s="1"/>
    </row>
    <row r="28" spans="1:12" ht="19.5" customHeight="1" thickBot="1">
      <c r="A28" s="98">
        <v>4</v>
      </c>
      <c r="B28" s="99" t="s">
        <v>31</v>
      </c>
      <c r="C28" s="100"/>
      <c r="D28" s="176"/>
      <c r="E28" s="101"/>
      <c r="F28" s="102"/>
      <c r="G28" s="182"/>
      <c r="H28" s="188"/>
      <c r="J28" s="14"/>
      <c r="K28" s="1"/>
    </row>
    <row r="29" spans="1:12" ht="19.5" customHeight="1" thickTop="1">
      <c r="A29" s="156" t="s">
        <v>21</v>
      </c>
      <c r="B29" s="157"/>
      <c r="C29" s="157"/>
      <c r="D29" s="157"/>
      <c r="E29" s="157"/>
      <c r="F29" s="157"/>
      <c r="G29" s="158"/>
      <c r="H29" s="54">
        <f>SUM(H23:H28)</f>
        <v>1004651926</v>
      </c>
      <c r="J29" s="14"/>
      <c r="K29" s="1"/>
      <c r="L29" s="71"/>
    </row>
    <row r="30" spans="1:12" ht="19.5" customHeight="1">
      <c r="A30" s="156" t="s">
        <v>21</v>
      </c>
      <c r="B30" s="157"/>
      <c r="C30" s="157"/>
      <c r="D30" s="157"/>
      <c r="E30" s="157"/>
      <c r="F30" s="157"/>
      <c r="G30" s="158"/>
      <c r="H30" s="56">
        <f>H29*0.83</f>
        <v>833861098.57999992</v>
      </c>
      <c r="J30" s="14"/>
      <c r="K30" s="1"/>
      <c r="L30" s="71"/>
    </row>
    <row r="31" spans="1:12" ht="19.5" customHeight="1">
      <c r="A31" s="57">
        <v>1</v>
      </c>
      <c r="B31" s="2" t="s">
        <v>22</v>
      </c>
      <c r="C31" s="19"/>
      <c r="D31" s="20"/>
      <c r="E31" s="21"/>
      <c r="F31" s="22"/>
      <c r="G31" s="23"/>
      <c r="H31" s="24">
        <v>158800000</v>
      </c>
      <c r="J31" s="14"/>
      <c r="K31" s="1"/>
    </row>
    <row r="32" spans="1:12" ht="19.5" customHeight="1">
      <c r="A32" s="109">
        <v>2</v>
      </c>
      <c r="B32" s="116" t="s">
        <v>53</v>
      </c>
      <c r="C32" s="19"/>
      <c r="D32" s="20"/>
      <c r="E32" s="21"/>
      <c r="F32" s="22"/>
      <c r="G32" s="23"/>
      <c r="H32" s="49">
        <v>108000000</v>
      </c>
      <c r="J32" s="14"/>
      <c r="K32" s="1"/>
    </row>
    <row r="33" spans="1:12" ht="19.5" customHeight="1">
      <c r="A33" s="156" t="s">
        <v>21</v>
      </c>
      <c r="B33" s="157"/>
      <c r="C33" s="157"/>
      <c r="D33" s="157"/>
      <c r="E33" s="157"/>
      <c r="F33" s="157"/>
      <c r="G33" s="158"/>
      <c r="H33" s="56">
        <f>H31+H32</f>
        <v>266800000</v>
      </c>
      <c r="J33" s="14"/>
      <c r="K33" s="1"/>
      <c r="L33" s="71"/>
    </row>
    <row r="34" spans="1:12" s="12" customFormat="1" ht="19.5" customHeight="1">
      <c r="A34" s="159" t="s">
        <v>15</v>
      </c>
      <c r="B34" s="160"/>
      <c r="C34" s="160"/>
      <c r="D34" s="160"/>
      <c r="E34" s="160"/>
      <c r="F34" s="160"/>
      <c r="G34" s="161"/>
      <c r="H34" s="55">
        <f>H21+H30+H33</f>
        <v>2108197899.3799999</v>
      </c>
      <c r="I34" s="14"/>
      <c r="J34" s="14"/>
      <c r="K34" s="44"/>
      <c r="L34" s="14"/>
    </row>
    <row r="35" spans="1:12" s="27" customFormat="1" ht="13.5" customHeight="1">
      <c r="A35" s="28"/>
      <c r="B35" s="29"/>
      <c r="C35" s="13"/>
      <c r="D35" s="13"/>
      <c r="E35" s="13"/>
      <c r="F35" s="13"/>
      <c r="G35" s="3"/>
      <c r="H35" s="30"/>
      <c r="I35" s="26"/>
      <c r="J35" s="31"/>
    </row>
    <row r="36" spans="1:12" s="27" customFormat="1" ht="15" customHeight="1">
      <c r="A36" s="28" t="s">
        <v>47</v>
      </c>
      <c r="B36" s="29"/>
      <c r="C36" s="13"/>
      <c r="D36" s="13"/>
      <c r="E36" s="13"/>
      <c r="F36" s="13"/>
      <c r="G36" s="3"/>
      <c r="H36" s="30"/>
      <c r="I36" s="26"/>
    </row>
    <row r="37" spans="1:12" s="33" customFormat="1" ht="18" customHeight="1">
      <c r="A37" s="53"/>
      <c r="B37" s="167"/>
      <c r="C37" s="167"/>
      <c r="D37" s="167"/>
      <c r="E37" s="167"/>
      <c r="F37" s="167"/>
      <c r="G37" s="167"/>
      <c r="H37" s="167"/>
      <c r="I37" s="167"/>
      <c r="J37" s="32"/>
      <c r="K37" s="32"/>
      <c r="L37" s="32"/>
    </row>
    <row r="38" spans="1:12" s="33" customFormat="1" ht="18" customHeight="1">
      <c r="A38" s="53"/>
      <c r="B38" s="167"/>
      <c r="C38" s="167"/>
      <c r="D38" s="167"/>
      <c r="E38" s="167"/>
      <c r="F38" s="167"/>
      <c r="G38" s="167"/>
      <c r="H38" s="167"/>
      <c r="I38" s="167"/>
      <c r="J38" s="32"/>
      <c r="K38" s="32"/>
      <c r="L38" s="32"/>
    </row>
    <row r="39" spans="1:12" s="33" customFormat="1" ht="18" customHeight="1">
      <c r="A39" s="53">
        <v>1</v>
      </c>
      <c r="B39" s="167" t="s">
        <v>41</v>
      </c>
      <c r="C39" s="167"/>
      <c r="D39" s="167"/>
      <c r="E39" s="167"/>
      <c r="F39" s="167"/>
      <c r="G39" s="167"/>
      <c r="H39" s="167"/>
      <c r="I39" s="167"/>
    </row>
    <row r="40" spans="1:12" s="33" customFormat="1" ht="18" customHeight="1">
      <c r="A40" s="53">
        <v>2</v>
      </c>
      <c r="B40" s="167" t="s">
        <v>42</v>
      </c>
      <c r="C40" s="167"/>
      <c r="D40" s="167"/>
      <c r="E40" s="167"/>
      <c r="F40" s="167"/>
      <c r="G40" s="167"/>
      <c r="H40" s="167"/>
      <c r="I40" s="167"/>
    </row>
    <row r="41" spans="1:12" s="33" customFormat="1" ht="18" customHeight="1">
      <c r="A41" s="58">
        <v>3</v>
      </c>
      <c r="B41" s="167" t="s">
        <v>43</v>
      </c>
      <c r="C41" s="167"/>
      <c r="D41" s="167"/>
      <c r="E41" s="167"/>
      <c r="F41" s="167"/>
      <c r="G41" s="167"/>
      <c r="H41" s="167"/>
      <c r="I41" s="167"/>
    </row>
    <row r="42" spans="1:12" s="33" customFormat="1" ht="18" customHeight="1">
      <c r="A42" s="53">
        <v>4</v>
      </c>
      <c r="B42" s="167" t="s">
        <v>44</v>
      </c>
      <c r="C42" s="167"/>
      <c r="D42" s="167"/>
      <c r="E42" s="167"/>
      <c r="F42" s="167"/>
      <c r="G42" s="167"/>
      <c r="H42" s="167"/>
      <c r="I42" s="167"/>
    </row>
    <row r="43" spans="1:12" s="33" customFormat="1" ht="18" customHeight="1">
      <c r="A43" s="50" t="s">
        <v>48</v>
      </c>
      <c r="B43" s="13"/>
      <c r="C43" s="29"/>
      <c r="D43" s="29"/>
      <c r="E43" s="29"/>
      <c r="F43" s="13"/>
      <c r="G43" s="3"/>
      <c r="H43" s="30"/>
      <c r="I43" s="32"/>
    </row>
    <row r="44" spans="1:12" ht="18" customHeight="1">
      <c r="A44" s="29"/>
      <c r="B44" s="13"/>
      <c r="C44" s="29"/>
      <c r="D44" s="29"/>
      <c r="E44" s="29"/>
      <c r="F44" s="13"/>
      <c r="G44" s="3"/>
      <c r="H44" s="30"/>
    </row>
    <row r="45" spans="1:12" ht="18" customHeight="1">
      <c r="A45" s="29"/>
      <c r="B45" s="13"/>
      <c r="C45" s="29"/>
      <c r="D45" s="29"/>
      <c r="E45" s="29"/>
      <c r="F45" s="13"/>
      <c r="G45" s="3"/>
      <c r="H45" s="30"/>
    </row>
    <row r="46" spans="1:12" ht="18" customHeight="1">
      <c r="A46" s="29"/>
      <c r="B46" s="13"/>
      <c r="C46" s="29"/>
      <c r="D46" s="29"/>
      <c r="E46" s="29"/>
      <c r="F46" s="13"/>
      <c r="G46" s="3"/>
      <c r="H46" s="30"/>
    </row>
    <row r="47" spans="1:12" ht="18" customHeight="1">
      <c r="A47" s="29"/>
      <c r="B47" s="13"/>
      <c r="C47" s="29"/>
      <c r="D47" s="29"/>
      <c r="E47" s="29"/>
      <c r="F47" s="13"/>
      <c r="G47" s="3"/>
      <c r="H47" s="30"/>
    </row>
    <row r="48" spans="1:12" ht="25.5" customHeight="1">
      <c r="A48" s="162" t="s">
        <v>16</v>
      </c>
      <c r="B48" s="163"/>
      <c r="C48" s="163"/>
      <c r="D48" s="163"/>
      <c r="E48" s="163"/>
      <c r="F48" s="163"/>
      <c r="G48" s="164"/>
      <c r="H48" s="25">
        <f>H34*1.1</f>
        <v>2319017689.3179998</v>
      </c>
      <c r="J48" s="1"/>
    </row>
    <row r="49" spans="1:11" ht="18.75">
      <c r="A49" s="34"/>
      <c r="B49" s="34"/>
      <c r="C49" s="34"/>
      <c r="D49" s="34"/>
      <c r="E49" s="34"/>
      <c r="F49" s="34"/>
      <c r="G49" s="35"/>
      <c r="H49" s="36"/>
      <c r="J49" s="1"/>
      <c r="K49" s="70"/>
    </row>
    <row r="50" spans="1:11">
      <c r="A50" s="37" t="s">
        <v>14</v>
      </c>
      <c r="B50" s="38"/>
      <c r="C50" s="38"/>
      <c r="D50" s="39"/>
      <c r="E50" s="40"/>
      <c r="F50" s="40"/>
      <c r="G50" s="41"/>
      <c r="H50" s="42"/>
      <c r="J50" s="1"/>
    </row>
    <row r="51" spans="1:11">
      <c r="A51" s="165" t="s">
        <v>12</v>
      </c>
      <c r="B51" s="165"/>
      <c r="C51" s="165"/>
      <c r="D51" s="43"/>
      <c r="E51" s="166" t="s">
        <v>13</v>
      </c>
      <c r="F51" s="166"/>
      <c r="G51" s="166"/>
      <c r="H51" s="166"/>
    </row>
  </sheetData>
  <sheetProtection algorithmName="SHA-512" hashValue="6zCT/NUolqJX2tcDfIU1KsaxwxjDTpkiPDhyejjS8G0+tEma5oVwkTzF8JMsZCfafWcN55bClDCu/BgUlLH9Wg==" saltValue="Ur0fpx6e5aMh7onSbtyjSQ==" spinCount="100000" sheet="1" formatCells="0" formatColumns="0" formatRows="0" insertColumns="0" insertRows="0" insertHyperlinks="0" deleteColumns="0" deleteRows="0" sort="0" autoFilter="0" pivotTables="0"/>
  <mergeCells count="31">
    <mergeCell ref="D23:D24"/>
    <mergeCell ref="G23:G24"/>
    <mergeCell ref="H23:H24"/>
    <mergeCell ref="A29:G29"/>
    <mergeCell ref="A30:G30"/>
    <mergeCell ref="A23:A24"/>
    <mergeCell ref="D27:D28"/>
    <mergeCell ref="G27:G28"/>
    <mergeCell ref="H27:H28"/>
    <mergeCell ref="A1:H1"/>
    <mergeCell ref="B12:C12"/>
    <mergeCell ref="E12:F12"/>
    <mergeCell ref="A20:G20"/>
    <mergeCell ref="D18:D19"/>
    <mergeCell ref="D14:D15"/>
    <mergeCell ref="G14:G15"/>
    <mergeCell ref="G18:G19"/>
    <mergeCell ref="A14:A15"/>
    <mergeCell ref="H14:H15"/>
    <mergeCell ref="H18:H19"/>
    <mergeCell ref="A33:G33"/>
    <mergeCell ref="A34:G34"/>
    <mergeCell ref="A48:G48"/>
    <mergeCell ref="A51:C51"/>
    <mergeCell ref="E51:H51"/>
    <mergeCell ref="B37:I37"/>
    <mergeCell ref="B38:I38"/>
    <mergeCell ref="B39:I39"/>
    <mergeCell ref="B40:I40"/>
    <mergeCell ref="B41:I41"/>
    <mergeCell ref="B42:I42"/>
  </mergeCells>
  <phoneticPr fontId="18" type="noConversion"/>
  <pageMargins left="0.39370078740157483" right="0.27559055118110237" top="0.6692913385826772" bottom="0.51181102362204722" header="0.62992125984251968" footer="0.43307086614173229"/>
  <pageSetup paperSize="9" scale="8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1E84-0D08-446B-AE74-9F2ACD10D34F}">
  <dimension ref="A1:I27"/>
  <sheetViews>
    <sheetView tabSelected="1" workbookViewId="0">
      <selection activeCell="I15" sqref="I15"/>
    </sheetView>
  </sheetViews>
  <sheetFormatPr defaultRowHeight="14.25"/>
  <cols>
    <col min="1" max="1" width="9" customWidth="1"/>
    <col min="2" max="2" width="0.75" customWidth="1"/>
    <col min="3" max="3" width="19.625" customWidth="1"/>
    <col min="5" max="5" width="19.5" customWidth="1"/>
    <col min="6" max="6" width="13.625" customWidth="1"/>
    <col min="7" max="7" width="17" customWidth="1"/>
    <col min="9" max="9" width="14.75" customWidth="1"/>
  </cols>
  <sheetData>
    <row r="1" spans="1:9" ht="38.25">
      <c r="A1" s="194" t="s">
        <v>54</v>
      </c>
      <c r="B1" s="194"/>
      <c r="C1" s="194"/>
      <c r="D1" s="194"/>
      <c r="E1" s="194"/>
      <c r="F1" s="194"/>
      <c r="G1" s="194"/>
      <c r="H1" s="194"/>
      <c r="I1" s="194"/>
    </row>
    <row r="2" spans="1:9" ht="17.25">
      <c r="A2" s="117"/>
      <c r="B2" s="117"/>
      <c r="C2" s="117"/>
      <c r="D2" s="117"/>
      <c r="E2" s="117"/>
      <c r="F2" s="117"/>
      <c r="G2" s="118"/>
      <c r="H2" s="117"/>
      <c r="I2" s="117"/>
    </row>
    <row r="3" spans="1:9" ht="17.25">
      <c r="A3" s="119" t="s">
        <v>55</v>
      </c>
      <c r="B3" s="119"/>
      <c r="C3" s="120">
        <v>45582</v>
      </c>
      <c r="D3" s="121"/>
      <c r="E3" s="119"/>
      <c r="F3" s="119"/>
      <c r="G3" s="122" t="s">
        <v>56</v>
      </c>
      <c r="H3" s="117"/>
      <c r="I3" s="119"/>
    </row>
    <row r="4" spans="1:9" ht="17.25">
      <c r="A4" s="119" t="s">
        <v>57</v>
      </c>
      <c r="B4" s="119"/>
      <c r="C4" s="123" t="s">
        <v>135</v>
      </c>
      <c r="D4" s="123"/>
      <c r="E4" s="123"/>
      <c r="F4" s="119"/>
      <c r="G4" s="122" t="s">
        <v>58</v>
      </c>
      <c r="H4" s="117"/>
      <c r="I4" s="119"/>
    </row>
    <row r="5" spans="1:9" ht="17.25">
      <c r="A5" s="119" t="s">
        <v>59</v>
      </c>
      <c r="B5" s="119"/>
      <c r="C5" s="123" t="s">
        <v>60</v>
      </c>
      <c r="D5" s="123"/>
      <c r="E5" s="119"/>
      <c r="F5" s="119"/>
      <c r="G5" s="122" t="s">
        <v>61</v>
      </c>
      <c r="H5" s="117"/>
      <c r="I5" s="119"/>
    </row>
    <row r="6" spans="1:9" ht="17.25">
      <c r="A6" s="119"/>
      <c r="B6" s="119"/>
      <c r="C6" s="119"/>
      <c r="D6" s="123"/>
      <c r="E6" s="119"/>
      <c r="F6" s="119"/>
      <c r="G6" s="122" t="s">
        <v>62</v>
      </c>
      <c r="H6" s="117"/>
      <c r="I6" s="119"/>
    </row>
    <row r="7" spans="1:9" ht="17.25">
      <c r="A7" s="119"/>
      <c r="B7" s="119"/>
      <c r="C7" s="119"/>
      <c r="D7" s="123"/>
      <c r="E7" s="119"/>
      <c r="F7" s="119"/>
      <c r="G7" s="122" t="s">
        <v>63</v>
      </c>
      <c r="H7" s="117"/>
      <c r="I7" s="119"/>
    </row>
    <row r="8" spans="1:9">
      <c r="A8" s="124" t="s">
        <v>64</v>
      </c>
      <c r="B8" s="124"/>
      <c r="C8" s="124"/>
      <c r="D8" s="124"/>
      <c r="E8" s="124"/>
      <c r="F8" s="124"/>
      <c r="G8" s="125"/>
      <c r="H8" s="124"/>
      <c r="I8" s="124"/>
    </row>
    <row r="9" spans="1:9" ht="17.25">
      <c r="A9" s="117"/>
      <c r="B9" s="117"/>
      <c r="C9" s="117"/>
      <c r="D9" s="117"/>
      <c r="E9" s="117"/>
      <c r="F9" s="117"/>
      <c r="G9" s="118"/>
      <c r="H9" s="117"/>
      <c r="I9" s="124"/>
    </row>
    <row r="10" spans="1:9">
      <c r="A10" s="124" t="s">
        <v>65</v>
      </c>
      <c r="B10" s="124"/>
      <c r="C10" s="124"/>
      <c r="D10" s="124"/>
      <c r="E10" s="124"/>
      <c r="F10" s="124"/>
      <c r="G10" s="125"/>
      <c r="H10" s="126"/>
      <c r="I10" s="124"/>
    </row>
    <row r="11" spans="1:9" ht="17.25">
      <c r="A11" s="127" t="s">
        <v>66</v>
      </c>
      <c r="B11" s="119"/>
      <c r="C11" s="128"/>
      <c r="D11" s="117"/>
      <c r="E11" s="117"/>
      <c r="F11" s="117"/>
      <c r="G11" s="118"/>
      <c r="H11" s="117"/>
      <c r="I11" s="129" t="s">
        <v>67</v>
      </c>
    </row>
    <row r="12" spans="1:9" ht="19.5">
      <c r="A12" s="130" t="s">
        <v>6</v>
      </c>
      <c r="B12" s="195" t="s">
        <v>7</v>
      </c>
      <c r="C12" s="196"/>
      <c r="D12" s="197"/>
      <c r="E12" s="132" t="s">
        <v>68</v>
      </c>
      <c r="F12" s="131" t="s">
        <v>69</v>
      </c>
      <c r="G12" s="131" t="s">
        <v>70</v>
      </c>
      <c r="H12" s="133" t="s">
        <v>71</v>
      </c>
      <c r="I12" s="130" t="s">
        <v>11</v>
      </c>
    </row>
    <row r="13" spans="1:9" ht="20.25">
      <c r="A13" s="134"/>
      <c r="B13" s="198" t="s">
        <v>72</v>
      </c>
      <c r="C13" s="199"/>
      <c r="D13" s="200"/>
      <c r="E13" s="135"/>
      <c r="F13" s="135"/>
      <c r="G13" s="136"/>
      <c r="H13" s="137"/>
      <c r="I13" s="135"/>
    </row>
    <row r="14" spans="1:9" ht="17.25">
      <c r="A14" s="138">
        <v>1</v>
      </c>
      <c r="B14" s="191" t="s">
        <v>73</v>
      </c>
      <c r="C14" s="192"/>
      <c r="D14" s="193"/>
      <c r="E14" s="139" t="s">
        <v>74</v>
      </c>
      <c r="F14" s="140">
        <v>36000000</v>
      </c>
      <c r="G14" s="141">
        <v>18000000</v>
      </c>
      <c r="H14" s="142">
        <v>4</v>
      </c>
      <c r="I14" s="143">
        <f>G14*H14</f>
        <v>72000000</v>
      </c>
    </row>
    <row r="15" spans="1:9" ht="17.25">
      <c r="A15" s="138">
        <v>2</v>
      </c>
      <c r="B15" s="191" t="s">
        <v>75</v>
      </c>
      <c r="C15" s="192"/>
      <c r="D15" s="193"/>
      <c r="E15" s="139" t="s">
        <v>74</v>
      </c>
      <c r="F15" s="140">
        <v>36000000</v>
      </c>
      <c r="G15" s="141">
        <v>18000000</v>
      </c>
      <c r="H15" s="142">
        <v>2</v>
      </c>
      <c r="I15" s="143">
        <f>G15*H15</f>
        <v>36000000</v>
      </c>
    </row>
    <row r="16" spans="1:9" ht="17.25">
      <c r="A16" s="138"/>
      <c r="B16" s="191"/>
      <c r="C16" s="192"/>
      <c r="D16" s="193"/>
      <c r="E16" s="139"/>
      <c r="F16" s="140"/>
      <c r="G16" s="141"/>
      <c r="H16" s="142"/>
      <c r="I16" s="143"/>
    </row>
    <row r="17" spans="1:9" ht="17.25">
      <c r="A17" s="201" t="s">
        <v>76</v>
      </c>
      <c r="B17" s="202"/>
      <c r="C17" s="202"/>
      <c r="D17" s="202"/>
      <c r="E17" s="202"/>
      <c r="F17" s="202"/>
      <c r="G17" s="202"/>
      <c r="H17" s="203"/>
      <c r="I17" s="144">
        <f>SUM(I14:I16)</f>
        <v>108000000</v>
      </c>
    </row>
    <row r="18" spans="1:9" ht="17.25">
      <c r="A18" s="204" t="s">
        <v>77</v>
      </c>
      <c r="B18" s="205"/>
      <c r="C18" s="205"/>
      <c r="D18" s="205"/>
      <c r="E18" s="205"/>
      <c r="F18" s="205"/>
      <c r="G18" s="205"/>
      <c r="H18" s="206"/>
      <c r="I18" s="145">
        <f>I17</f>
        <v>108000000</v>
      </c>
    </row>
    <row r="19" spans="1:9" ht="16.5">
      <c r="A19" s="146"/>
      <c r="B19" s="146"/>
      <c r="C19" s="146"/>
      <c r="D19" s="146"/>
      <c r="E19" s="146"/>
      <c r="F19" s="207"/>
      <c r="G19" s="207"/>
      <c r="H19" s="207"/>
      <c r="I19" s="147"/>
    </row>
    <row r="20" spans="1:9" ht="17.25">
      <c r="A20" s="148" t="s">
        <v>78</v>
      </c>
      <c r="B20" s="148"/>
      <c r="C20" s="149"/>
      <c r="D20" s="125"/>
      <c r="E20" s="125"/>
      <c r="F20" s="125"/>
      <c r="G20" s="125"/>
      <c r="H20" s="118"/>
      <c r="I20" s="150"/>
    </row>
    <row r="21" spans="1:9" ht="17.25">
      <c r="A21" s="149" t="s">
        <v>79</v>
      </c>
      <c r="B21" s="149"/>
      <c r="C21" s="125"/>
      <c r="D21" s="149"/>
      <c r="E21" s="149"/>
      <c r="F21" s="149"/>
      <c r="G21" s="125"/>
      <c r="H21" s="118"/>
      <c r="I21" s="151"/>
    </row>
    <row r="22" spans="1:9" ht="17.25">
      <c r="A22" s="149" t="s">
        <v>80</v>
      </c>
      <c r="B22" s="149"/>
      <c r="C22" s="125"/>
      <c r="D22" s="149"/>
      <c r="E22" s="149"/>
      <c r="F22" s="149"/>
      <c r="G22" s="125"/>
      <c r="H22" s="118"/>
      <c r="I22" s="151"/>
    </row>
    <row r="23" spans="1:9" ht="17.25">
      <c r="A23" s="149" t="s">
        <v>81</v>
      </c>
      <c r="B23" s="149"/>
      <c r="C23" s="125"/>
      <c r="D23" s="149"/>
      <c r="E23" s="149"/>
      <c r="F23" s="149"/>
      <c r="G23" s="125"/>
      <c r="H23" s="118"/>
      <c r="I23" s="150"/>
    </row>
    <row r="24" spans="1:9" ht="18" thickBot="1">
      <c r="A24" s="149"/>
      <c r="B24" s="149"/>
      <c r="C24" s="125"/>
      <c r="D24" s="149"/>
      <c r="E24" s="149"/>
      <c r="F24" s="149"/>
      <c r="G24" s="125"/>
      <c r="H24" s="118"/>
      <c r="I24" s="150"/>
    </row>
    <row r="25" spans="1:9" ht="18" thickBot="1">
      <c r="A25" s="208" t="s">
        <v>82</v>
      </c>
      <c r="B25" s="209"/>
      <c r="C25" s="209"/>
      <c r="D25" s="209"/>
      <c r="E25" s="209"/>
      <c r="F25" s="209"/>
      <c r="G25" s="210"/>
      <c r="H25" s="211">
        <f>I18*1.1</f>
        <v>118800000.00000001</v>
      </c>
      <c r="I25" s="212"/>
    </row>
    <row r="26" spans="1:9" ht="20.25">
      <c r="A26" s="152"/>
      <c r="B26" s="152"/>
      <c r="C26" s="152"/>
      <c r="D26" s="152"/>
      <c r="E26" s="152"/>
      <c r="F26" s="152"/>
      <c r="G26" s="152"/>
      <c r="H26" s="153"/>
      <c r="I26" s="154"/>
    </row>
    <row r="27" spans="1:9" ht="17.25">
      <c r="A27" s="155" t="s">
        <v>83</v>
      </c>
      <c r="B27" s="117"/>
      <c r="C27" s="117"/>
      <c r="D27" s="117"/>
      <c r="E27" s="117"/>
      <c r="F27" s="117"/>
      <c r="G27" s="118"/>
      <c r="H27" s="117"/>
      <c r="I27" s="117"/>
    </row>
  </sheetData>
  <sheetProtection algorithmName="SHA-512" hashValue="YePB3vvjDGOlMp+o502NogieFsI4GYK/LDe+K8le84cMKxvRQ2ltmCGOYiJwx3ettiE821vDsnQH2N7+gpq/VA==" saltValue="cRCruPr7iUIaUSD1vMJxLA==" spinCount="100000" sheet="1" objects="1" scenarios="1"/>
  <mergeCells count="11">
    <mergeCell ref="A17:H17"/>
    <mergeCell ref="A18:H18"/>
    <mergeCell ref="F19:H19"/>
    <mergeCell ref="A25:G25"/>
    <mergeCell ref="H25:I25"/>
    <mergeCell ref="B16:D16"/>
    <mergeCell ref="A1:I1"/>
    <mergeCell ref="B12:D12"/>
    <mergeCell ref="B13:D13"/>
    <mergeCell ref="B14:D14"/>
    <mergeCell ref="B15:D15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K43"/>
  <sheetViews>
    <sheetView workbookViewId="0">
      <selection activeCell="D15" sqref="D15"/>
    </sheetView>
  </sheetViews>
  <sheetFormatPr defaultColWidth="10" defaultRowHeight="15.75"/>
  <cols>
    <col min="1" max="1" width="10" style="2"/>
    <col min="2" max="2" width="35.125" style="2" customWidth="1"/>
    <col min="3" max="4" width="36.625" style="2" customWidth="1"/>
    <col min="5" max="5" width="12.125" style="2" customWidth="1"/>
    <col min="6" max="6" width="10" style="2"/>
    <col min="7" max="10" width="11.875" style="2" bestFit="1" customWidth="1"/>
    <col min="11" max="16384" width="10" style="2"/>
  </cols>
  <sheetData>
    <row r="5" spans="1:11" ht="16.5" thickBot="1"/>
    <row r="6" spans="1:11" ht="16.5" thickBot="1">
      <c r="A6" s="60" t="s">
        <v>17</v>
      </c>
      <c r="B6" s="213" t="s">
        <v>18</v>
      </c>
      <c r="C6" s="214"/>
      <c r="D6" s="111" t="s">
        <v>40</v>
      </c>
      <c r="E6" s="61" t="s">
        <v>20</v>
      </c>
    </row>
    <row r="7" spans="1:11" ht="16.5" thickTop="1">
      <c r="A7" s="215" t="s">
        <v>19</v>
      </c>
      <c r="B7" s="218" t="s">
        <v>34</v>
      </c>
      <c r="C7" s="219"/>
      <c r="D7" s="110">
        <v>18000000</v>
      </c>
      <c r="E7" s="62">
        <v>2</v>
      </c>
    </row>
    <row r="8" spans="1:11" ht="17.25" customHeight="1">
      <c r="A8" s="216"/>
      <c r="B8" s="220" t="s">
        <v>35</v>
      </c>
      <c r="C8" s="221"/>
      <c r="D8" s="66">
        <v>6000000</v>
      </c>
      <c r="E8" s="63">
        <v>2</v>
      </c>
    </row>
    <row r="9" spans="1:11" ht="24.75" customHeight="1">
      <c r="A9" s="216"/>
      <c r="B9" s="220" t="s">
        <v>36</v>
      </c>
      <c r="C9" s="221"/>
      <c r="D9" s="66">
        <v>4800000</v>
      </c>
      <c r="E9" s="63">
        <v>6</v>
      </c>
    </row>
    <row r="10" spans="1:11">
      <c r="A10" s="216"/>
      <c r="B10" s="220" t="s">
        <v>37</v>
      </c>
      <c r="C10" s="221"/>
      <c r="D10" s="66">
        <v>4000000</v>
      </c>
      <c r="E10" s="64">
        <v>20</v>
      </c>
      <c r="H10" s="1"/>
      <c r="I10" s="1"/>
      <c r="J10" s="1"/>
      <c r="K10" s="1"/>
    </row>
    <row r="11" spans="1:11">
      <c r="A11" s="216"/>
      <c r="B11" s="220" t="s">
        <v>50</v>
      </c>
      <c r="C11" s="221"/>
      <c r="D11" s="66">
        <v>15000000</v>
      </c>
      <c r="E11" s="64">
        <v>1</v>
      </c>
      <c r="H11" s="1"/>
      <c r="I11" s="68"/>
      <c r="J11" s="69"/>
    </row>
    <row r="12" spans="1:11">
      <c r="A12" s="216"/>
      <c r="B12" s="220" t="s">
        <v>38</v>
      </c>
      <c r="C12" s="221"/>
      <c r="D12" s="66">
        <v>22000000</v>
      </c>
      <c r="E12" s="64">
        <v>2</v>
      </c>
      <c r="H12" s="1"/>
      <c r="I12" s="14"/>
      <c r="J12" s="1"/>
      <c r="K12" s="1"/>
    </row>
    <row r="13" spans="1:11">
      <c r="A13" s="216"/>
      <c r="B13" s="67" t="s">
        <v>52</v>
      </c>
      <c r="C13" s="66"/>
      <c r="D13" s="66">
        <v>19000000</v>
      </c>
      <c r="E13" s="64">
        <v>1</v>
      </c>
      <c r="H13" s="1"/>
      <c r="I13" s="14"/>
      <c r="J13" s="1"/>
      <c r="K13" s="1"/>
    </row>
    <row r="14" spans="1:11">
      <c r="A14" s="216"/>
      <c r="B14" s="67" t="s">
        <v>84</v>
      </c>
      <c r="C14" s="66"/>
      <c r="D14" s="66">
        <v>16000000</v>
      </c>
      <c r="E14" s="64">
        <v>1</v>
      </c>
      <c r="H14" s="1"/>
      <c r="I14" s="14"/>
      <c r="J14" s="1"/>
      <c r="K14" s="71"/>
    </row>
    <row r="15" spans="1:11">
      <c r="A15" s="216"/>
      <c r="B15" s="67" t="s">
        <v>51</v>
      </c>
      <c r="C15" s="66"/>
      <c r="D15" s="66">
        <v>36000000</v>
      </c>
      <c r="E15" s="64">
        <v>1</v>
      </c>
      <c r="H15" s="1"/>
      <c r="I15" s="14"/>
      <c r="J15" s="1"/>
    </row>
    <row r="16" spans="1:11">
      <c r="A16" s="216"/>
      <c r="B16" s="67" t="s">
        <v>49</v>
      </c>
      <c r="C16" s="66"/>
      <c r="D16" s="113">
        <v>25000000</v>
      </c>
      <c r="E16" s="64">
        <v>1</v>
      </c>
      <c r="H16" s="1"/>
      <c r="I16" s="14"/>
      <c r="J16" s="1"/>
    </row>
    <row r="17" spans="1:11">
      <c r="A17" s="216"/>
      <c r="B17" s="222" t="s">
        <v>39</v>
      </c>
      <c r="C17" s="221"/>
      <c r="D17" s="113">
        <v>3000000</v>
      </c>
      <c r="E17" s="65">
        <v>1</v>
      </c>
      <c r="H17" s="1"/>
      <c r="I17" s="14"/>
      <c r="J17" s="1"/>
      <c r="K17" s="1"/>
    </row>
    <row r="18" spans="1:11" ht="16.5" thickBot="1">
      <c r="A18" s="217"/>
      <c r="B18" s="73" t="s">
        <v>46</v>
      </c>
      <c r="C18" s="74"/>
      <c r="D18" s="114">
        <f>SUM(D7:D17)</f>
        <v>168800000</v>
      </c>
      <c r="E18" s="74"/>
      <c r="H18" s="1"/>
      <c r="I18" s="14"/>
      <c r="J18" s="1"/>
      <c r="K18" s="71"/>
    </row>
    <row r="19" spans="1:11">
      <c r="H19" s="1"/>
      <c r="I19" s="14"/>
      <c r="J19" s="1"/>
    </row>
    <row r="20" spans="1:11">
      <c r="H20" s="1"/>
      <c r="I20" s="14"/>
      <c r="J20" s="1"/>
    </row>
    <row r="21" spans="1:11">
      <c r="D21" s="112"/>
      <c r="H21" s="1"/>
      <c r="I21" s="14"/>
      <c r="J21" s="1"/>
      <c r="K21" s="71"/>
    </row>
    <row r="22" spans="1:11">
      <c r="H22" s="14"/>
      <c r="I22" s="14"/>
      <c r="J22" s="44"/>
      <c r="K22" s="14"/>
    </row>
    <row r="23" spans="1:11">
      <c r="H23" s="26"/>
      <c r="I23" s="31"/>
      <c r="J23" s="27"/>
      <c r="K23" s="27"/>
    </row>
    <row r="24" spans="1:11">
      <c r="H24" s="26"/>
      <c r="I24" s="27"/>
      <c r="J24" s="27"/>
      <c r="K24" s="27"/>
    </row>
    <row r="25" spans="1:11">
      <c r="H25" s="72"/>
      <c r="I25" s="32"/>
      <c r="J25" s="32"/>
      <c r="K25" s="32"/>
    </row>
    <row r="26" spans="1:11">
      <c r="H26" s="72"/>
      <c r="I26" s="32"/>
      <c r="J26" s="32"/>
      <c r="K26" s="32"/>
    </row>
    <row r="29" spans="1:11">
      <c r="G29" s="1"/>
      <c r="H29" s="1"/>
      <c r="I29" s="1"/>
      <c r="J29" s="1"/>
    </row>
    <row r="30" spans="1:11">
      <c r="G30" s="1"/>
      <c r="H30" s="1"/>
      <c r="I30" s="1"/>
      <c r="J30" s="1"/>
    </row>
    <row r="31" spans="1:11">
      <c r="G31" s="1"/>
      <c r="H31" s="1"/>
      <c r="I31" s="1"/>
      <c r="J31" s="1"/>
    </row>
    <row r="32" spans="1:11">
      <c r="G32" s="1"/>
      <c r="H32" s="1"/>
      <c r="I32" s="1"/>
      <c r="J32" s="1"/>
    </row>
    <row r="33" spans="7:10">
      <c r="G33" s="1"/>
      <c r="H33" s="1"/>
      <c r="I33" s="1"/>
      <c r="J33" s="1"/>
    </row>
    <row r="34" spans="7:10">
      <c r="G34" s="1"/>
      <c r="H34" s="1"/>
      <c r="I34" s="1"/>
      <c r="J34" s="1"/>
    </row>
    <row r="35" spans="7:10">
      <c r="G35" s="1"/>
      <c r="H35" s="1"/>
      <c r="I35" s="1"/>
      <c r="J35" s="1"/>
    </row>
    <row r="36" spans="7:10">
      <c r="G36" s="1"/>
      <c r="H36" s="1"/>
      <c r="I36" s="1"/>
      <c r="J36" s="1"/>
    </row>
    <row r="37" spans="7:10">
      <c r="G37" s="1"/>
      <c r="H37" s="1"/>
      <c r="I37" s="1"/>
      <c r="J37" s="1"/>
    </row>
    <row r="38" spans="7:10">
      <c r="G38" s="1"/>
      <c r="H38" s="1"/>
      <c r="I38" s="1"/>
      <c r="J38" s="1"/>
    </row>
    <row r="39" spans="7:10">
      <c r="G39" s="1"/>
      <c r="H39" s="1"/>
      <c r="I39" s="1"/>
      <c r="J39" s="1"/>
    </row>
    <row r="40" spans="7:10">
      <c r="G40" s="1"/>
      <c r="H40" s="1"/>
      <c r="I40" s="1"/>
      <c r="J40" s="1"/>
    </row>
    <row r="41" spans="7:10">
      <c r="G41" s="1"/>
      <c r="H41" s="1"/>
      <c r="I41" s="1"/>
      <c r="J41" s="1"/>
    </row>
    <row r="42" spans="7:10">
      <c r="G42" s="1"/>
      <c r="H42" s="1"/>
      <c r="I42" s="1"/>
      <c r="J42" s="1"/>
    </row>
    <row r="43" spans="7:10">
      <c r="G43" s="1"/>
      <c r="H43" s="1"/>
      <c r="I43" s="1"/>
      <c r="J43" s="1"/>
    </row>
  </sheetData>
  <sheetProtection algorithmName="SHA-512" hashValue="38cIf56M//38drpJ6RMkraPdyxBJhFE3HkGa+ZAyD/sSfF9tvpA+pK8x0app546rclte47zefD9LPzI0oPZiXg==" saltValue="1RzrfI1fRefdmhGke4khww==" spinCount="100000" sheet="1" formatCells="0" formatColumns="0" formatRows="0" insertColumns="0" insertRows="0" insertHyperlinks="0" deleteColumns="0" deleteRows="0" sort="0" autoFilter="0" pivotTables="0"/>
  <mergeCells count="9">
    <mergeCell ref="B6:C6"/>
    <mergeCell ref="A7:A18"/>
    <mergeCell ref="B7:C7"/>
    <mergeCell ref="B8:C8"/>
    <mergeCell ref="B9:C9"/>
    <mergeCell ref="B10:C10"/>
    <mergeCell ref="B11:C11"/>
    <mergeCell ref="B12:C12"/>
    <mergeCell ref="B17:C17"/>
  </mergeCells>
  <phoneticPr fontId="18" type="noConversion"/>
  <pageMargins left="0.39" right="0.28000000000000003" top="0.66" bottom="0.51" header="0.64" footer="0.43"/>
  <pageSetup paperSize="9" scale="87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progId="PBrush" shapeId="2049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782C-EEF8-4A97-A791-B7B5DA622EF5}">
  <dimension ref="A1:K43"/>
  <sheetViews>
    <sheetView workbookViewId="0">
      <selection activeCell="A3" sqref="A3"/>
    </sheetView>
  </sheetViews>
  <sheetFormatPr defaultColWidth="10" defaultRowHeight="15.75"/>
  <cols>
    <col min="1" max="1" width="10.875" style="2" customWidth="1"/>
    <col min="2" max="2" width="17.375" style="2" customWidth="1"/>
    <col min="3" max="3" width="53" style="2" customWidth="1"/>
    <col min="4" max="4" width="9.875" style="2" customWidth="1"/>
    <col min="5" max="5" width="9.625" style="2" customWidth="1"/>
    <col min="6" max="6" width="16.625" style="3" bestFit="1" customWidth="1"/>
    <col min="7" max="7" width="12.875" style="2" customWidth="1"/>
    <col min="8" max="8" width="11.125" style="2" customWidth="1"/>
    <col min="9" max="9" width="16.25" style="1" customWidth="1"/>
    <col min="10" max="10" width="16.625" style="2" customWidth="1"/>
    <col min="11" max="11" width="11.375" style="2" customWidth="1"/>
    <col min="12" max="12" width="10.375" style="2" bestFit="1" customWidth="1"/>
    <col min="13" max="16384" width="10" style="2"/>
  </cols>
  <sheetData>
    <row r="1" spans="1:8" ht="31.5">
      <c r="A1" s="168" t="s">
        <v>25</v>
      </c>
      <c r="B1" s="169"/>
      <c r="C1" s="169"/>
      <c r="D1" s="169"/>
      <c r="E1" s="169"/>
      <c r="F1" s="169"/>
      <c r="G1" s="169"/>
      <c r="H1" s="169"/>
    </row>
    <row r="2" spans="1:8" ht="23.25" customHeight="1"/>
    <row r="3" spans="1:8" ht="16.5" customHeight="1">
      <c r="A3" s="4" t="s">
        <v>130</v>
      </c>
      <c r="B3" s="5"/>
      <c r="C3" s="6"/>
      <c r="D3" s="5"/>
      <c r="E3" s="5"/>
      <c r="F3" s="7" t="s">
        <v>0</v>
      </c>
      <c r="H3" s="5"/>
    </row>
    <row r="4" spans="1:8" ht="16.5">
      <c r="A4" s="4" t="s">
        <v>131</v>
      </c>
      <c r="B4" s="5"/>
      <c r="C4" s="8"/>
      <c r="D4" s="8"/>
      <c r="E4" s="5"/>
      <c r="F4" s="7" t="s">
        <v>24</v>
      </c>
      <c r="H4" s="5"/>
    </row>
    <row r="5" spans="1:8">
      <c r="A5" s="4" t="s">
        <v>23</v>
      </c>
      <c r="B5" s="5"/>
      <c r="C5" s="9"/>
      <c r="D5" s="5"/>
      <c r="E5" s="5"/>
      <c r="F5" s="10" t="s">
        <v>1</v>
      </c>
      <c r="H5" s="5"/>
    </row>
    <row r="6" spans="1:8">
      <c r="A6" s="4"/>
      <c r="B6" s="5"/>
      <c r="C6" s="9"/>
      <c r="D6" s="5"/>
      <c r="E6" s="5"/>
      <c r="F6" s="10" t="s">
        <v>2</v>
      </c>
      <c r="H6" s="5"/>
    </row>
    <row r="7" spans="1:8" ht="18" customHeight="1">
      <c r="A7" s="29"/>
      <c r="B7" s="13"/>
      <c r="C7" s="29"/>
      <c r="D7" s="29"/>
      <c r="E7" s="29"/>
      <c r="F7" s="13"/>
      <c r="G7" s="3"/>
      <c r="H7" s="30"/>
    </row>
    <row r="8" spans="1:8" ht="18" customHeight="1">
      <c r="A8" s="29"/>
      <c r="B8" s="13"/>
      <c r="C8" s="9"/>
      <c r="D8" s="29"/>
      <c r="E8" s="29"/>
      <c r="F8" s="13"/>
      <c r="G8" s="3"/>
      <c r="H8" s="30"/>
    </row>
    <row r="9" spans="1:8" ht="18" customHeight="1" thickBot="1">
      <c r="A9" s="223" t="s">
        <v>129</v>
      </c>
      <c r="B9" s="223"/>
      <c r="C9" s="224" t="s">
        <v>134</v>
      </c>
      <c r="D9" s="225"/>
      <c r="E9" s="225"/>
      <c r="F9" s="225"/>
      <c r="G9" s="225"/>
      <c r="H9" s="226"/>
    </row>
    <row r="10" spans="1:8" ht="34.5" customHeight="1">
      <c r="A10" s="227" t="s">
        <v>85</v>
      </c>
      <c r="B10" s="228" t="s">
        <v>86</v>
      </c>
      <c r="C10" s="229" t="s">
        <v>87</v>
      </c>
      <c r="D10" s="229" t="s">
        <v>88</v>
      </c>
      <c r="E10" s="230" t="s">
        <v>89</v>
      </c>
      <c r="F10" s="229" t="s">
        <v>90</v>
      </c>
      <c r="G10" s="229" t="s">
        <v>91</v>
      </c>
      <c r="H10" s="231" t="s">
        <v>92</v>
      </c>
    </row>
    <row r="11" spans="1:8" ht="18" customHeight="1">
      <c r="A11" s="232" t="s">
        <v>93</v>
      </c>
      <c r="B11" s="233" t="str">
        <f>"[ "&amp;IF(D13=1,"Single Ctrl, ","Dual Ctrl, ")&amp;"( DE3-24C 22TB )*"&amp;[1]ZFS_백업용량산정!D20+[1]ZFS_백업용량산정!E20&amp;"Tray"&amp;IF([1]ZFS_백업용량산정!B20=0,"",", 200GB SSD*"&amp;[1]ZFS_백업용량산정!B20&amp;"EA")&amp;IF([1]ZFS_백업용량산정!C20=0,"",", 7.6TB SSD*"&amp;[1]ZFS_백업용량산정!C20&amp;"EA")&amp;IF([1]ZFS_백업용량산정!B25=0,"",", 2Port 100GbE NIC*"&amp;[1]ZFS_백업용량산정!B25&amp;"EA")&amp;IF([1]ZFS_백업용량산정!C25=0,"",", 2Port 10/25GbE NIC*"&amp;[1]ZFS_백업용량산정!C25&amp;"EA")&amp;IF([1]ZFS_백업용량산정!D25=0,"",", 4Port 10GbE UTP NIC*"&amp;[1]ZFS_백업용량산정!D25&amp;"EA")&amp;IF([1]ZFS_백업용량산정!E25=0,"",", 2Port 40GbE NIC*"&amp;[1]ZFS_백업용량산정!E25&amp;"EA")&amp;IF([1]ZFS_백업용량산정!F25=0,"",", 2Port 16/32Gb HBA*"&amp;[1]ZFS_백업용량산정!F25&amp;"EA")&amp;IF([1]ZFS_백업용량산정!O25=0,"",", Clone License*"&amp;[1]ZFS_백업용량산정!O25&amp;"EA")&amp;IF([1]ZFS_백업용량산정!P25=0,"",", Replication License*"&amp;[1]ZFS_백업용량산정!P25&amp;"EA")&amp;" ]"&amp;IF(D12=1,""," * "&amp;D12&amp;" Set")</f>
        <v>[ Dual Ctrl, ( DE3-24C 22TB )*0Tray ]</v>
      </c>
      <c r="C11" s="233"/>
      <c r="D11" s="233"/>
      <c r="E11" s="233"/>
      <c r="F11" s="233"/>
      <c r="G11" s="233"/>
      <c r="H11" s="234"/>
    </row>
    <row r="12" spans="1:8" ht="18" customHeight="1">
      <c r="A12" s="235" t="s">
        <v>94</v>
      </c>
      <c r="B12" s="236">
        <v>7603869</v>
      </c>
      <c r="C12" s="237" t="s">
        <v>95</v>
      </c>
      <c r="D12" s="238">
        <v>1</v>
      </c>
      <c r="E12" s="239"/>
      <c r="F12" s="240" t="s">
        <v>96</v>
      </c>
      <c r="G12" s="241">
        <v>0.3</v>
      </c>
      <c r="H12" s="242"/>
    </row>
    <row r="13" spans="1:8" ht="18" customHeight="1">
      <c r="A13" s="243"/>
      <c r="B13" s="244">
        <v>7603895</v>
      </c>
      <c r="C13" s="245" t="s">
        <v>97</v>
      </c>
      <c r="D13" s="246">
        <v>2</v>
      </c>
      <c r="E13" s="247">
        <v>67124260</v>
      </c>
      <c r="F13" s="248">
        <f t="shared" ref="F13:F31" si="0">SUM(D13*E13)</f>
        <v>134248520</v>
      </c>
      <c r="G13" s="249">
        <f>ROUND(E13*(1-$G$12),-3)</f>
        <v>46987000</v>
      </c>
      <c r="H13" s="242">
        <f t="shared" ref="H13:H31" si="1">SUM(D13*G13)</f>
        <v>93974000</v>
      </c>
    </row>
    <row r="14" spans="1:8" ht="18" customHeight="1">
      <c r="A14" s="243"/>
      <c r="B14" s="244">
        <v>7119919</v>
      </c>
      <c r="C14" s="245" t="s">
        <v>98</v>
      </c>
      <c r="D14" s="246">
        <f>IF(D22/D12=1,4,IF(D22/D12=2,8,IF(D22/D12=3,12,IF(D22/D12&gt;=4,16,16))))*D12</f>
        <v>16</v>
      </c>
      <c r="E14" s="247">
        <v>915838</v>
      </c>
      <c r="F14" s="248">
        <f t="shared" si="0"/>
        <v>14653408</v>
      </c>
      <c r="G14" s="249">
        <f t="shared" ref="G14:G21" si="2">ROUND(E14*(1-$G$12),-3)</f>
        <v>641000</v>
      </c>
      <c r="H14" s="242">
        <f t="shared" si="1"/>
        <v>10256000</v>
      </c>
    </row>
    <row r="15" spans="1:8" ht="31.5" customHeight="1">
      <c r="A15" s="243"/>
      <c r="B15" s="250">
        <v>7603322</v>
      </c>
      <c r="C15" s="251" t="s">
        <v>99</v>
      </c>
      <c r="D15" s="252">
        <v>2</v>
      </c>
      <c r="E15" s="253">
        <v>1868468</v>
      </c>
      <c r="F15" s="254">
        <f t="shared" ref="F15:F16" si="3">SUM(D15*E15)</f>
        <v>3736936</v>
      </c>
      <c r="G15" s="249">
        <f t="shared" si="2"/>
        <v>1308000</v>
      </c>
      <c r="H15" s="242">
        <f t="shared" si="1"/>
        <v>2616000</v>
      </c>
    </row>
    <row r="16" spans="1:8" ht="18" customHeight="1">
      <c r="A16" s="243"/>
      <c r="B16" s="250">
        <v>7604159</v>
      </c>
      <c r="C16" s="255" t="s">
        <v>100</v>
      </c>
      <c r="D16" s="252">
        <v>8</v>
      </c>
      <c r="E16" s="253">
        <v>1044608</v>
      </c>
      <c r="F16" s="254">
        <f t="shared" si="3"/>
        <v>8356864</v>
      </c>
      <c r="G16" s="249">
        <f t="shared" si="2"/>
        <v>731000</v>
      </c>
      <c r="H16" s="242">
        <f t="shared" si="1"/>
        <v>5848000</v>
      </c>
    </row>
    <row r="17" spans="1:8" ht="18" customHeight="1">
      <c r="A17" s="243"/>
      <c r="B17" s="250">
        <v>7102870</v>
      </c>
      <c r="C17" s="255" t="s">
        <v>101</v>
      </c>
      <c r="D17" s="252">
        <v>4</v>
      </c>
      <c r="E17" s="253">
        <v>2174624</v>
      </c>
      <c r="F17" s="254">
        <f t="shared" ref="F17" si="4">SUM(D17*E17)</f>
        <v>8698496</v>
      </c>
      <c r="G17" s="249">
        <f t="shared" si="2"/>
        <v>1522000</v>
      </c>
      <c r="H17" s="242">
        <f t="shared" si="1"/>
        <v>6088000</v>
      </c>
    </row>
    <row r="18" spans="1:8" ht="18" customHeight="1">
      <c r="A18" s="243"/>
      <c r="B18" s="256">
        <v>7603662</v>
      </c>
      <c r="C18" s="255" t="s">
        <v>102</v>
      </c>
      <c r="D18" s="252">
        <v>2</v>
      </c>
      <c r="E18" s="253">
        <v>821233</v>
      </c>
      <c r="F18" s="254">
        <f>SUM(D18*E18)</f>
        <v>1642466</v>
      </c>
      <c r="G18" s="249">
        <f t="shared" si="2"/>
        <v>575000</v>
      </c>
      <c r="H18" s="242">
        <f>SUM(D18*G18)</f>
        <v>1150000</v>
      </c>
    </row>
    <row r="19" spans="1:8" ht="18" customHeight="1">
      <c r="A19" s="243"/>
      <c r="B19" s="250">
        <v>7120050</v>
      </c>
      <c r="C19" s="255" t="s">
        <v>103</v>
      </c>
      <c r="D19" s="252">
        <v>4</v>
      </c>
      <c r="E19" s="253">
        <v>371854</v>
      </c>
      <c r="F19" s="254">
        <f>SUM(D19*E19)</f>
        <v>1487416</v>
      </c>
      <c r="G19" s="249">
        <f t="shared" si="2"/>
        <v>260000</v>
      </c>
      <c r="H19" s="242">
        <f>SUM(D19*G19)</f>
        <v>1040000</v>
      </c>
    </row>
    <row r="20" spans="1:8" ht="18" customHeight="1">
      <c r="A20" s="243"/>
      <c r="B20" s="244" t="s">
        <v>104</v>
      </c>
      <c r="C20" s="245" t="s">
        <v>105</v>
      </c>
      <c r="D20" s="246">
        <v>4</v>
      </c>
      <c r="E20" s="247">
        <v>52559</v>
      </c>
      <c r="F20" s="248">
        <f t="shared" si="0"/>
        <v>210236</v>
      </c>
      <c r="G20" s="249">
        <f t="shared" si="2"/>
        <v>37000</v>
      </c>
      <c r="H20" s="242">
        <f t="shared" si="1"/>
        <v>148000</v>
      </c>
    </row>
    <row r="21" spans="1:8" ht="18" customHeight="1">
      <c r="A21" s="243"/>
      <c r="B21" s="244">
        <v>7102338</v>
      </c>
      <c r="C21" s="245" t="s">
        <v>106</v>
      </c>
      <c r="D21" s="246">
        <v>2</v>
      </c>
      <c r="E21" s="247">
        <v>9854790</v>
      </c>
      <c r="F21" s="248">
        <f t="shared" ref="F21" si="5">SUM(D21*E21)</f>
        <v>19709580</v>
      </c>
      <c r="G21" s="249">
        <f t="shared" si="2"/>
        <v>6898000</v>
      </c>
      <c r="H21" s="242">
        <f t="shared" si="1"/>
        <v>13796000</v>
      </c>
    </row>
    <row r="22" spans="1:8" ht="18" customHeight="1">
      <c r="A22" s="243"/>
      <c r="B22" s="236">
        <v>7113149</v>
      </c>
      <c r="C22" s="237" t="s">
        <v>107</v>
      </c>
      <c r="D22" s="238">
        <v>4</v>
      </c>
      <c r="E22" s="257"/>
      <c r="F22" s="258">
        <f t="shared" si="0"/>
        <v>0</v>
      </c>
      <c r="G22" s="259">
        <f t="shared" ref="G22" si="6">ROUND(E22*(1-$G$4),-3)</f>
        <v>0</v>
      </c>
      <c r="H22" s="260">
        <f t="shared" si="1"/>
        <v>0</v>
      </c>
    </row>
    <row r="23" spans="1:8" ht="18" customHeight="1">
      <c r="A23" s="243"/>
      <c r="B23" s="244">
        <v>7113127</v>
      </c>
      <c r="C23" s="245" t="s">
        <v>108</v>
      </c>
      <c r="D23" s="246">
        <v>4</v>
      </c>
      <c r="E23" s="247">
        <v>7804994</v>
      </c>
      <c r="F23" s="248">
        <f t="shared" si="0"/>
        <v>31219976</v>
      </c>
      <c r="G23" s="249">
        <f t="shared" ref="G23:G29" si="7">ROUND(E23*(1-$G$12),-3)</f>
        <v>5463000</v>
      </c>
      <c r="H23" s="242">
        <f t="shared" si="1"/>
        <v>21852000</v>
      </c>
    </row>
    <row r="24" spans="1:8" ht="18" customHeight="1">
      <c r="A24" s="243"/>
      <c r="B24" s="261">
        <v>7605760</v>
      </c>
      <c r="C24" s="262" t="s">
        <v>109</v>
      </c>
      <c r="D24" s="246">
        <v>88</v>
      </c>
      <c r="E24" s="247">
        <v>2110239</v>
      </c>
      <c r="F24" s="248">
        <f t="shared" si="0"/>
        <v>185701032</v>
      </c>
      <c r="G24" s="249">
        <f t="shared" si="7"/>
        <v>1477000</v>
      </c>
      <c r="H24" s="242">
        <f t="shared" si="1"/>
        <v>129976000</v>
      </c>
    </row>
    <row r="25" spans="1:8" ht="18" customHeight="1">
      <c r="A25" s="243"/>
      <c r="B25" s="261">
        <v>7113124</v>
      </c>
      <c r="C25" s="262" t="s">
        <v>110</v>
      </c>
      <c r="D25" s="246">
        <v>8</v>
      </c>
      <c r="E25" s="247">
        <v>3482026</v>
      </c>
      <c r="F25" s="248">
        <f t="shared" si="0"/>
        <v>27856208</v>
      </c>
      <c r="G25" s="249">
        <f t="shared" si="7"/>
        <v>2437000</v>
      </c>
      <c r="H25" s="242">
        <f t="shared" si="1"/>
        <v>19496000</v>
      </c>
    </row>
    <row r="26" spans="1:8" ht="18" customHeight="1">
      <c r="A26" s="243"/>
      <c r="B26" s="244" t="s">
        <v>104</v>
      </c>
      <c r="C26" s="245" t="s">
        <v>105</v>
      </c>
      <c r="D26" s="246">
        <v>8</v>
      </c>
      <c r="E26" s="247">
        <v>52559</v>
      </c>
      <c r="F26" s="248">
        <f t="shared" si="0"/>
        <v>420472</v>
      </c>
      <c r="G26" s="249">
        <f t="shared" si="7"/>
        <v>37000</v>
      </c>
      <c r="H26" s="242">
        <f t="shared" si="1"/>
        <v>296000</v>
      </c>
    </row>
    <row r="27" spans="1:8" ht="18" customHeight="1" thickBot="1">
      <c r="A27" s="243"/>
      <c r="B27" s="263">
        <v>7113645</v>
      </c>
      <c r="C27" s="264" t="s">
        <v>111</v>
      </c>
      <c r="D27" s="265">
        <v>8</v>
      </c>
      <c r="E27" s="247">
        <v>195782</v>
      </c>
      <c r="F27" s="302">
        <f>SUM(D27*E27)</f>
        <v>1566256</v>
      </c>
      <c r="G27" s="301">
        <f t="shared" si="7"/>
        <v>137000</v>
      </c>
      <c r="H27" s="300">
        <f t="shared" si="1"/>
        <v>1096000</v>
      </c>
    </row>
    <row r="28" spans="1:8" ht="18" customHeight="1">
      <c r="A28" s="266" t="s">
        <v>112</v>
      </c>
      <c r="B28" s="267">
        <v>7118287</v>
      </c>
      <c r="C28" s="268" t="s">
        <v>113</v>
      </c>
      <c r="D28" s="269">
        <v>1</v>
      </c>
      <c r="E28" s="270">
        <v>10740407</v>
      </c>
      <c r="F28" s="271">
        <f t="shared" si="0"/>
        <v>10740407</v>
      </c>
      <c r="G28" s="272">
        <f t="shared" si="7"/>
        <v>7518000</v>
      </c>
      <c r="H28" s="273">
        <f t="shared" si="1"/>
        <v>7518000</v>
      </c>
    </row>
    <row r="29" spans="1:8" ht="18" customHeight="1" thickBot="1">
      <c r="A29" s="243"/>
      <c r="B29" s="244">
        <v>7601898</v>
      </c>
      <c r="C29" s="262" t="s">
        <v>114</v>
      </c>
      <c r="D29" s="246">
        <v>2</v>
      </c>
      <c r="E29" s="274">
        <v>2292881</v>
      </c>
      <c r="F29" s="299">
        <f t="shared" si="0"/>
        <v>4585762</v>
      </c>
      <c r="G29" s="301">
        <f t="shared" si="7"/>
        <v>1605000</v>
      </c>
      <c r="H29" s="300">
        <f t="shared" si="1"/>
        <v>3210000</v>
      </c>
    </row>
    <row r="30" spans="1:8" ht="18" customHeight="1">
      <c r="A30" s="275" t="s">
        <v>115</v>
      </c>
      <c r="B30" s="276" t="s">
        <v>116</v>
      </c>
      <c r="C30" s="277" t="s">
        <v>117</v>
      </c>
      <c r="D30" s="278">
        <v>1</v>
      </c>
      <c r="E30" s="279">
        <v>6878225</v>
      </c>
      <c r="F30" s="280">
        <f>SUM(D30*E30)</f>
        <v>6878225</v>
      </c>
      <c r="G30" s="298">
        <v>6878000</v>
      </c>
      <c r="H30" s="283">
        <f>G30</f>
        <v>6878000</v>
      </c>
    </row>
    <row r="31" spans="1:8" ht="18" customHeight="1">
      <c r="A31" s="281"/>
      <c r="B31" s="244" t="s">
        <v>118</v>
      </c>
      <c r="C31" s="262" t="s">
        <v>119</v>
      </c>
      <c r="D31" s="246">
        <v>4</v>
      </c>
      <c r="E31" s="274">
        <v>167832</v>
      </c>
      <c r="F31" s="282">
        <f t="shared" si="0"/>
        <v>671328</v>
      </c>
      <c r="G31" s="249">
        <v>112000</v>
      </c>
      <c r="H31" s="283">
        <f t="shared" si="1"/>
        <v>448000</v>
      </c>
    </row>
    <row r="32" spans="1:8" ht="18" customHeight="1">
      <c r="A32" s="281"/>
      <c r="B32" s="244" t="s">
        <v>120</v>
      </c>
      <c r="C32" s="262" t="s">
        <v>121</v>
      </c>
      <c r="D32" s="246">
        <v>1</v>
      </c>
      <c r="E32" s="274">
        <v>2360000</v>
      </c>
      <c r="F32" s="282">
        <f t="shared" ref="F32:F34" si="8">SUM(D32*E32)</f>
        <v>2360000</v>
      </c>
      <c r="G32" s="249">
        <v>1571000</v>
      </c>
      <c r="H32" s="283">
        <f t="shared" ref="H32:H34" si="9">SUM(D32*G32)</f>
        <v>1571000</v>
      </c>
    </row>
    <row r="33" spans="1:11" ht="18" customHeight="1">
      <c r="A33" s="281"/>
      <c r="B33" s="244" t="s">
        <v>122</v>
      </c>
      <c r="C33" s="284" t="s">
        <v>123</v>
      </c>
      <c r="D33" s="246">
        <v>1</v>
      </c>
      <c r="E33" s="274">
        <f>SUM(F13:F29)*0.12</f>
        <v>54580084.199999996</v>
      </c>
      <c r="F33" s="282">
        <f t="shared" si="8"/>
        <v>54580084.199999996</v>
      </c>
      <c r="G33" s="249">
        <v>36323000</v>
      </c>
      <c r="H33" s="283">
        <f t="shared" si="9"/>
        <v>36323000</v>
      </c>
    </row>
    <row r="34" spans="1:11" ht="18" customHeight="1" thickBot="1">
      <c r="A34" s="285"/>
      <c r="B34" s="286" t="s">
        <v>124</v>
      </c>
      <c r="C34" s="287" t="s">
        <v>125</v>
      </c>
      <c r="D34" s="246">
        <v>10</v>
      </c>
      <c r="E34" s="274">
        <v>1480000</v>
      </c>
      <c r="F34" s="282">
        <f t="shared" si="8"/>
        <v>14800000</v>
      </c>
      <c r="G34" s="249">
        <v>985000</v>
      </c>
      <c r="H34" s="283">
        <f t="shared" si="9"/>
        <v>9850000</v>
      </c>
    </row>
    <row r="35" spans="1:11" ht="18" customHeight="1" thickBot="1">
      <c r="A35" s="288" t="s">
        <v>126</v>
      </c>
      <c r="B35" s="289"/>
      <c r="C35" s="289"/>
      <c r="D35" s="290">
        <f>SUM(F12:F34)</f>
        <v>534123672.19999999</v>
      </c>
      <c r="E35" s="291"/>
      <c r="F35" s="292"/>
      <c r="G35" s="290">
        <f>SUM(H12:H34)</f>
        <v>373430000</v>
      </c>
      <c r="H35" s="293"/>
    </row>
    <row r="36" spans="1:11" ht="18" customHeight="1" thickBot="1">
      <c r="A36" s="288" t="s">
        <v>127</v>
      </c>
      <c r="B36" s="289"/>
      <c r="C36" s="289"/>
      <c r="D36" s="290">
        <f>SUM(D35*1.1)</f>
        <v>587536039.42000008</v>
      </c>
      <c r="E36" s="291"/>
      <c r="F36" s="292"/>
      <c r="G36" s="290">
        <f>SUM(G35*1.1)</f>
        <v>410773000.00000006</v>
      </c>
      <c r="H36" s="293"/>
    </row>
    <row r="37" spans="1:11" ht="18" customHeight="1">
      <c r="A37" s="294" t="s">
        <v>128</v>
      </c>
      <c r="B37" s="294"/>
      <c r="C37" s="294"/>
      <c r="D37" s="294"/>
      <c r="E37" s="295"/>
      <c r="F37" s="296"/>
      <c r="G37" s="296"/>
      <c r="H37" s="297"/>
    </row>
    <row r="38" spans="1:11" ht="18" customHeight="1">
      <c r="A38" s="29"/>
      <c r="B38" s="13"/>
      <c r="C38" s="29"/>
      <c r="D38" s="29"/>
      <c r="E38" s="29"/>
      <c r="F38" s="13"/>
      <c r="G38" s="3"/>
      <c r="H38" s="30"/>
    </row>
    <row r="39" spans="1:11" ht="18" customHeight="1">
      <c r="A39" s="29"/>
      <c r="B39" s="13"/>
      <c r="C39" s="29"/>
      <c r="D39" s="29"/>
      <c r="E39" s="29"/>
      <c r="F39" s="13"/>
      <c r="G39" s="3"/>
      <c r="H39" s="30"/>
    </row>
    <row r="40" spans="1:11" ht="18" customHeight="1">
      <c r="A40" s="29"/>
      <c r="B40" s="13"/>
      <c r="C40" s="29"/>
      <c r="D40" s="29"/>
      <c r="E40" s="29"/>
      <c r="F40" s="13"/>
      <c r="G40" s="3"/>
      <c r="H40" s="30"/>
    </row>
    <row r="41" spans="1:11" ht="18.75">
      <c r="A41" s="34"/>
      <c r="B41" s="34"/>
      <c r="C41" s="34"/>
      <c r="D41" s="34"/>
      <c r="E41" s="34"/>
      <c r="F41" s="34"/>
      <c r="G41" s="35"/>
      <c r="H41" s="36"/>
      <c r="J41" s="1"/>
      <c r="K41" s="70"/>
    </row>
    <row r="42" spans="1:11">
      <c r="A42" s="37" t="s">
        <v>14</v>
      </c>
      <c r="B42" s="38"/>
      <c r="C42" s="38"/>
      <c r="D42" s="39"/>
      <c r="E42" s="40"/>
      <c r="F42" s="40"/>
      <c r="G42" s="41"/>
      <c r="H42" s="42"/>
      <c r="J42" s="1"/>
    </row>
    <row r="43" spans="1:11">
      <c r="A43" s="165" t="s">
        <v>12</v>
      </c>
      <c r="B43" s="165"/>
      <c r="C43" s="165"/>
      <c r="D43" s="43"/>
      <c r="E43" s="166" t="s">
        <v>13</v>
      </c>
      <c r="F43" s="166"/>
      <c r="G43" s="166"/>
      <c r="H43" s="166"/>
    </row>
  </sheetData>
  <sheetProtection algorithmName="SHA-512" hashValue="5gFsRx5wRK02OD/XbqcCR30JZDlb8Kq/T5YyNePYl8jKa07NqjTFBIeSvSWHLxBm1GUKZ3MT7AlgMxayaTD9bA==" saltValue="OapwpjvDXd/wZkvEJjQLGQ==" spinCount="100000" sheet="1" formatCells="0" formatColumns="0" formatRows="0" insertColumns="0" insertRows="0" insertHyperlinks="0" deleteColumns="0" deleteRows="0" sort="0" autoFilter="0" pivotTables="0"/>
  <mergeCells count="15">
    <mergeCell ref="A36:C36"/>
    <mergeCell ref="D36:F36"/>
    <mergeCell ref="G36:H36"/>
    <mergeCell ref="A37:D37"/>
    <mergeCell ref="A9:B9"/>
    <mergeCell ref="B11:H11"/>
    <mergeCell ref="A12:A27"/>
    <mergeCell ref="A28:A29"/>
    <mergeCell ref="A30:A34"/>
    <mergeCell ref="A35:C35"/>
    <mergeCell ref="D35:F35"/>
    <mergeCell ref="G35:H35"/>
    <mergeCell ref="A43:C43"/>
    <mergeCell ref="E43:H43"/>
    <mergeCell ref="A1:H1"/>
  </mergeCells>
  <phoneticPr fontId="10" type="noConversion"/>
  <pageMargins left="0.39370078740157483" right="0.27559055118110237" top="0.6692913385826772" bottom="0.51181102362204722" header="0.62992125984251968" footer="0.43307086614173229"/>
  <pageSetup paperSize="9"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산업은행(장비교체)_12c</vt:lpstr>
      <vt:lpstr>컨설팅 상주 서비스_12c</vt:lpstr>
      <vt:lpstr>other_12c</vt:lpstr>
      <vt:lpstr>ZFS1.17PB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jhchoi</dc:creator>
  <cp:lastModifiedBy>형진 이</cp:lastModifiedBy>
  <cp:lastPrinted>2020-11-18T00:46:24Z</cp:lastPrinted>
  <dcterms:created xsi:type="dcterms:W3CDTF">2015-02-03T06:56:59Z</dcterms:created>
  <dcterms:modified xsi:type="dcterms:W3CDTF">2024-10-10T01:30:57Z</dcterms:modified>
</cp:coreProperties>
</file>