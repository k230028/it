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IT기획팀\001. 정추위-정보기술부문계획\2502_정보기술부문계획\2. 회신\30. 금융공학실\붙임. 전산예산 편성 요청 기초자료(금융공학실)\2410_전산예산_퀀트인프라팀\"/>
    </mc:Choice>
  </mc:AlternateContent>
  <xr:revisionPtr revIDLastSave="0" documentId="13_ncr:1_{7508C85A-D179-4A84-A24F-90E87E231A2F}" xr6:coauthVersionLast="47" xr6:coauthVersionMax="47" xr10:uidLastSave="{00000000-0000-0000-0000-000000000000}"/>
  <bookViews>
    <workbookView xWindow="38290" yWindow="-110" windowWidth="38620" windowHeight="21220" tabRatio="812" activeTab="1" xr2:uid="{00000000-000D-0000-FFFF-FFFF00000000}"/>
  </bookViews>
  <sheets>
    <sheet name="공통기준" sheetId="14" r:id="rId1"/>
    <sheet name="자본예산(경상사업)" sheetId="4" r:id="rId2"/>
    <sheet name="전산제비(유지보수료)" sheetId="2" r:id="rId3"/>
    <sheet name="전산제비(회선사용료)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6" l="1"/>
  <c r="L10" i="16" s="1"/>
  <c r="P10" i="16" s="1"/>
  <c r="T10" i="16" l="1"/>
  <c r="V10" i="16" s="1"/>
  <c r="X10" i="16" s="1"/>
  <c r="R10" i="16"/>
  <c r="I19" i="2" l="1"/>
  <c r="H20" i="2" l="1"/>
  <c r="I18" i="2" l="1"/>
  <c r="I17" i="2"/>
  <c r="I16" i="2"/>
  <c r="I15" i="2"/>
  <c r="I14" i="2"/>
  <c r="I13" i="2"/>
  <c r="I12" i="2"/>
  <c r="I11" i="2"/>
  <c r="I10" i="2"/>
  <c r="I9" i="2"/>
  <c r="I8" i="2"/>
  <c r="I7" i="2" l="1"/>
  <c r="I20" i="2" s="1"/>
  <c r="J10" i="4" l="1"/>
  <c r="L10" i="4" s="1"/>
  <c r="P10" i="4" l="1"/>
  <c r="T10" i="4" l="1"/>
  <c r="V10" i="4" s="1"/>
  <c r="X10" i="4" s="1"/>
  <c r="R10" i="4"/>
  <c r="E24" i="2"/>
  <c r="I24" i="2" s="1"/>
  <c r="M24" i="2" s="1"/>
  <c r="O24" i="2" s="1"/>
  <c r="Q24" i="2" l="1"/>
  <c r="K24" i="2"/>
</calcChain>
</file>

<file path=xl/sharedStrings.xml><?xml version="1.0" encoding="utf-8"?>
<sst xmlns="http://schemas.openxmlformats.org/spreadsheetml/2006/main" count="83" uniqueCount="48">
  <si>
    <t>통화</t>
    <phoneticPr fontId="2" type="noConversion"/>
  </si>
  <si>
    <t>USD</t>
    <phoneticPr fontId="2" type="noConversion"/>
  </si>
  <si>
    <t>항목</t>
    <phoneticPr fontId="2" type="noConversion"/>
  </si>
  <si>
    <t>Maintenance - Adjustment</t>
  </si>
  <si>
    <t>Amendt 1 - Maint (Revised)</t>
  </si>
  <si>
    <t>Amendt 2 - IAS Maint</t>
  </si>
  <si>
    <t>A3 - Maint VaR, MCM &amp; 8 (rev)</t>
  </si>
  <si>
    <t>A4 - Maint MCM Static Data Rep</t>
  </si>
  <si>
    <t>A7 - Maint-Users Payoff Language</t>
  </si>
  <si>
    <t>합계</t>
    <phoneticPr fontId="2" type="noConversion"/>
  </si>
  <si>
    <t>원천세</t>
    <phoneticPr fontId="2" type="noConversion"/>
  </si>
  <si>
    <t>공급금액</t>
    <phoneticPr fontId="2" type="noConversion"/>
  </si>
  <si>
    <t>원천세율</t>
    <phoneticPr fontId="2" type="noConversion"/>
  </si>
  <si>
    <t>단위 : USD</t>
    <phoneticPr fontId="2" type="noConversion"/>
  </si>
  <si>
    <t>A</t>
    <phoneticPr fontId="2" type="noConversion"/>
  </si>
  <si>
    <t>B</t>
    <phoneticPr fontId="2" type="noConversion"/>
  </si>
  <si>
    <t>원천세가산</t>
    <phoneticPr fontId="2" type="noConversion"/>
  </si>
  <si>
    <t>C=A/(1-B)</t>
    <phoneticPr fontId="2" type="noConversion"/>
  </si>
  <si>
    <t>C-A</t>
    <phoneticPr fontId="2" type="noConversion"/>
  </si>
  <si>
    <t>부가세</t>
    <phoneticPr fontId="2" type="noConversion"/>
  </si>
  <si>
    <t>D = C x 10%</t>
    <phoneticPr fontId="2" type="noConversion"/>
  </si>
  <si>
    <t>총금액</t>
    <phoneticPr fontId="2" type="noConversion"/>
  </si>
  <si>
    <t>C+D</t>
    <phoneticPr fontId="2" type="noConversion"/>
  </si>
  <si>
    <t>참고(원화환산)</t>
    <phoneticPr fontId="2" type="noConversion"/>
  </si>
  <si>
    <t>서비스인상율</t>
    <phoneticPr fontId="2" type="noConversion"/>
  </si>
  <si>
    <t>비고</t>
    <phoneticPr fontId="2" type="noConversion"/>
  </si>
  <si>
    <t xml:space="preserve"> </t>
    <phoneticPr fontId="2" type="noConversion"/>
  </si>
  <si>
    <t>기준</t>
    <phoneticPr fontId="2" type="noConversion"/>
  </si>
  <si>
    <t>○ Murex 시스템 유지보수</t>
    <phoneticPr fontId="2" type="noConversion"/>
  </si>
  <si>
    <t>2024년도</t>
    <phoneticPr fontId="2" type="noConversion"/>
  </si>
  <si>
    <t>A10 - Maint-FRTB SA+4 Named User</t>
    <phoneticPr fontId="2" type="noConversion"/>
  </si>
  <si>
    <t>A11 - Maint-Add'l 37 Named Users</t>
    <phoneticPr fontId="2" type="noConversion"/>
  </si>
  <si>
    <t>A12 - Maint-RFR adj Bachelier</t>
    <phoneticPr fontId="2" type="noConversion"/>
  </si>
  <si>
    <t>A13 - Maint-Non-linear RateProd</t>
    <phoneticPr fontId="2" type="noConversion"/>
  </si>
  <si>
    <t>A14 - Maint-Inflation swaps</t>
    <phoneticPr fontId="2" type="noConversion"/>
  </si>
  <si>
    <t>A9 - Maint- SIMM functionality</t>
    <phoneticPr fontId="2" type="noConversion"/>
  </si>
  <si>
    <t>A15 - Maint-Add'l Users (Frankfurt)</t>
    <phoneticPr fontId="2" type="noConversion"/>
  </si>
  <si>
    <t>A15 - Commodity</t>
    <phoneticPr fontId="2" type="noConversion"/>
  </si>
  <si>
    <t>2025년도(A)</t>
    <phoneticPr fontId="2" type="noConversion"/>
  </si>
  <si>
    <t>Invoice Number: 05000-007288</t>
    <phoneticPr fontId="2" type="noConversion"/>
  </si>
  <si>
    <t>○ Commodity - LME Market Data Subscription</t>
    <phoneticPr fontId="2" type="noConversion"/>
  </si>
  <si>
    <t>○ Commodity - Murex Module Rental</t>
    <phoneticPr fontId="2" type="noConversion"/>
  </si>
  <si>
    <t>*가견적</t>
    <phoneticPr fontId="2" type="noConversion"/>
  </si>
  <si>
    <t>기준*</t>
    <phoneticPr fontId="2" type="noConversion"/>
  </si>
  <si>
    <t>2025년도</t>
    <phoneticPr fontId="2" type="noConversion"/>
  </si>
  <si>
    <t>1 개월</t>
    <phoneticPr fontId="2" type="noConversion"/>
  </si>
  <si>
    <t>1 년</t>
    <phoneticPr fontId="2" type="noConversion"/>
  </si>
  <si>
    <t>London Metal Exchange Market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</si>
</sst>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(* #,##0_);_(* \(#,##0\);_(* &quot;-&quot;_);_(@_)"/>
    <numFmt numFmtId="178" formatCode="_(* #,##0.00_);_(* \(#,##0.00\);_(* &quot;-&quot;??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 style="medium">
        <color rgb="FFFF0000"/>
      </left>
      <right style="thin">
        <color theme="0" tint="-0.499984740745262"/>
      </right>
      <top style="medium">
        <color rgb="FFFF0000"/>
      </top>
      <bottom/>
      <diagonal/>
    </border>
    <border>
      <left style="thin">
        <color theme="0" tint="-0.499984740745262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/>
      <bottom style="thin">
        <color theme="0" tint="-0.499984740745262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43" fontId="0" fillId="4" borderId="0" xfId="0" applyNumberFormat="1" applyFill="1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0" fillId="4" borderId="1" xfId="1" applyNumberFormat="1" applyFont="1" applyFill="1" applyBorder="1" applyAlignment="1">
      <alignment vertical="center"/>
    </xf>
    <xf numFmtId="176" fontId="0" fillId="4" borderId="6" xfId="1" applyNumberFormat="1" applyFont="1" applyFill="1" applyBorder="1" applyAlignment="1">
      <alignment vertical="center"/>
    </xf>
    <xf numFmtId="176" fontId="0" fillId="0" borderId="6" xfId="1" applyNumberFormat="1" applyFont="1" applyBorder="1" applyAlignment="1">
      <alignment vertical="center"/>
    </xf>
    <xf numFmtId="176" fontId="3" fillId="4" borderId="1" xfId="1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6" xfId="1" applyNumberFormat="1" applyFont="1" applyBorder="1" applyAlignment="1">
      <alignment horizontal="center" vertical="center"/>
    </xf>
    <xf numFmtId="176" fontId="0" fillId="0" borderId="11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76" fontId="3" fillId="0" borderId="13" xfId="1" applyNumberFormat="1" applyFont="1" applyBorder="1" applyAlignment="1">
      <alignment horizontal="center" vertical="center"/>
    </xf>
    <xf numFmtId="176" fontId="3" fillId="0" borderId="14" xfId="1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6" xfId="1" applyNumberFormat="1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6" fontId="4" fillId="4" borderId="1" xfId="1" applyNumberFormat="1" applyFont="1" applyFill="1" applyBorder="1" applyAlignment="1">
      <alignment horizontal="center" vertical="center"/>
    </xf>
    <xf numFmtId="176" fontId="4" fillId="4" borderId="6" xfId="1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3" fillId="4" borderId="1" xfId="1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1" fontId="3" fillId="4" borderId="11" xfId="1" applyFont="1" applyFill="1" applyBorder="1" applyAlignment="1">
      <alignment horizontal="center" vertical="center" shrinkToFit="1"/>
    </xf>
    <xf numFmtId="41" fontId="3" fillId="4" borderId="1" xfId="1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76" fontId="3" fillId="4" borderId="13" xfId="1" applyNumberFormat="1" applyFont="1" applyFill="1" applyBorder="1" applyAlignment="1">
      <alignment horizontal="center" vertical="center"/>
    </xf>
    <xf numFmtId="176" fontId="3" fillId="4" borderId="14" xfId="1" applyNumberFormat="1" applyFont="1" applyFill="1" applyBorder="1" applyAlignment="1">
      <alignment horizontal="center" vertical="center"/>
    </xf>
  </cellXfs>
  <cellStyles count="6">
    <cellStyle name="백분율 2" xfId="5" xr:uid="{00000000-0005-0000-0000-000000000000}"/>
    <cellStyle name="쉼표 [0]" xfId="1" builtinId="6"/>
    <cellStyle name="쉼표 [0] 2" xfId="3" xr:uid="{00000000-0005-0000-0000-000002000000}"/>
    <cellStyle name="쉼표 2" xfId="4" xr:uid="{00000000-0005-0000-0000-000003000000}"/>
    <cellStyle name="표준" xfId="0" builtinId="0"/>
    <cellStyle name="표준 2" xfId="2" xr:uid="{00000000-0005-0000-0000-000005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2:I5"/>
  <sheetViews>
    <sheetView showGridLines="0" workbookViewId="0"/>
  </sheetViews>
  <sheetFormatPr defaultRowHeight="17" x14ac:dyDescent="0.45"/>
  <cols>
    <col min="3" max="3" width="9.75" bestFit="1" customWidth="1"/>
  </cols>
  <sheetData>
    <row r="2" spans="2:9" x14ac:dyDescent="0.45">
      <c r="E2" s="10"/>
      <c r="F2" s="10"/>
      <c r="G2" s="10"/>
      <c r="H2" s="10"/>
      <c r="I2" s="10"/>
    </row>
    <row r="3" spans="2:9" x14ac:dyDescent="0.45">
      <c r="E3" s="10"/>
      <c r="F3" s="11"/>
      <c r="G3" s="11"/>
      <c r="H3" s="10"/>
      <c r="I3" s="10"/>
    </row>
    <row r="4" spans="2:9" x14ac:dyDescent="0.45">
      <c r="B4" s="2" t="s">
        <v>0</v>
      </c>
      <c r="C4" s="2" t="s">
        <v>25</v>
      </c>
      <c r="E4" s="10"/>
      <c r="F4" s="12"/>
      <c r="G4" s="13"/>
      <c r="H4" s="10"/>
      <c r="I4" s="10"/>
    </row>
    <row r="5" spans="2:9" x14ac:dyDescent="0.45">
      <c r="B5" s="3" t="s">
        <v>1</v>
      </c>
      <c r="C5" s="4">
        <v>1393</v>
      </c>
      <c r="E5" s="10"/>
      <c r="F5" s="12"/>
      <c r="G5" s="13"/>
      <c r="H5" s="10"/>
      <c r="I5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28"/>
  <sheetViews>
    <sheetView showGridLines="0" tabSelected="1" zoomScale="85" zoomScaleNormal="85" workbookViewId="0">
      <selection activeCell="V32" sqref="V32"/>
    </sheetView>
  </sheetViews>
  <sheetFormatPr defaultRowHeight="20.149999999999999" customHeight="1" x14ac:dyDescent="0.45"/>
  <cols>
    <col min="1" max="1" width="2.58203125" customWidth="1"/>
    <col min="2" max="2" width="3.58203125" customWidth="1"/>
    <col min="3" max="18" width="6.58203125" customWidth="1"/>
  </cols>
  <sheetData>
    <row r="2" spans="2:25" ht="35.15" customHeight="1" x14ac:dyDescent="0.45">
      <c r="B2" s="5" t="s">
        <v>41</v>
      </c>
    </row>
    <row r="5" spans="2:25" ht="20.149999999999999" customHeight="1" x14ac:dyDescent="0.45">
      <c r="C5" s="29" t="s">
        <v>24</v>
      </c>
      <c r="D5" s="29"/>
      <c r="E5" s="30">
        <v>0.05</v>
      </c>
      <c r="F5" s="30"/>
    </row>
    <row r="7" spans="2:25" ht="20.149999999999999" customHeight="1" thickBot="1" x14ac:dyDescent="0.5">
      <c r="W7" s="1" t="s">
        <v>13</v>
      </c>
    </row>
    <row r="8" spans="2:25" ht="20.149999999999999" customHeight="1" x14ac:dyDescent="0.45">
      <c r="C8" s="21" t="s">
        <v>2</v>
      </c>
      <c r="D8" s="21"/>
      <c r="E8" s="21"/>
      <c r="F8" s="21"/>
      <c r="G8" s="21"/>
      <c r="H8" s="26" t="s">
        <v>27</v>
      </c>
      <c r="I8" s="27"/>
      <c r="J8" s="27"/>
      <c r="K8" s="28"/>
      <c r="L8" s="19" t="s">
        <v>11</v>
      </c>
      <c r="M8" s="19"/>
      <c r="N8" s="19" t="s">
        <v>12</v>
      </c>
      <c r="O8" s="19"/>
      <c r="P8" s="19" t="s">
        <v>16</v>
      </c>
      <c r="Q8" s="19"/>
      <c r="R8" s="19" t="s">
        <v>10</v>
      </c>
      <c r="S8" s="19"/>
      <c r="T8" s="19" t="s">
        <v>19</v>
      </c>
      <c r="U8" s="20"/>
      <c r="V8" s="46" t="s">
        <v>21</v>
      </c>
      <c r="W8" s="47"/>
      <c r="X8" s="32" t="s">
        <v>23</v>
      </c>
      <c r="Y8" s="33"/>
    </row>
    <row r="9" spans="2:25" ht="20.149999999999999" customHeight="1" x14ac:dyDescent="0.45">
      <c r="C9" s="21"/>
      <c r="D9" s="21"/>
      <c r="E9" s="21"/>
      <c r="F9" s="21"/>
      <c r="G9" s="21"/>
      <c r="H9" s="26" t="s">
        <v>29</v>
      </c>
      <c r="I9" s="28"/>
      <c r="J9" s="26" t="s">
        <v>38</v>
      </c>
      <c r="K9" s="28"/>
      <c r="L9" s="38" t="s">
        <v>14</v>
      </c>
      <c r="M9" s="38"/>
      <c r="N9" s="38" t="s">
        <v>15</v>
      </c>
      <c r="O9" s="38"/>
      <c r="P9" s="38" t="s">
        <v>17</v>
      </c>
      <c r="Q9" s="38"/>
      <c r="R9" s="38" t="s">
        <v>18</v>
      </c>
      <c r="S9" s="38"/>
      <c r="T9" s="38" t="s">
        <v>20</v>
      </c>
      <c r="U9" s="39"/>
      <c r="V9" s="40" t="s">
        <v>22</v>
      </c>
      <c r="W9" s="41"/>
      <c r="X9" s="34"/>
      <c r="Y9" s="35"/>
    </row>
    <row r="10" spans="2:25" ht="20.149999999999999" customHeight="1" thickBot="1" x14ac:dyDescent="0.5">
      <c r="C10" s="22" t="s">
        <v>37</v>
      </c>
      <c r="D10" s="22"/>
      <c r="E10" s="22"/>
      <c r="F10" s="22"/>
      <c r="G10" s="22"/>
      <c r="H10" s="23">
        <v>150000</v>
      </c>
      <c r="I10" s="24"/>
      <c r="J10" s="25">
        <f>H10*(1+$E$5)</f>
        <v>157500</v>
      </c>
      <c r="K10" s="25"/>
      <c r="L10" s="42">
        <f>J10</f>
        <v>157500</v>
      </c>
      <c r="M10" s="42"/>
      <c r="N10" s="43">
        <v>0.05</v>
      </c>
      <c r="O10" s="44"/>
      <c r="P10" s="42">
        <f>L10/(1-N10)</f>
        <v>165789.47368421053</v>
      </c>
      <c r="Q10" s="42"/>
      <c r="R10" s="42">
        <f>P10-L10</f>
        <v>8289.473684210534</v>
      </c>
      <c r="S10" s="42"/>
      <c r="T10" s="42">
        <f>P10*10%</f>
        <v>16578.947368421053</v>
      </c>
      <c r="U10" s="45"/>
      <c r="V10" s="36">
        <f>T10+P10</f>
        <v>182368.42105263157</v>
      </c>
      <c r="W10" s="37"/>
      <c r="X10" s="31">
        <f>V10*공통기준!C5</f>
        <v>254039210.52631578</v>
      </c>
      <c r="Y10" s="25"/>
    </row>
    <row r="11" spans="2:25" ht="20.149999999999999" customHeight="1" x14ac:dyDescent="0.45">
      <c r="H11" t="s">
        <v>39</v>
      </c>
    </row>
    <row r="28" spans="16:16" ht="20.149999999999999" customHeight="1" x14ac:dyDescent="0.45">
      <c r="P28" t="s">
        <v>26</v>
      </c>
    </row>
  </sheetData>
  <mergeCells count="29">
    <mergeCell ref="X10:Y10"/>
    <mergeCell ref="X8:Y9"/>
    <mergeCell ref="V10:W10"/>
    <mergeCell ref="L9:M9"/>
    <mergeCell ref="N9:O9"/>
    <mergeCell ref="P9:Q9"/>
    <mergeCell ref="R9:S9"/>
    <mergeCell ref="T9:U9"/>
    <mergeCell ref="V9:W9"/>
    <mergeCell ref="L10:M10"/>
    <mergeCell ref="N10:O10"/>
    <mergeCell ref="P10:Q10"/>
    <mergeCell ref="R10:S10"/>
    <mergeCell ref="T10:U10"/>
    <mergeCell ref="V8:W8"/>
    <mergeCell ref="R8:S8"/>
    <mergeCell ref="C5:D5"/>
    <mergeCell ref="E5:F5"/>
    <mergeCell ref="L8:M8"/>
    <mergeCell ref="N8:O8"/>
    <mergeCell ref="P8:Q8"/>
    <mergeCell ref="T8:U8"/>
    <mergeCell ref="C8:G9"/>
    <mergeCell ref="C10:G10"/>
    <mergeCell ref="H10:I10"/>
    <mergeCell ref="J10:K10"/>
    <mergeCell ref="H8:K8"/>
    <mergeCell ref="J9:K9"/>
    <mergeCell ref="H9:I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showGridLines="0" zoomScale="85" zoomScaleNormal="85" workbookViewId="0"/>
  </sheetViews>
  <sheetFormatPr defaultRowHeight="20.149999999999999" customHeight="1" x14ac:dyDescent="0.45"/>
  <cols>
    <col min="1" max="1" width="2.58203125" customWidth="1"/>
    <col min="2" max="2" width="3.58203125" customWidth="1"/>
    <col min="3" max="7" width="7.5" customWidth="1"/>
    <col min="8" max="9" width="15.33203125" bestFit="1" customWidth="1"/>
    <col min="10" max="18" width="6.58203125" customWidth="1"/>
    <col min="19" max="19" width="18.25" bestFit="1" customWidth="1"/>
    <col min="20" max="24" width="6.58203125" customWidth="1"/>
  </cols>
  <sheetData>
    <row r="1" spans="1:19" ht="20.149999999999999" customHeigh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5.15" customHeight="1" x14ac:dyDescent="0.45">
      <c r="A2" s="6"/>
      <c r="B2" s="7" t="s">
        <v>28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20.149999999999999" customHeight="1" x14ac:dyDescent="0.4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0.149999999999999" customHeight="1" x14ac:dyDescent="0.45">
      <c r="A4" s="6"/>
      <c r="B4" s="6"/>
      <c r="C4" s="49" t="s">
        <v>24</v>
      </c>
      <c r="D4" s="49"/>
      <c r="E4" s="48">
        <v>0.05</v>
      </c>
      <c r="F4" s="4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20.149999999999999" customHeight="1" x14ac:dyDescent="0.45">
      <c r="A5" s="6"/>
      <c r="B5" s="6"/>
      <c r="C5" s="6"/>
      <c r="D5" s="6"/>
      <c r="E5" s="6"/>
      <c r="F5" s="6"/>
      <c r="G5" s="6"/>
      <c r="H5" s="6"/>
      <c r="I5" s="8" t="s">
        <v>13</v>
      </c>
      <c r="J5" s="6"/>
      <c r="K5" s="6"/>
      <c r="L5" s="6"/>
      <c r="M5" s="6"/>
      <c r="N5" s="6"/>
      <c r="O5" s="6"/>
    </row>
    <row r="6" spans="1:19" ht="20.149999999999999" customHeight="1" x14ac:dyDescent="0.45">
      <c r="A6" s="6"/>
      <c r="B6" s="6"/>
      <c r="C6" s="50" t="s">
        <v>2</v>
      </c>
      <c r="D6" s="50"/>
      <c r="E6" s="50"/>
      <c r="F6" s="50"/>
      <c r="G6" s="50"/>
      <c r="H6" s="14" t="s">
        <v>29</v>
      </c>
      <c r="I6" s="14" t="s">
        <v>44</v>
      </c>
      <c r="J6" s="6"/>
      <c r="K6" s="6"/>
      <c r="L6" s="6"/>
      <c r="M6" s="6"/>
      <c r="N6" s="6"/>
      <c r="O6" s="6"/>
    </row>
    <row r="7" spans="1:19" ht="20.149999999999999" customHeight="1" x14ac:dyDescent="0.45">
      <c r="A7" s="6"/>
      <c r="B7" s="6"/>
      <c r="C7" s="49" t="s">
        <v>3</v>
      </c>
      <c r="D7" s="49"/>
      <c r="E7" s="49"/>
      <c r="F7" s="49"/>
      <c r="G7" s="49"/>
      <c r="H7" s="15">
        <v>482246.74</v>
      </c>
      <c r="I7" s="15">
        <f>H7*(1+$E$4)</f>
        <v>506359.07699999999</v>
      </c>
      <c r="J7" s="6"/>
      <c r="K7" s="6"/>
      <c r="L7" s="6"/>
      <c r="M7" s="6"/>
      <c r="N7" s="6"/>
      <c r="O7" s="6"/>
    </row>
    <row r="8" spans="1:19" ht="20.149999999999999" customHeight="1" x14ac:dyDescent="0.45">
      <c r="A8" s="6"/>
      <c r="B8" s="6"/>
      <c r="C8" s="49" t="s">
        <v>4</v>
      </c>
      <c r="D8" s="49"/>
      <c r="E8" s="49"/>
      <c r="F8" s="49"/>
      <c r="G8" s="49"/>
      <c r="H8" s="15">
        <v>72964.05</v>
      </c>
      <c r="I8" s="15">
        <f t="shared" ref="I8:I19" si="0">H8*(1+$E$4)</f>
        <v>76612.252500000002</v>
      </c>
      <c r="J8" s="6"/>
      <c r="K8" s="6"/>
      <c r="L8" s="6"/>
      <c r="M8" s="6"/>
      <c r="N8" s="6"/>
      <c r="O8" s="6"/>
    </row>
    <row r="9" spans="1:19" ht="20.149999999999999" customHeight="1" x14ac:dyDescent="0.45">
      <c r="A9" s="6"/>
      <c r="B9" s="6"/>
      <c r="C9" s="49" t="s">
        <v>5</v>
      </c>
      <c r="D9" s="49"/>
      <c r="E9" s="49"/>
      <c r="F9" s="49"/>
      <c r="G9" s="49"/>
      <c r="H9" s="15">
        <v>84058.23</v>
      </c>
      <c r="I9" s="15">
        <f t="shared" si="0"/>
        <v>88261.141499999998</v>
      </c>
      <c r="J9" s="6"/>
      <c r="K9" s="6"/>
      <c r="L9" s="6"/>
      <c r="M9" s="6"/>
      <c r="N9" s="6"/>
      <c r="O9" s="6"/>
    </row>
    <row r="10" spans="1:19" ht="20.149999999999999" customHeight="1" x14ac:dyDescent="0.45">
      <c r="A10" s="6"/>
      <c r="B10" s="6"/>
      <c r="C10" s="49" t="s">
        <v>6</v>
      </c>
      <c r="D10" s="49"/>
      <c r="E10" s="49"/>
      <c r="F10" s="49"/>
      <c r="G10" s="49"/>
      <c r="H10" s="15">
        <v>174101.07</v>
      </c>
      <c r="I10" s="15">
        <f t="shared" si="0"/>
        <v>182806.12350000002</v>
      </c>
      <c r="J10" s="6"/>
      <c r="K10" s="6"/>
      <c r="L10" s="6"/>
      <c r="M10" s="6"/>
      <c r="N10" s="6"/>
      <c r="O10" s="6"/>
    </row>
    <row r="11" spans="1:19" ht="20.149999999999999" customHeight="1" x14ac:dyDescent="0.45">
      <c r="A11" s="6"/>
      <c r="B11" s="6"/>
      <c r="C11" s="49" t="s">
        <v>7</v>
      </c>
      <c r="D11" s="49"/>
      <c r="E11" s="49"/>
      <c r="F11" s="49"/>
      <c r="G11" s="49"/>
      <c r="H11" s="15">
        <v>81507.8</v>
      </c>
      <c r="I11" s="15">
        <f t="shared" si="0"/>
        <v>85583.19</v>
      </c>
      <c r="J11" s="6"/>
      <c r="K11" s="6"/>
      <c r="L11" s="6"/>
      <c r="M11" s="6"/>
      <c r="N11" s="6"/>
      <c r="O11" s="6"/>
    </row>
    <row r="12" spans="1:19" ht="20.149999999999999" customHeight="1" x14ac:dyDescent="0.45">
      <c r="A12" s="6"/>
      <c r="B12" s="6"/>
      <c r="C12" s="49" t="s">
        <v>8</v>
      </c>
      <c r="D12" s="49"/>
      <c r="E12" s="49"/>
      <c r="F12" s="49"/>
      <c r="G12" s="49"/>
      <c r="H12" s="15">
        <v>98136.22</v>
      </c>
      <c r="I12" s="15">
        <f t="shared" si="0"/>
        <v>103043.031</v>
      </c>
      <c r="J12" s="6"/>
      <c r="K12" s="6"/>
      <c r="L12" s="6"/>
      <c r="M12" s="6"/>
      <c r="N12" s="6"/>
      <c r="O12" s="6"/>
    </row>
    <row r="13" spans="1:19" ht="20.149999999999999" customHeight="1" x14ac:dyDescent="0.45">
      <c r="A13" s="6"/>
      <c r="B13" s="6"/>
      <c r="C13" s="49" t="s">
        <v>35</v>
      </c>
      <c r="D13" s="49"/>
      <c r="E13" s="49"/>
      <c r="F13" s="49"/>
      <c r="G13" s="49"/>
      <c r="H13" s="15">
        <v>120654.79</v>
      </c>
      <c r="I13" s="15">
        <f t="shared" si="0"/>
        <v>126687.5295</v>
      </c>
      <c r="J13" s="6"/>
      <c r="K13" s="6"/>
      <c r="L13" s="6"/>
      <c r="M13" s="6"/>
      <c r="N13" s="6"/>
      <c r="O13" s="6"/>
    </row>
    <row r="14" spans="1:19" ht="20.149999999999999" customHeight="1" x14ac:dyDescent="0.45">
      <c r="A14" s="6"/>
      <c r="B14" s="6"/>
      <c r="C14" s="49" t="s">
        <v>30</v>
      </c>
      <c r="D14" s="49"/>
      <c r="E14" s="49"/>
      <c r="F14" s="49"/>
      <c r="G14" s="49"/>
      <c r="H14" s="15">
        <v>119739.98</v>
      </c>
      <c r="I14" s="15">
        <f t="shared" si="0"/>
        <v>125726.97900000001</v>
      </c>
      <c r="J14" s="6"/>
      <c r="K14" s="6"/>
      <c r="L14" s="6"/>
      <c r="M14" s="6"/>
      <c r="N14" s="6"/>
      <c r="O14" s="6"/>
    </row>
    <row r="15" spans="1:19" ht="20.149999999999999" customHeight="1" x14ac:dyDescent="0.45">
      <c r="A15" s="6"/>
      <c r="B15" s="6"/>
      <c r="C15" s="51" t="s">
        <v>31</v>
      </c>
      <c r="D15" s="52"/>
      <c r="E15" s="52"/>
      <c r="F15" s="52"/>
      <c r="G15" s="53"/>
      <c r="H15" s="16">
        <v>155661.97</v>
      </c>
      <c r="I15" s="15">
        <f t="shared" si="0"/>
        <v>163445.06849999999</v>
      </c>
      <c r="J15" s="6"/>
      <c r="K15" s="6"/>
      <c r="L15" s="6"/>
      <c r="M15" s="6"/>
      <c r="N15" s="6"/>
      <c r="O15" s="6"/>
    </row>
    <row r="16" spans="1:19" ht="20.149999999999999" customHeight="1" x14ac:dyDescent="0.45">
      <c r="A16" s="6"/>
      <c r="B16" s="6"/>
      <c r="C16" s="51" t="s">
        <v>32</v>
      </c>
      <c r="D16" s="52"/>
      <c r="E16" s="52"/>
      <c r="F16" s="52"/>
      <c r="G16" s="53"/>
      <c r="H16" s="15">
        <v>19956.66</v>
      </c>
      <c r="I16" s="15">
        <f t="shared" si="0"/>
        <v>20954.493000000002</v>
      </c>
      <c r="J16" s="6"/>
      <c r="K16" s="6"/>
      <c r="L16" s="6"/>
      <c r="M16" s="6"/>
      <c r="N16" s="6"/>
      <c r="O16" s="6"/>
    </row>
    <row r="17" spans="1:19" ht="20.149999999999999" customHeight="1" x14ac:dyDescent="0.45">
      <c r="A17" s="6"/>
      <c r="B17" s="6"/>
      <c r="C17" s="51" t="s">
        <v>33</v>
      </c>
      <c r="D17" s="52"/>
      <c r="E17" s="52"/>
      <c r="F17" s="52"/>
      <c r="G17" s="53"/>
      <c r="H17" s="16">
        <v>39913.33</v>
      </c>
      <c r="I17" s="15">
        <f t="shared" si="0"/>
        <v>41908.996500000001</v>
      </c>
      <c r="J17" s="6"/>
      <c r="K17" s="6"/>
      <c r="L17" s="6"/>
      <c r="M17" s="6"/>
      <c r="N17" s="6"/>
      <c r="O17" s="6"/>
    </row>
    <row r="18" spans="1:19" ht="20.149999999999999" customHeight="1" x14ac:dyDescent="0.45">
      <c r="A18" s="6"/>
      <c r="B18" s="6"/>
      <c r="C18" s="51" t="s">
        <v>34</v>
      </c>
      <c r="D18" s="52"/>
      <c r="E18" s="52"/>
      <c r="F18" s="52"/>
      <c r="G18" s="53"/>
      <c r="H18" s="17">
        <v>49891.66</v>
      </c>
      <c r="I18" s="15">
        <f t="shared" si="0"/>
        <v>52386.243000000009</v>
      </c>
      <c r="J18" s="6"/>
      <c r="K18" s="6"/>
      <c r="L18" s="6"/>
      <c r="M18" s="6"/>
      <c r="N18" s="6"/>
      <c r="O18" s="6"/>
    </row>
    <row r="19" spans="1:19" ht="20.149999999999999" customHeight="1" x14ac:dyDescent="0.45">
      <c r="A19" s="6"/>
      <c r="B19" s="6"/>
      <c r="C19" s="51" t="s">
        <v>36</v>
      </c>
      <c r="D19" s="52"/>
      <c r="E19" s="52"/>
      <c r="F19" s="52"/>
      <c r="G19" s="53"/>
      <c r="H19" s="17">
        <v>48607.45</v>
      </c>
      <c r="I19" s="15">
        <f t="shared" si="0"/>
        <v>51037.822500000002</v>
      </c>
      <c r="J19" s="6"/>
      <c r="K19" s="6"/>
      <c r="L19" s="6"/>
      <c r="M19" s="6"/>
      <c r="N19" s="6"/>
      <c r="O19" s="6"/>
    </row>
    <row r="20" spans="1:19" ht="20.149999999999999" customHeight="1" x14ac:dyDescent="0.45">
      <c r="A20" s="6"/>
      <c r="B20" s="6"/>
      <c r="C20" s="50" t="s">
        <v>9</v>
      </c>
      <c r="D20" s="50"/>
      <c r="E20" s="50"/>
      <c r="F20" s="50"/>
      <c r="G20" s="50"/>
      <c r="H20" s="18">
        <f>SUM(H7:H19)</f>
        <v>1547439.95</v>
      </c>
      <c r="I20" s="18">
        <f>SUM(I7:I19)</f>
        <v>1624811.9475</v>
      </c>
      <c r="J20" s="6"/>
      <c r="K20" s="6"/>
      <c r="L20" s="6"/>
      <c r="M20" s="6"/>
      <c r="N20" s="6"/>
      <c r="O20" s="6"/>
      <c r="S20" s="6"/>
    </row>
    <row r="21" spans="1:19" ht="20.149999999999999" customHeight="1" thickBot="1" x14ac:dyDescent="0.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20.149999999999999" customHeight="1" x14ac:dyDescent="0.45">
      <c r="A22" s="6"/>
      <c r="B22" s="6"/>
      <c r="C22" s="50" t="s">
        <v>0</v>
      </c>
      <c r="D22" s="50"/>
      <c r="E22" s="54" t="s">
        <v>11</v>
      </c>
      <c r="F22" s="54"/>
      <c r="G22" s="54" t="s">
        <v>12</v>
      </c>
      <c r="H22" s="54"/>
      <c r="I22" s="54" t="s">
        <v>16</v>
      </c>
      <c r="J22" s="54"/>
      <c r="K22" s="54" t="s">
        <v>10</v>
      </c>
      <c r="L22" s="54"/>
      <c r="M22" s="54" t="s">
        <v>19</v>
      </c>
      <c r="N22" s="55"/>
      <c r="O22" s="70" t="s">
        <v>21</v>
      </c>
      <c r="P22" s="71"/>
      <c r="Q22" s="66" t="s">
        <v>23</v>
      </c>
      <c r="R22" s="67"/>
      <c r="S22" s="6"/>
    </row>
    <row r="23" spans="1:19" ht="20.149999999999999" customHeight="1" x14ac:dyDescent="0.45">
      <c r="A23" s="6"/>
      <c r="B23" s="6"/>
      <c r="C23" s="50"/>
      <c r="D23" s="50"/>
      <c r="E23" s="56" t="s">
        <v>14</v>
      </c>
      <c r="F23" s="56"/>
      <c r="G23" s="56" t="s">
        <v>15</v>
      </c>
      <c r="H23" s="56"/>
      <c r="I23" s="56" t="s">
        <v>17</v>
      </c>
      <c r="J23" s="56"/>
      <c r="K23" s="56" t="s">
        <v>18</v>
      </c>
      <c r="L23" s="56"/>
      <c r="M23" s="56" t="s">
        <v>20</v>
      </c>
      <c r="N23" s="57"/>
      <c r="O23" s="72" t="s">
        <v>22</v>
      </c>
      <c r="P23" s="73"/>
      <c r="Q23" s="68"/>
      <c r="R23" s="69"/>
      <c r="S23" s="9"/>
    </row>
    <row r="24" spans="1:19" ht="20.149999999999999" customHeight="1" thickBot="1" x14ac:dyDescent="0.5">
      <c r="A24" s="6"/>
      <c r="B24" s="6"/>
      <c r="C24" s="60" t="s">
        <v>1</v>
      </c>
      <c r="D24" s="49"/>
      <c r="E24" s="61">
        <f>I20</f>
        <v>1624811.9475</v>
      </c>
      <c r="F24" s="61"/>
      <c r="G24" s="62">
        <v>0.05</v>
      </c>
      <c r="H24" s="63"/>
      <c r="I24" s="58">
        <f>E24/(1-G24)</f>
        <v>1710328.3657894738</v>
      </c>
      <c r="J24" s="58"/>
      <c r="K24" s="58">
        <f>I24-E24</f>
        <v>85516.418289473746</v>
      </c>
      <c r="L24" s="58"/>
      <c r="M24" s="58">
        <f>I24*10%</f>
        <v>171032.83657894738</v>
      </c>
      <c r="N24" s="59"/>
      <c r="O24" s="74">
        <f>M24+I24</f>
        <v>1881361.202368421</v>
      </c>
      <c r="P24" s="75"/>
      <c r="Q24" s="64">
        <f>O24*공통기준!C5</f>
        <v>2620736154.8992105</v>
      </c>
      <c r="R24" s="65"/>
      <c r="S24" s="6"/>
    </row>
    <row r="25" spans="1:19" ht="20.149999999999999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9"/>
      <c r="P25" s="6"/>
      <c r="Q25" s="6"/>
      <c r="R25" s="6"/>
      <c r="S25" s="6"/>
    </row>
    <row r="26" spans="1:19" ht="20.149999999999999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</sheetData>
  <mergeCells count="39">
    <mergeCell ref="E22:F22"/>
    <mergeCell ref="G22:H22"/>
    <mergeCell ref="Q24:R24"/>
    <mergeCell ref="Q22:R23"/>
    <mergeCell ref="O22:P22"/>
    <mergeCell ref="O23:P23"/>
    <mergeCell ref="O24:P24"/>
    <mergeCell ref="C14:G14"/>
    <mergeCell ref="C11:G11"/>
    <mergeCell ref="M22:N22"/>
    <mergeCell ref="M23:N23"/>
    <mergeCell ref="M24:N24"/>
    <mergeCell ref="C24:D24"/>
    <mergeCell ref="E24:F24"/>
    <mergeCell ref="G24:H24"/>
    <mergeCell ref="E23:F23"/>
    <mergeCell ref="G23:H23"/>
    <mergeCell ref="I23:J23"/>
    <mergeCell ref="K23:L23"/>
    <mergeCell ref="I22:J22"/>
    <mergeCell ref="I24:J24"/>
    <mergeCell ref="K24:L24"/>
    <mergeCell ref="K22:L22"/>
    <mergeCell ref="E4:F4"/>
    <mergeCell ref="C4:D4"/>
    <mergeCell ref="C7:G7"/>
    <mergeCell ref="C6:G6"/>
    <mergeCell ref="C22:D23"/>
    <mergeCell ref="C9:G9"/>
    <mergeCell ref="C8:G8"/>
    <mergeCell ref="C10:G10"/>
    <mergeCell ref="C20:G20"/>
    <mergeCell ref="C18:G18"/>
    <mergeCell ref="C13:G13"/>
    <mergeCell ref="C12:G12"/>
    <mergeCell ref="C15:G15"/>
    <mergeCell ref="C19:G19"/>
    <mergeCell ref="C16:G16"/>
    <mergeCell ref="C17:G17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28"/>
  <sheetViews>
    <sheetView showGridLines="0" zoomScale="85" zoomScaleNormal="85" workbookViewId="0"/>
  </sheetViews>
  <sheetFormatPr defaultRowHeight="20.149999999999999" customHeight="1" x14ac:dyDescent="0.45"/>
  <cols>
    <col min="1" max="1" width="2.58203125" customWidth="1"/>
    <col min="2" max="2" width="3.58203125" customWidth="1"/>
    <col min="3" max="18" width="6.58203125" customWidth="1"/>
  </cols>
  <sheetData>
    <row r="2" spans="2:25" ht="35.15" customHeight="1" x14ac:dyDescent="0.45">
      <c r="B2" s="5" t="s">
        <v>40</v>
      </c>
    </row>
    <row r="7" spans="2:25" ht="20.149999999999999" customHeight="1" thickBot="1" x14ac:dyDescent="0.5">
      <c r="W7" s="1" t="s">
        <v>13</v>
      </c>
    </row>
    <row r="8" spans="2:25" ht="20.149999999999999" customHeight="1" x14ac:dyDescent="0.45">
      <c r="C8" s="21" t="s">
        <v>2</v>
      </c>
      <c r="D8" s="21"/>
      <c r="E8" s="21"/>
      <c r="F8" s="21"/>
      <c r="G8" s="21"/>
      <c r="H8" s="26" t="s">
        <v>43</v>
      </c>
      <c r="I8" s="27"/>
      <c r="J8" s="27"/>
      <c r="K8" s="28"/>
      <c r="L8" s="19" t="s">
        <v>11</v>
      </c>
      <c r="M8" s="19"/>
      <c r="N8" s="19" t="s">
        <v>12</v>
      </c>
      <c r="O8" s="19"/>
      <c r="P8" s="19" t="s">
        <v>16</v>
      </c>
      <c r="Q8" s="19"/>
      <c r="R8" s="19" t="s">
        <v>10</v>
      </c>
      <c r="S8" s="19"/>
      <c r="T8" s="19" t="s">
        <v>19</v>
      </c>
      <c r="U8" s="20"/>
      <c r="V8" s="46" t="s">
        <v>21</v>
      </c>
      <c r="W8" s="47"/>
      <c r="X8" s="32" t="s">
        <v>23</v>
      </c>
      <c r="Y8" s="33"/>
    </row>
    <row r="9" spans="2:25" ht="20.149999999999999" customHeight="1" x14ac:dyDescent="0.45">
      <c r="C9" s="21"/>
      <c r="D9" s="21"/>
      <c r="E9" s="21"/>
      <c r="F9" s="21"/>
      <c r="G9" s="21"/>
      <c r="H9" s="26" t="s">
        <v>45</v>
      </c>
      <c r="I9" s="28"/>
      <c r="J9" s="26" t="s">
        <v>46</v>
      </c>
      <c r="K9" s="28"/>
      <c r="L9" s="38" t="s">
        <v>14</v>
      </c>
      <c r="M9" s="38"/>
      <c r="N9" s="38" t="s">
        <v>15</v>
      </c>
      <c r="O9" s="38"/>
      <c r="P9" s="38" t="s">
        <v>17</v>
      </c>
      <c r="Q9" s="38"/>
      <c r="R9" s="38" t="s">
        <v>18</v>
      </c>
      <c r="S9" s="38"/>
      <c r="T9" s="38" t="s">
        <v>20</v>
      </c>
      <c r="U9" s="39"/>
      <c r="V9" s="40" t="s">
        <v>22</v>
      </c>
      <c r="W9" s="41"/>
      <c r="X9" s="34"/>
      <c r="Y9" s="35"/>
    </row>
    <row r="10" spans="2:25" ht="20.149999999999999" customHeight="1" thickBot="1" x14ac:dyDescent="0.5">
      <c r="C10" s="22" t="s">
        <v>47</v>
      </c>
      <c r="D10" s="22"/>
      <c r="E10" s="22"/>
      <c r="F10" s="22"/>
      <c r="G10" s="22"/>
      <c r="H10" s="23">
        <v>1000</v>
      </c>
      <c r="I10" s="24"/>
      <c r="J10" s="25">
        <f>H10*12</f>
        <v>12000</v>
      </c>
      <c r="K10" s="25"/>
      <c r="L10" s="42">
        <f>J10</f>
        <v>12000</v>
      </c>
      <c r="M10" s="42"/>
      <c r="N10" s="43">
        <v>0.05</v>
      </c>
      <c r="O10" s="44"/>
      <c r="P10" s="42">
        <f>L10/(1-N10)</f>
        <v>12631.578947368422</v>
      </c>
      <c r="Q10" s="42"/>
      <c r="R10" s="42">
        <f>P10-L10</f>
        <v>631.57894736842172</v>
      </c>
      <c r="S10" s="42"/>
      <c r="T10" s="42">
        <f>P10*10%</f>
        <v>1263.1578947368423</v>
      </c>
      <c r="U10" s="45"/>
      <c r="V10" s="36">
        <f>T10+P10</f>
        <v>13894.736842105263</v>
      </c>
      <c r="W10" s="37"/>
      <c r="X10" s="31">
        <f>V10*공통기준!C5</f>
        <v>19355368.421052631</v>
      </c>
      <c r="Y10" s="25"/>
    </row>
    <row r="11" spans="2:25" ht="20.149999999999999" customHeight="1" x14ac:dyDescent="0.45">
      <c r="H11" t="s">
        <v>42</v>
      </c>
    </row>
    <row r="28" spans="16:16" ht="20.149999999999999" customHeight="1" x14ac:dyDescent="0.45">
      <c r="P28" t="s">
        <v>26</v>
      </c>
    </row>
  </sheetData>
  <mergeCells count="27">
    <mergeCell ref="V10:W10"/>
    <mergeCell ref="X10:Y10"/>
    <mergeCell ref="R9:S9"/>
    <mergeCell ref="T9:U9"/>
    <mergeCell ref="V9:W9"/>
    <mergeCell ref="X8:Y9"/>
    <mergeCell ref="C10:G10"/>
    <mergeCell ref="H10:I10"/>
    <mergeCell ref="J10:K10"/>
    <mergeCell ref="L10:M10"/>
    <mergeCell ref="N10:O10"/>
    <mergeCell ref="P10:Q10"/>
    <mergeCell ref="R10:S10"/>
    <mergeCell ref="P8:Q8"/>
    <mergeCell ref="R8:S8"/>
    <mergeCell ref="T8:U8"/>
    <mergeCell ref="T10:U10"/>
    <mergeCell ref="C8:G9"/>
    <mergeCell ref="H8:K8"/>
    <mergeCell ref="L8:M8"/>
    <mergeCell ref="N8:O8"/>
    <mergeCell ref="V8:W8"/>
    <mergeCell ref="H9:I9"/>
    <mergeCell ref="J9:K9"/>
    <mergeCell ref="L9:M9"/>
    <mergeCell ref="N9:O9"/>
    <mergeCell ref="P9:Q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공통기준</vt:lpstr>
      <vt:lpstr>자본예산(경상사업)</vt:lpstr>
      <vt:lpstr>전산제비(유지보수료)</vt:lpstr>
      <vt:lpstr>전산제비(회선사용료)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KDB</cp:lastModifiedBy>
  <dcterms:created xsi:type="dcterms:W3CDTF">2021-09-07T00:55:15Z</dcterms:created>
  <dcterms:modified xsi:type="dcterms:W3CDTF">2025-02-18T13:43:51Z</dcterms:modified>
</cp:coreProperties>
</file>